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IO\Documents\"/>
    </mc:Choice>
  </mc:AlternateContent>
  <workbookProtection lockStructure="1"/>
  <bookViews>
    <workbookView xWindow="0" yWindow="0" windowWidth="20490" windowHeight="7050" tabRatio="875" activeTab="3"/>
  </bookViews>
  <sheets>
    <sheet name="APENDICE 4 REGISTRO DE RESULTAD" sheetId="1" r:id="rId1"/>
    <sheet name="APENDICE 5 INFO ESTADIS 1ER SEM" sheetId="19" r:id="rId2"/>
    <sheet name="APENDICE 5 INFO ESTADIS 2DO SEM" sheetId="20" r:id="rId3"/>
    <sheet name="T100Pts" sheetId="7" r:id="rId4"/>
  </sheets>
  <definedNames>
    <definedName name="_xlnm._FilterDatabase" localSheetId="0" hidden="1">'APENDICE 4 REGISTRO DE RESULTAD'!$X$11:$AJ$189</definedName>
    <definedName name="_xlnm.Print_Area" localSheetId="0">'APENDICE 4 REGISTRO DE RESULTAD'!$A$1:$AJ$255</definedName>
    <definedName name="_xlnm.Print_Area" localSheetId="1">'APENDICE 5 INFO ESTADIS 1ER SEM'!$A$1:$AE$79</definedName>
    <definedName name="_xlnm.Print_Area" localSheetId="2">'APENDICE 5 INFO ESTADIS 2DO SEM'!$A$1:$AE$79</definedName>
    <definedName name="_xlnm.Print_Area" localSheetId="3">T100Pts!$A$2:$CI$985</definedName>
    <definedName name="_xlnm.Print_Titles" localSheetId="0">'APENDICE 4 REGISTRO DE RESULTAD'!$11:$13</definedName>
  </definedNames>
  <calcPr calcId="162913"/>
</workbook>
</file>

<file path=xl/calcChain.xml><?xml version="1.0" encoding="utf-8"?>
<calcChain xmlns="http://schemas.openxmlformats.org/spreadsheetml/2006/main">
  <c r="AJ227" i="1" l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147" i="1"/>
  <c r="AJ148" i="1"/>
  <c r="AJ149" i="1"/>
  <c r="AJ150" i="1"/>
  <c r="I236" i="1"/>
  <c r="K236" i="1"/>
  <c r="L236" i="1" s="1"/>
  <c r="N236" i="1" s="1"/>
  <c r="I234" i="1"/>
  <c r="K234" i="1"/>
  <c r="L234" i="1" s="1"/>
  <c r="N234" i="1" s="1"/>
  <c r="I235" i="1"/>
  <c r="K235" i="1"/>
  <c r="L235" i="1" s="1"/>
  <c r="N235" i="1" s="1"/>
  <c r="I237" i="1"/>
  <c r="K237" i="1"/>
  <c r="L237" i="1" s="1"/>
  <c r="N237" i="1" s="1"/>
  <c r="I229" i="1"/>
  <c r="K229" i="1"/>
  <c r="L229" i="1" s="1"/>
  <c r="N229" i="1" s="1"/>
  <c r="I232" i="1"/>
  <c r="K232" i="1"/>
  <c r="L232" i="1" s="1"/>
  <c r="P232" i="1" s="1"/>
  <c r="I231" i="1"/>
  <c r="K231" i="1"/>
  <c r="L231" i="1" s="1"/>
  <c r="N231" i="1" s="1"/>
  <c r="I230" i="1"/>
  <c r="K230" i="1"/>
  <c r="L230" i="1" s="1"/>
  <c r="N230" i="1" s="1"/>
  <c r="I233" i="1"/>
  <c r="K233" i="1"/>
  <c r="L233" i="1" s="1"/>
  <c r="N233" i="1" s="1"/>
  <c r="I238" i="1"/>
  <c r="K238" i="1"/>
  <c r="L238" i="1" s="1"/>
  <c r="P238" i="1" s="1"/>
  <c r="I240" i="1"/>
  <c r="K240" i="1"/>
  <c r="L240" i="1" s="1"/>
  <c r="N240" i="1" s="1"/>
  <c r="X237" i="1" l="1"/>
  <c r="X231" i="1"/>
  <c r="AD232" i="1"/>
  <c r="Z235" i="1"/>
  <c r="AD231" i="1"/>
  <c r="AB234" i="1"/>
  <c r="X232" i="1"/>
  <c r="AD240" i="1"/>
  <c r="X236" i="1"/>
  <c r="X230" i="1"/>
  <c r="Z234" i="1"/>
  <c r="AB240" i="1"/>
  <c r="AB232" i="1"/>
  <c r="AD238" i="1"/>
  <c r="AD230" i="1"/>
  <c r="X235" i="1"/>
  <c r="X229" i="1"/>
  <c r="Z233" i="1"/>
  <c r="AB231" i="1"/>
  <c r="AD237" i="1"/>
  <c r="AD229" i="1"/>
  <c r="X234" i="1"/>
  <c r="Z240" i="1"/>
  <c r="Z232" i="1"/>
  <c r="AE232" i="1" s="1"/>
  <c r="AF232" i="1" s="1"/>
  <c r="AB238" i="1"/>
  <c r="AB230" i="1"/>
  <c r="AD236" i="1"/>
  <c r="Z236" i="1"/>
  <c r="AB233" i="1"/>
  <c r="X233" i="1"/>
  <c r="Z231" i="1"/>
  <c r="AE231" i="1" s="1"/>
  <c r="AF231" i="1" s="1"/>
  <c r="AB237" i="1"/>
  <c r="AB229" i="1"/>
  <c r="AD235" i="1"/>
  <c r="Z238" i="1"/>
  <c r="Z230" i="1"/>
  <c r="AB236" i="1"/>
  <c r="AD234" i="1"/>
  <c r="X238" i="1"/>
  <c r="X240" i="1"/>
  <c r="AE240" i="1" s="1"/>
  <c r="AF240" i="1" s="1"/>
  <c r="Z237" i="1"/>
  <c r="Z229" i="1"/>
  <c r="AB235" i="1"/>
  <c r="AD233" i="1"/>
  <c r="R236" i="1"/>
  <c r="P236" i="1"/>
  <c r="R234" i="1"/>
  <c r="P234" i="1"/>
  <c r="T236" i="1"/>
  <c r="T235" i="1"/>
  <c r="R235" i="1"/>
  <c r="R237" i="1"/>
  <c r="T234" i="1"/>
  <c r="T237" i="1"/>
  <c r="P235" i="1"/>
  <c r="P237" i="1"/>
  <c r="R229" i="1"/>
  <c r="T229" i="1"/>
  <c r="P229" i="1"/>
  <c r="T232" i="1"/>
  <c r="N232" i="1"/>
  <c r="R232" i="1"/>
  <c r="T231" i="1"/>
  <c r="R231" i="1"/>
  <c r="P231" i="1"/>
  <c r="T230" i="1"/>
  <c r="R230" i="1"/>
  <c r="P230" i="1"/>
  <c r="P233" i="1"/>
  <c r="T233" i="1"/>
  <c r="R233" i="1"/>
  <c r="T238" i="1"/>
  <c r="N238" i="1"/>
  <c r="R238" i="1"/>
  <c r="R240" i="1"/>
  <c r="T240" i="1"/>
  <c r="P240" i="1"/>
  <c r="AE234" i="1" l="1"/>
  <c r="AF234" i="1" s="1"/>
  <c r="AE233" i="1"/>
  <c r="AF233" i="1" s="1"/>
  <c r="AE230" i="1"/>
  <c r="AF230" i="1" s="1"/>
  <c r="AE235" i="1"/>
  <c r="AF235" i="1" s="1"/>
  <c r="AE229" i="1"/>
  <c r="AF229" i="1" s="1"/>
  <c r="AE238" i="1"/>
  <c r="AF238" i="1" s="1"/>
  <c r="AE237" i="1"/>
  <c r="AF237" i="1" s="1"/>
  <c r="AE236" i="1"/>
  <c r="AF236" i="1" s="1"/>
  <c r="U236" i="1"/>
  <c r="U234" i="1"/>
  <c r="U237" i="1"/>
  <c r="U235" i="1"/>
  <c r="U229" i="1"/>
  <c r="U231" i="1"/>
  <c r="U232" i="1"/>
  <c r="U230" i="1"/>
  <c r="U233" i="1"/>
  <c r="U238" i="1"/>
  <c r="U240" i="1"/>
  <c r="V240" i="1" l="1"/>
  <c r="AG240" i="1"/>
  <c r="AH240" i="1" s="1"/>
  <c r="V237" i="1"/>
  <c r="AG237" i="1"/>
  <c r="AH237" i="1" s="1"/>
  <c r="V235" i="1"/>
  <c r="AG235" i="1"/>
  <c r="AH235" i="1" s="1"/>
  <c r="V238" i="1"/>
  <c r="AG238" i="1"/>
  <c r="AH238" i="1" s="1"/>
  <c r="V234" i="1"/>
  <c r="AG234" i="1"/>
  <c r="AH234" i="1" s="1"/>
  <c r="V231" i="1"/>
  <c r="AG231" i="1"/>
  <c r="AH231" i="1" s="1"/>
  <c r="V233" i="1"/>
  <c r="AG233" i="1"/>
  <c r="AH233" i="1" s="1"/>
  <c r="V236" i="1"/>
  <c r="AG236" i="1"/>
  <c r="AH236" i="1" s="1"/>
  <c r="V230" i="1"/>
  <c r="AG230" i="1"/>
  <c r="AH230" i="1" s="1"/>
  <c r="V232" i="1"/>
  <c r="AG232" i="1"/>
  <c r="AH232" i="1" s="1"/>
  <c r="V229" i="1"/>
  <c r="AG229" i="1"/>
  <c r="AH229" i="1" s="1"/>
  <c r="I239" i="1" l="1"/>
  <c r="K239" i="1"/>
  <c r="L239" i="1" s="1"/>
  <c r="I228" i="1"/>
  <c r="K228" i="1"/>
  <c r="L228" i="1" s="1"/>
  <c r="K227" i="1"/>
  <c r="L227" i="1" s="1"/>
  <c r="I227" i="1"/>
  <c r="I148" i="1"/>
  <c r="K148" i="1"/>
  <c r="L148" i="1" s="1"/>
  <c r="AD148" i="1" s="1"/>
  <c r="I147" i="1"/>
  <c r="K147" i="1"/>
  <c r="L147" i="1" s="1"/>
  <c r="AD147" i="1" s="1"/>
  <c r="I149" i="1"/>
  <c r="K149" i="1"/>
  <c r="L149" i="1" s="1"/>
  <c r="AD149" i="1" s="1"/>
  <c r="I150" i="1"/>
  <c r="K150" i="1"/>
  <c r="L150" i="1" s="1"/>
  <c r="AD150" i="1" s="1"/>
  <c r="N150" i="1" l="1"/>
  <c r="Z150" i="1"/>
  <c r="AB150" i="1"/>
  <c r="X150" i="1"/>
  <c r="AE150" i="1" s="1"/>
  <c r="AF150" i="1" s="1"/>
  <c r="AB227" i="1"/>
  <c r="X227" i="1"/>
  <c r="AD227" i="1"/>
  <c r="Z227" i="1"/>
  <c r="N228" i="1"/>
  <c r="AB228" i="1"/>
  <c r="X228" i="1"/>
  <c r="Z228" i="1"/>
  <c r="AD228" i="1"/>
  <c r="N239" i="1"/>
  <c r="X239" i="1"/>
  <c r="Z239" i="1"/>
  <c r="AD239" i="1"/>
  <c r="AB239" i="1"/>
  <c r="N149" i="1"/>
  <c r="Z149" i="1"/>
  <c r="AB149" i="1"/>
  <c r="X149" i="1"/>
  <c r="N147" i="1"/>
  <c r="AB147" i="1"/>
  <c r="X147" i="1"/>
  <c r="Z147" i="1"/>
  <c r="AB148" i="1"/>
  <c r="X148" i="1"/>
  <c r="Z148" i="1"/>
  <c r="R239" i="1"/>
  <c r="P239" i="1"/>
  <c r="T239" i="1"/>
  <c r="T228" i="1"/>
  <c r="R228" i="1"/>
  <c r="P228" i="1"/>
  <c r="T227" i="1"/>
  <c r="R227" i="1"/>
  <c r="N227" i="1"/>
  <c r="P227" i="1"/>
  <c r="P148" i="1"/>
  <c r="T148" i="1"/>
  <c r="R148" i="1"/>
  <c r="N148" i="1"/>
  <c r="T147" i="1"/>
  <c r="R147" i="1"/>
  <c r="P147" i="1"/>
  <c r="T149" i="1"/>
  <c r="R149" i="1"/>
  <c r="P149" i="1"/>
  <c r="P150" i="1"/>
  <c r="T150" i="1"/>
  <c r="R150" i="1"/>
  <c r="AJ226" i="1"/>
  <c r="K226" i="1"/>
  <c r="L226" i="1" s="1"/>
  <c r="AD226" i="1" s="1"/>
  <c r="I226" i="1"/>
  <c r="AJ225" i="1"/>
  <c r="K225" i="1"/>
  <c r="L225" i="1" s="1"/>
  <c r="I225" i="1"/>
  <c r="AJ224" i="1"/>
  <c r="K224" i="1"/>
  <c r="L224" i="1" s="1"/>
  <c r="AD224" i="1" s="1"/>
  <c r="I224" i="1"/>
  <c r="AJ223" i="1"/>
  <c r="K223" i="1"/>
  <c r="L223" i="1" s="1"/>
  <c r="Z223" i="1" s="1"/>
  <c r="I223" i="1"/>
  <c r="AJ222" i="1"/>
  <c r="K222" i="1"/>
  <c r="L222" i="1" s="1"/>
  <c r="AD222" i="1" s="1"/>
  <c r="I222" i="1"/>
  <c r="AJ221" i="1"/>
  <c r="K221" i="1"/>
  <c r="L221" i="1" s="1"/>
  <c r="AB221" i="1" s="1"/>
  <c r="I221" i="1"/>
  <c r="AJ220" i="1"/>
  <c r="K220" i="1"/>
  <c r="L220" i="1" s="1"/>
  <c r="AD220" i="1" s="1"/>
  <c r="I220" i="1"/>
  <c r="AJ219" i="1"/>
  <c r="K219" i="1"/>
  <c r="L219" i="1" s="1"/>
  <c r="I219" i="1"/>
  <c r="AJ218" i="1"/>
  <c r="K218" i="1"/>
  <c r="L218" i="1" s="1"/>
  <c r="N218" i="1" s="1"/>
  <c r="I218" i="1"/>
  <c r="AJ217" i="1"/>
  <c r="K217" i="1"/>
  <c r="L217" i="1" s="1"/>
  <c r="I217" i="1"/>
  <c r="AJ216" i="1"/>
  <c r="K216" i="1"/>
  <c r="L216" i="1" s="1"/>
  <c r="I216" i="1"/>
  <c r="AJ215" i="1"/>
  <c r="K215" i="1"/>
  <c r="L215" i="1" s="1"/>
  <c r="I215" i="1"/>
  <c r="AJ214" i="1"/>
  <c r="K214" i="1"/>
  <c r="L214" i="1" s="1"/>
  <c r="AB214" i="1" s="1"/>
  <c r="I214" i="1"/>
  <c r="AJ213" i="1"/>
  <c r="K213" i="1"/>
  <c r="L213" i="1" s="1"/>
  <c r="I213" i="1"/>
  <c r="AJ212" i="1"/>
  <c r="K212" i="1"/>
  <c r="L212" i="1" s="1"/>
  <c r="I212" i="1"/>
  <c r="AJ211" i="1"/>
  <c r="K211" i="1"/>
  <c r="L211" i="1" s="1"/>
  <c r="I211" i="1"/>
  <c r="AJ210" i="1"/>
  <c r="K210" i="1"/>
  <c r="L210" i="1" s="1"/>
  <c r="AB210" i="1" s="1"/>
  <c r="I210" i="1"/>
  <c r="AJ209" i="1"/>
  <c r="K209" i="1"/>
  <c r="L209" i="1" s="1"/>
  <c r="R209" i="1" s="1"/>
  <c r="I209" i="1"/>
  <c r="AJ208" i="1"/>
  <c r="K208" i="1"/>
  <c r="L208" i="1" s="1"/>
  <c r="Z208" i="1" s="1"/>
  <c r="I208" i="1"/>
  <c r="AJ207" i="1"/>
  <c r="K207" i="1"/>
  <c r="L207" i="1" s="1"/>
  <c r="AD207" i="1" s="1"/>
  <c r="I207" i="1"/>
  <c r="AJ206" i="1"/>
  <c r="K206" i="1"/>
  <c r="L206" i="1" s="1"/>
  <c r="Z206" i="1" s="1"/>
  <c r="I206" i="1"/>
  <c r="AJ205" i="1"/>
  <c r="K205" i="1"/>
  <c r="L205" i="1" s="1"/>
  <c r="AD205" i="1" s="1"/>
  <c r="I205" i="1"/>
  <c r="AJ204" i="1"/>
  <c r="K204" i="1"/>
  <c r="L204" i="1" s="1"/>
  <c r="I204" i="1"/>
  <c r="AJ203" i="1"/>
  <c r="K203" i="1"/>
  <c r="L203" i="1" s="1"/>
  <c r="AD203" i="1" s="1"/>
  <c r="I203" i="1"/>
  <c r="AJ202" i="1"/>
  <c r="K202" i="1"/>
  <c r="L202" i="1" s="1"/>
  <c r="N202" i="1" s="1"/>
  <c r="I202" i="1"/>
  <c r="AJ201" i="1"/>
  <c r="K201" i="1"/>
  <c r="L201" i="1" s="1"/>
  <c r="X201" i="1" s="1"/>
  <c r="I201" i="1"/>
  <c r="AJ200" i="1"/>
  <c r="K200" i="1"/>
  <c r="L200" i="1" s="1"/>
  <c r="I200" i="1"/>
  <c r="AJ199" i="1"/>
  <c r="K199" i="1"/>
  <c r="L199" i="1" s="1"/>
  <c r="I199" i="1"/>
  <c r="AJ198" i="1"/>
  <c r="K198" i="1"/>
  <c r="L198" i="1" s="1"/>
  <c r="AB198" i="1" s="1"/>
  <c r="I198" i="1"/>
  <c r="AJ197" i="1"/>
  <c r="K197" i="1"/>
  <c r="L197" i="1" s="1"/>
  <c r="I197" i="1"/>
  <c r="AJ196" i="1"/>
  <c r="K196" i="1"/>
  <c r="L196" i="1" s="1"/>
  <c r="I196" i="1"/>
  <c r="AJ195" i="1"/>
  <c r="K195" i="1"/>
  <c r="L195" i="1" s="1"/>
  <c r="Z195" i="1" s="1"/>
  <c r="I195" i="1"/>
  <c r="AJ194" i="1"/>
  <c r="K194" i="1"/>
  <c r="L194" i="1" s="1"/>
  <c r="R194" i="1" s="1"/>
  <c r="I194" i="1"/>
  <c r="AJ193" i="1"/>
  <c r="K193" i="1"/>
  <c r="L193" i="1" s="1"/>
  <c r="Z193" i="1" s="1"/>
  <c r="I193" i="1"/>
  <c r="AJ192" i="1"/>
  <c r="K192" i="1"/>
  <c r="L192" i="1" s="1"/>
  <c r="I192" i="1"/>
  <c r="AJ191" i="1"/>
  <c r="K191" i="1"/>
  <c r="L191" i="1" s="1"/>
  <c r="AD191" i="1" s="1"/>
  <c r="I191" i="1"/>
  <c r="AJ190" i="1"/>
  <c r="K190" i="1"/>
  <c r="L190" i="1" s="1"/>
  <c r="I190" i="1"/>
  <c r="AJ189" i="1"/>
  <c r="K189" i="1"/>
  <c r="L189" i="1" s="1"/>
  <c r="I189" i="1"/>
  <c r="AJ188" i="1"/>
  <c r="K188" i="1"/>
  <c r="L188" i="1" s="1"/>
  <c r="Z188" i="1" s="1"/>
  <c r="I188" i="1"/>
  <c r="AJ187" i="1"/>
  <c r="K187" i="1"/>
  <c r="L187" i="1" s="1"/>
  <c r="Z187" i="1" s="1"/>
  <c r="I187" i="1"/>
  <c r="AJ186" i="1"/>
  <c r="K186" i="1"/>
  <c r="L186" i="1" s="1"/>
  <c r="Z186" i="1" s="1"/>
  <c r="I186" i="1"/>
  <c r="AJ185" i="1"/>
  <c r="K185" i="1"/>
  <c r="L185" i="1" s="1"/>
  <c r="I185" i="1"/>
  <c r="AJ184" i="1"/>
  <c r="K184" i="1"/>
  <c r="L184" i="1" s="1"/>
  <c r="AB184" i="1" s="1"/>
  <c r="I184" i="1"/>
  <c r="AJ183" i="1"/>
  <c r="K183" i="1"/>
  <c r="L183" i="1" s="1"/>
  <c r="Z183" i="1" s="1"/>
  <c r="I183" i="1"/>
  <c r="AJ182" i="1"/>
  <c r="K182" i="1"/>
  <c r="L182" i="1" s="1"/>
  <c r="I182" i="1"/>
  <c r="AJ181" i="1"/>
  <c r="K181" i="1"/>
  <c r="L181" i="1" s="1"/>
  <c r="I181" i="1"/>
  <c r="AJ180" i="1"/>
  <c r="K180" i="1"/>
  <c r="L180" i="1" s="1"/>
  <c r="I180" i="1"/>
  <c r="AJ179" i="1"/>
  <c r="K179" i="1"/>
  <c r="L179" i="1" s="1"/>
  <c r="I179" i="1"/>
  <c r="AJ178" i="1"/>
  <c r="K178" i="1"/>
  <c r="L178" i="1" s="1"/>
  <c r="R178" i="1" s="1"/>
  <c r="I178" i="1"/>
  <c r="AJ177" i="1"/>
  <c r="K177" i="1"/>
  <c r="L177" i="1" s="1"/>
  <c r="T177" i="1" s="1"/>
  <c r="I177" i="1"/>
  <c r="AJ176" i="1"/>
  <c r="K176" i="1"/>
  <c r="L176" i="1" s="1"/>
  <c r="Z176" i="1" s="1"/>
  <c r="I176" i="1"/>
  <c r="AJ175" i="1"/>
  <c r="K175" i="1"/>
  <c r="L175" i="1" s="1"/>
  <c r="I175" i="1"/>
  <c r="AJ174" i="1"/>
  <c r="K174" i="1"/>
  <c r="L174" i="1" s="1"/>
  <c r="T174" i="1" s="1"/>
  <c r="I174" i="1"/>
  <c r="AJ173" i="1"/>
  <c r="K173" i="1"/>
  <c r="L173" i="1" s="1"/>
  <c r="I173" i="1"/>
  <c r="AJ172" i="1"/>
  <c r="K172" i="1"/>
  <c r="L172" i="1" s="1"/>
  <c r="P172" i="1" s="1"/>
  <c r="I172" i="1"/>
  <c r="AJ171" i="1"/>
  <c r="K171" i="1"/>
  <c r="L171" i="1" s="1"/>
  <c r="I171" i="1"/>
  <c r="AJ170" i="1"/>
  <c r="K170" i="1"/>
  <c r="L170" i="1" s="1"/>
  <c r="T170" i="1" s="1"/>
  <c r="I170" i="1"/>
  <c r="AJ169" i="1"/>
  <c r="K169" i="1"/>
  <c r="L169" i="1" s="1"/>
  <c r="I169" i="1"/>
  <c r="AJ168" i="1"/>
  <c r="K168" i="1"/>
  <c r="L168" i="1" s="1"/>
  <c r="I168" i="1"/>
  <c r="AJ167" i="1"/>
  <c r="K167" i="1"/>
  <c r="L167" i="1" s="1"/>
  <c r="P167" i="1" s="1"/>
  <c r="I167" i="1"/>
  <c r="AJ166" i="1"/>
  <c r="K166" i="1"/>
  <c r="L166" i="1" s="1"/>
  <c r="AD166" i="1" s="1"/>
  <c r="I166" i="1"/>
  <c r="AJ165" i="1"/>
  <c r="K165" i="1"/>
  <c r="L165" i="1" s="1"/>
  <c r="AB165" i="1" s="1"/>
  <c r="I165" i="1"/>
  <c r="AJ164" i="1"/>
  <c r="K164" i="1"/>
  <c r="L164" i="1" s="1"/>
  <c r="I164" i="1"/>
  <c r="AJ163" i="1"/>
  <c r="K163" i="1"/>
  <c r="L163" i="1" s="1"/>
  <c r="P163" i="1" s="1"/>
  <c r="I163" i="1"/>
  <c r="AJ162" i="1"/>
  <c r="K162" i="1"/>
  <c r="L162" i="1" s="1"/>
  <c r="AD162" i="1" s="1"/>
  <c r="I162" i="1"/>
  <c r="AJ161" i="1"/>
  <c r="K161" i="1"/>
  <c r="L161" i="1" s="1"/>
  <c r="I161" i="1"/>
  <c r="AJ160" i="1"/>
  <c r="K160" i="1"/>
  <c r="L160" i="1" s="1"/>
  <c r="I160" i="1"/>
  <c r="AJ159" i="1"/>
  <c r="K159" i="1"/>
  <c r="L159" i="1" s="1"/>
  <c r="I159" i="1"/>
  <c r="AJ158" i="1"/>
  <c r="K158" i="1"/>
  <c r="L158" i="1" s="1"/>
  <c r="AD158" i="1" s="1"/>
  <c r="I158" i="1"/>
  <c r="AJ157" i="1"/>
  <c r="K157" i="1"/>
  <c r="L157" i="1" s="1"/>
  <c r="Z157" i="1" s="1"/>
  <c r="I157" i="1"/>
  <c r="AJ156" i="1"/>
  <c r="K156" i="1"/>
  <c r="L156" i="1" s="1"/>
  <c r="P156" i="1" s="1"/>
  <c r="I156" i="1"/>
  <c r="AJ155" i="1"/>
  <c r="K155" i="1"/>
  <c r="L155" i="1" s="1"/>
  <c r="I155" i="1"/>
  <c r="AJ154" i="1"/>
  <c r="K154" i="1"/>
  <c r="L154" i="1" s="1"/>
  <c r="I154" i="1"/>
  <c r="AJ153" i="1"/>
  <c r="K153" i="1"/>
  <c r="L153" i="1" s="1"/>
  <c r="Z153" i="1" s="1"/>
  <c r="I153" i="1"/>
  <c r="AJ152" i="1"/>
  <c r="K152" i="1"/>
  <c r="L152" i="1" s="1"/>
  <c r="I152" i="1"/>
  <c r="AJ151" i="1"/>
  <c r="K151" i="1"/>
  <c r="L151" i="1" s="1"/>
  <c r="I151" i="1"/>
  <c r="AJ146" i="1"/>
  <c r="K146" i="1"/>
  <c r="L146" i="1" s="1"/>
  <c r="X146" i="1" s="1"/>
  <c r="I146" i="1"/>
  <c r="AJ145" i="1"/>
  <c r="K145" i="1"/>
  <c r="L145" i="1" s="1"/>
  <c r="I145" i="1"/>
  <c r="AJ144" i="1"/>
  <c r="K144" i="1"/>
  <c r="L144" i="1" s="1"/>
  <c r="Z144" i="1" s="1"/>
  <c r="I144" i="1"/>
  <c r="AJ143" i="1"/>
  <c r="K143" i="1"/>
  <c r="L143" i="1" s="1"/>
  <c r="I143" i="1"/>
  <c r="AJ142" i="1"/>
  <c r="K142" i="1"/>
  <c r="L142" i="1" s="1"/>
  <c r="I142" i="1"/>
  <c r="AJ141" i="1"/>
  <c r="K141" i="1"/>
  <c r="L141" i="1" s="1"/>
  <c r="I141" i="1"/>
  <c r="AJ140" i="1"/>
  <c r="K140" i="1"/>
  <c r="L140" i="1" s="1"/>
  <c r="N140" i="1" s="1"/>
  <c r="I140" i="1"/>
  <c r="AJ139" i="1"/>
  <c r="K139" i="1"/>
  <c r="L139" i="1" s="1"/>
  <c r="I139" i="1"/>
  <c r="AJ138" i="1"/>
  <c r="K138" i="1"/>
  <c r="L138" i="1" s="1"/>
  <c r="I138" i="1"/>
  <c r="AJ137" i="1"/>
  <c r="K137" i="1"/>
  <c r="L137" i="1" s="1"/>
  <c r="I137" i="1"/>
  <c r="AJ136" i="1"/>
  <c r="K136" i="1"/>
  <c r="L136" i="1" s="1"/>
  <c r="Z136" i="1" s="1"/>
  <c r="I136" i="1"/>
  <c r="AJ135" i="1"/>
  <c r="K135" i="1"/>
  <c r="L135" i="1" s="1"/>
  <c r="X135" i="1" s="1"/>
  <c r="I135" i="1"/>
  <c r="AJ134" i="1"/>
  <c r="K134" i="1"/>
  <c r="L134" i="1" s="1"/>
  <c r="X134" i="1" s="1"/>
  <c r="I134" i="1"/>
  <c r="AJ133" i="1"/>
  <c r="K133" i="1"/>
  <c r="L133" i="1" s="1"/>
  <c r="X133" i="1" s="1"/>
  <c r="I133" i="1"/>
  <c r="AJ132" i="1"/>
  <c r="K132" i="1"/>
  <c r="L132" i="1" s="1"/>
  <c r="Z132" i="1" s="1"/>
  <c r="I132" i="1"/>
  <c r="AJ131" i="1"/>
  <c r="K131" i="1"/>
  <c r="L131" i="1" s="1"/>
  <c r="R131" i="1" s="1"/>
  <c r="I131" i="1"/>
  <c r="AJ130" i="1"/>
  <c r="K130" i="1"/>
  <c r="L130" i="1" s="1"/>
  <c r="X130" i="1" s="1"/>
  <c r="I130" i="1"/>
  <c r="AJ129" i="1"/>
  <c r="K129" i="1"/>
  <c r="L129" i="1" s="1"/>
  <c r="X129" i="1" s="1"/>
  <c r="I129" i="1"/>
  <c r="AJ128" i="1"/>
  <c r="K128" i="1"/>
  <c r="L128" i="1" s="1"/>
  <c r="Z128" i="1" s="1"/>
  <c r="I128" i="1"/>
  <c r="AJ127" i="1"/>
  <c r="K127" i="1"/>
  <c r="L127" i="1" s="1"/>
  <c r="R127" i="1" s="1"/>
  <c r="I127" i="1"/>
  <c r="AJ126" i="1"/>
  <c r="K126" i="1"/>
  <c r="L126" i="1" s="1"/>
  <c r="I126" i="1"/>
  <c r="AJ125" i="1"/>
  <c r="K125" i="1"/>
  <c r="L125" i="1" s="1"/>
  <c r="T125" i="1" s="1"/>
  <c r="I125" i="1"/>
  <c r="AJ124" i="1"/>
  <c r="K124" i="1"/>
  <c r="L124" i="1" s="1"/>
  <c r="Z124" i="1" s="1"/>
  <c r="I124" i="1"/>
  <c r="AJ123" i="1"/>
  <c r="K123" i="1"/>
  <c r="L123" i="1" s="1"/>
  <c r="R123" i="1" s="1"/>
  <c r="I123" i="1"/>
  <c r="AJ122" i="1"/>
  <c r="K122" i="1"/>
  <c r="L122" i="1" s="1"/>
  <c r="I122" i="1"/>
  <c r="AJ121" i="1"/>
  <c r="K121" i="1"/>
  <c r="L121" i="1" s="1"/>
  <c r="I121" i="1"/>
  <c r="AJ120" i="1"/>
  <c r="K120" i="1"/>
  <c r="L120" i="1" s="1"/>
  <c r="T120" i="1" s="1"/>
  <c r="I120" i="1"/>
  <c r="AJ119" i="1"/>
  <c r="K119" i="1"/>
  <c r="L119" i="1" s="1"/>
  <c r="I119" i="1"/>
  <c r="AJ118" i="1"/>
  <c r="K118" i="1"/>
  <c r="L118" i="1" s="1"/>
  <c r="I118" i="1"/>
  <c r="AJ117" i="1"/>
  <c r="K117" i="1"/>
  <c r="L117" i="1" s="1"/>
  <c r="AD117" i="1" s="1"/>
  <c r="I117" i="1"/>
  <c r="AJ116" i="1"/>
  <c r="K116" i="1"/>
  <c r="L116" i="1" s="1"/>
  <c r="I116" i="1"/>
  <c r="AJ115" i="1"/>
  <c r="K115" i="1"/>
  <c r="L115" i="1" s="1"/>
  <c r="I115" i="1"/>
  <c r="AJ114" i="1"/>
  <c r="K114" i="1"/>
  <c r="L114" i="1" s="1"/>
  <c r="I114" i="1"/>
  <c r="AJ113" i="1"/>
  <c r="K113" i="1"/>
  <c r="L113" i="1" s="1"/>
  <c r="X113" i="1" s="1"/>
  <c r="I113" i="1"/>
  <c r="AJ112" i="1"/>
  <c r="K112" i="1"/>
  <c r="L112" i="1" s="1"/>
  <c r="Z112" i="1" s="1"/>
  <c r="I112" i="1"/>
  <c r="AJ111" i="1"/>
  <c r="K111" i="1"/>
  <c r="L111" i="1" s="1"/>
  <c r="I111" i="1"/>
  <c r="AJ110" i="1"/>
  <c r="K110" i="1"/>
  <c r="L110" i="1" s="1"/>
  <c r="Z110" i="1" s="1"/>
  <c r="I110" i="1"/>
  <c r="AJ109" i="1"/>
  <c r="K109" i="1"/>
  <c r="L109" i="1" s="1"/>
  <c r="T109" i="1" s="1"/>
  <c r="I109" i="1"/>
  <c r="AJ108" i="1"/>
  <c r="K108" i="1"/>
  <c r="L108" i="1" s="1"/>
  <c r="R108" i="1" s="1"/>
  <c r="I108" i="1"/>
  <c r="AJ107" i="1"/>
  <c r="K107" i="1"/>
  <c r="L107" i="1" s="1"/>
  <c r="Z107" i="1" s="1"/>
  <c r="I107" i="1"/>
  <c r="AJ106" i="1"/>
  <c r="K106" i="1"/>
  <c r="L106" i="1" s="1"/>
  <c r="T106" i="1" s="1"/>
  <c r="I106" i="1"/>
  <c r="AJ105" i="1"/>
  <c r="K105" i="1"/>
  <c r="L105" i="1" s="1"/>
  <c r="I105" i="1"/>
  <c r="AJ104" i="1"/>
  <c r="K104" i="1"/>
  <c r="L104" i="1" s="1"/>
  <c r="Z104" i="1" s="1"/>
  <c r="I104" i="1"/>
  <c r="AJ103" i="1"/>
  <c r="K103" i="1"/>
  <c r="L103" i="1" s="1"/>
  <c r="AB103" i="1" s="1"/>
  <c r="I103" i="1"/>
  <c r="AJ102" i="1"/>
  <c r="K102" i="1"/>
  <c r="L102" i="1" s="1"/>
  <c r="I102" i="1"/>
  <c r="AJ101" i="1"/>
  <c r="K101" i="1"/>
  <c r="L101" i="1" s="1"/>
  <c r="I101" i="1"/>
  <c r="AJ100" i="1"/>
  <c r="K100" i="1"/>
  <c r="L100" i="1" s="1"/>
  <c r="I100" i="1"/>
  <c r="AJ99" i="1"/>
  <c r="K99" i="1"/>
  <c r="L99" i="1" s="1"/>
  <c r="AD99" i="1" s="1"/>
  <c r="I99" i="1"/>
  <c r="AJ98" i="1"/>
  <c r="K98" i="1"/>
  <c r="L98" i="1" s="1"/>
  <c r="R98" i="1" s="1"/>
  <c r="I98" i="1"/>
  <c r="AJ97" i="1"/>
  <c r="K97" i="1"/>
  <c r="L97" i="1" s="1"/>
  <c r="I97" i="1"/>
  <c r="AJ96" i="1"/>
  <c r="K96" i="1"/>
  <c r="L96" i="1" s="1"/>
  <c r="I96" i="1"/>
  <c r="AJ95" i="1"/>
  <c r="K95" i="1"/>
  <c r="L95" i="1" s="1"/>
  <c r="N95" i="1" s="1"/>
  <c r="I95" i="1"/>
  <c r="AJ94" i="1"/>
  <c r="K94" i="1"/>
  <c r="L94" i="1" s="1"/>
  <c r="R94" i="1" s="1"/>
  <c r="I94" i="1"/>
  <c r="AJ93" i="1"/>
  <c r="K93" i="1"/>
  <c r="L93" i="1" s="1"/>
  <c r="AD93" i="1" s="1"/>
  <c r="I93" i="1"/>
  <c r="AJ92" i="1"/>
  <c r="K92" i="1"/>
  <c r="L92" i="1" s="1"/>
  <c r="I92" i="1"/>
  <c r="AJ91" i="1"/>
  <c r="K91" i="1"/>
  <c r="L91" i="1" s="1"/>
  <c r="N91" i="1" s="1"/>
  <c r="I91" i="1"/>
  <c r="AJ90" i="1"/>
  <c r="K90" i="1"/>
  <c r="L90" i="1" s="1"/>
  <c r="N90" i="1" s="1"/>
  <c r="I90" i="1"/>
  <c r="AJ89" i="1"/>
  <c r="K89" i="1"/>
  <c r="L89" i="1" s="1"/>
  <c r="I89" i="1"/>
  <c r="AJ88" i="1"/>
  <c r="K88" i="1"/>
  <c r="L88" i="1" s="1"/>
  <c r="AD88" i="1" s="1"/>
  <c r="I88" i="1"/>
  <c r="AJ87" i="1"/>
  <c r="K87" i="1"/>
  <c r="L87" i="1" s="1"/>
  <c r="Z87" i="1" s="1"/>
  <c r="I87" i="1"/>
  <c r="AJ86" i="1"/>
  <c r="K86" i="1"/>
  <c r="L86" i="1" s="1"/>
  <c r="I86" i="1"/>
  <c r="AJ85" i="1"/>
  <c r="K85" i="1"/>
  <c r="L85" i="1" s="1"/>
  <c r="I85" i="1"/>
  <c r="AJ84" i="1"/>
  <c r="K84" i="1"/>
  <c r="L84" i="1" s="1"/>
  <c r="AD84" i="1" s="1"/>
  <c r="I84" i="1"/>
  <c r="AJ83" i="1"/>
  <c r="K83" i="1"/>
  <c r="L83" i="1" s="1"/>
  <c r="AB83" i="1" s="1"/>
  <c r="I83" i="1"/>
  <c r="AJ82" i="1"/>
  <c r="K82" i="1"/>
  <c r="L82" i="1" s="1"/>
  <c r="N82" i="1" s="1"/>
  <c r="I82" i="1"/>
  <c r="AJ81" i="1"/>
  <c r="K81" i="1"/>
  <c r="L81" i="1" s="1"/>
  <c r="AB81" i="1" s="1"/>
  <c r="I81" i="1"/>
  <c r="AJ80" i="1"/>
  <c r="K80" i="1"/>
  <c r="L80" i="1" s="1"/>
  <c r="Z80" i="1" s="1"/>
  <c r="I80" i="1"/>
  <c r="AJ79" i="1"/>
  <c r="K79" i="1"/>
  <c r="L79" i="1" s="1"/>
  <c r="AD79" i="1" s="1"/>
  <c r="I79" i="1"/>
  <c r="AJ78" i="1"/>
  <c r="K78" i="1"/>
  <c r="L78" i="1" s="1"/>
  <c r="AD78" i="1" s="1"/>
  <c r="I78" i="1"/>
  <c r="AJ77" i="1"/>
  <c r="K77" i="1"/>
  <c r="L77" i="1" s="1"/>
  <c r="AB77" i="1" s="1"/>
  <c r="I77" i="1"/>
  <c r="AJ76" i="1"/>
  <c r="K76" i="1"/>
  <c r="L76" i="1" s="1"/>
  <c r="R76" i="1" s="1"/>
  <c r="I76" i="1"/>
  <c r="AJ75" i="1"/>
  <c r="K75" i="1"/>
  <c r="L75" i="1" s="1"/>
  <c r="I75" i="1"/>
  <c r="AJ74" i="1"/>
  <c r="K74" i="1"/>
  <c r="L74" i="1" s="1"/>
  <c r="AD74" i="1" s="1"/>
  <c r="I74" i="1"/>
  <c r="AJ73" i="1"/>
  <c r="K73" i="1"/>
  <c r="L73" i="1" s="1"/>
  <c r="AD73" i="1" s="1"/>
  <c r="I73" i="1"/>
  <c r="AJ72" i="1"/>
  <c r="K72" i="1"/>
  <c r="L72" i="1" s="1"/>
  <c r="AD72" i="1" s="1"/>
  <c r="I72" i="1"/>
  <c r="AJ71" i="1"/>
  <c r="K71" i="1"/>
  <c r="L71" i="1" s="1"/>
  <c r="P71" i="1" s="1"/>
  <c r="I71" i="1"/>
  <c r="AJ70" i="1"/>
  <c r="K70" i="1"/>
  <c r="L70" i="1" s="1"/>
  <c r="Z70" i="1" s="1"/>
  <c r="I70" i="1"/>
  <c r="AJ69" i="1"/>
  <c r="K69" i="1"/>
  <c r="L69" i="1" s="1"/>
  <c r="AD69" i="1" s="1"/>
  <c r="I69" i="1"/>
  <c r="AJ68" i="1"/>
  <c r="K68" i="1"/>
  <c r="L68" i="1" s="1"/>
  <c r="AD68" i="1" s="1"/>
  <c r="I68" i="1"/>
  <c r="AJ67" i="1"/>
  <c r="K67" i="1"/>
  <c r="L67" i="1" s="1"/>
  <c r="AB67" i="1" s="1"/>
  <c r="I67" i="1"/>
  <c r="AJ66" i="1"/>
  <c r="K66" i="1"/>
  <c r="L66" i="1" s="1"/>
  <c r="Z66" i="1" s="1"/>
  <c r="I66" i="1"/>
  <c r="AJ65" i="1"/>
  <c r="K65" i="1"/>
  <c r="L65" i="1" s="1"/>
  <c r="Z65" i="1" s="1"/>
  <c r="I65" i="1"/>
  <c r="AJ64" i="1"/>
  <c r="K64" i="1"/>
  <c r="L64" i="1" s="1"/>
  <c r="R64" i="1" s="1"/>
  <c r="I64" i="1"/>
  <c r="AJ63" i="1"/>
  <c r="K63" i="1"/>
  <c r="L63" i="1" s="1"/>
  <c r="Z63" i="1" s="1"/>
  <c r="I63" i="1"/>
  <c r="AJ62" i="1"/>
  <c r="K62" i="1"/>
  <c r="L62" i="1" s="1"/>
  <c r="AB62" i="1" s="1"/>
  <c r="I62" i="1"/>
  <c r="AJ61" i="1"/>
  <c r="K61" i="1"/>
  <c r="L61" i="1" s="1"/>
  <c r="I61" i="1"/>
  <c r="AJ60" i="1"/>
  <c r="K60" i="1"/>
  <c r="L60" i="1" s="1"/>
  <c r="N60" i="1" s="1"/>
  <c r="I60" i="1"/>
  <c r="AJ59" i="1"/>
  <c r="K59" i="1"/>
  <c r="L59" i="1" s="1"/>
  <c r="AD59" i="1" s="1"/>
  <c r="I59" i="1"/>
  <c r="AJ58" i="1"/>
  <c r="K58" i="1"/>
  <c r="L58" i="1" s="1"/>
  <c r="I58" i="1"/>
  <c r="AJ57" i="1"/>
  <c r="K57" i="1"/>
  <c r="L57" i="1" s="1"/>
  <c r="N57" i="1" s="1"/>
  <c r="I57" i="1"/>
  <c r="AJ56" i="1"/>
  <c r="K56" i="1"/>
  <c r="L56" i="1" s="1"/>
  <c r="Z56" i="1" s="1"/>
  <c r="I56" i="1"/>
  <c r="AJ55" i="1"/>
  <c r="K55" i="1"/>
  <c r="L55" i="1" s="1"/>
  <c r="AB55" i="1" s="1"/>
  <c r="I55" i="1"/>
  <c r="AJ54" i="1"/>
  <c r="K54" i="1"/>
  <c r="L54" i="1" s="1"/>
  <c r="I54" i="1"/>
  <c r="AJ53" i="1"/>
  <c r="K53" i="1"/>
  <c r="L53" i="1" s="1"/>
  <c r="AB53" i="1" s="1"/>
  <c r="I53" i="1"/>
  <c r="AJ52" i="1"/>
  <c r="K52" i="1"/>
  <c r="L52" i="1" s="1"/>
  <c r="I52" i="1"/>
  <c r="AJ51" i="1"/>
  <c r="K51" i="1"/>
  <c r="L51" i="1" s="1"/>
  <c r="P51" i="1" s="1"/>
  <c r="I51" i="1"/>
  <c r="AJ50" i="1"/>
  <c r="K50" i="1"/>
  <c r="L50" i="1" s="1"/>
  <c r="I50" i="1"/>
  <c r="AJ49" i="1"/>
  <c r="K49" i="1"/>
  <c r="L49" i="1" s="1"/>
  <c r="AB49" i="1" s="1"/>
  <c r="I49" i="1"/>
  <c r="AJ48" i="1"/>
  <c r="K48" i="1"/>
  <c r="L48" i="1" s="1"/>
  <c r="R48" i="1" s="1"/>
  <c r="I48" i="1"/>
  <c r="AJ47" i="1"/>
  <c r="K47" i="1"/>
  <c r="L47" i="1" s="1"/>
  <c r="Z47" i="1" s="1"/>
  <c r="I47" i="1"/>
  <c r="AJ46" i="1"/>
  <c r="K46" i="1"/>
  <c r="L46" i="1" s="1"/>
  <c r="I46" i="1"/>
  <c r="AJ45" i="1"/>
  <c r="K45" i="1"/>
  <c r="L45" i="1" s="1"/>
  <c r="AB45" i="1" s="1"/>
  <c r="I45" i="1"/>
  <c r="AJ44" i="1"/>
  <c r="K44" i="1"/>
  <c r="L44" i="1" s="1"/>
  <c r="R44" i="1" s="1"/>
  <c r="I44" i="1"/>
  <c r="AJ43" i="1"/>
  <c r="K43" i="1"/>
  <c r="L43" i="1" s="1"/>
  <c r="AB43" i="1" s="1"/>
  <c r="I43" i="1"/>
  <c r="AJ42" i="1"/>
  <c r="K42" i="1"/>
  <c r="L42" i="1" s="1"/>
  <c r="I42" i="1"/>
  <c r="AJ41" i="1"/>
  <c r="K41" i="1"/>
  <c r="L41" i="1" s="1"/>
  <c r="AB41" i="1" s="1"/>
  <c r="I41" i="1"/>
  <c r="AJ40" i="1"/>
  <c r="K40" i="1"/>
  <c r="L40" i="1" s="1"/>
  <c r="AB40" i="1" s="1"/>
  <c r="I40" i="1"/>
  <c r="AJ39" i="1"/>
  <c r="K39" i="1"/>
  <c r="L39" i="1" s="1"/>
  <c r="AB39" i="1" s="1"/>
  <c r="I39" i="1"/>
  <c r="AJ38" i="1"/>
  <c r="K38" i="1"/>
  <c r="L38" i="1" s="1"/>
  <c r="I38" i="1"/>
  <c r="AJ37" i="1"/>
  <c r="K37" i="1"/>
  <c r="L37" i="1" s="1"/>
  <c r="AD37" i="1" s="1"/>
  <c r="I37" i="1"/>
  <c r="AJ36" i="1"/>
  <c r="K36" i="1"/>
  <c r="L36" i="1" s="1"/>
  <c r="P36" i="1" s="1"/>
  <c r="I36" i="1"/>
  <c r="AJ35" i="1"/>
  <c r="K35" i="1"/>
  <c r="L35" i="1" s="1"/>
  <c r="AB35" i="1" s="1"/>
  <c r="I35" i="1"/>
  <c r="AJ34" i="1"/>
  <c r="K34" i="1"/>
  <c r="L34" i="1" s="1"/>
  <c r="N34" i="1" s="1"/>
  <c r="I34" i="1"/>
  <c r="AJ33" i="1"/>
  <c r="K33" i="1"/>
  <c r="L33" i="1" s="1"/>
  <c r="I33" i="1"/>
  <c r="AJ32" i="1"/>
  <c r="K32" i="1"/>
  <c r="L32" i="1" s="1"/>
  <c r="I32" i="1"/>
  <c r="AJ31" i="1"/>
  <c r="K31" i="1"/>
  <c r="L31" i="1" s="1"/>
  <c r="I31" i="1"/>
  <c r="AJ30" i="1"/>
  <c r="K30" i="1"/>
  <c r="L30" i="1" s="1"/>
  <c r="I30" i="1"/>
  <c r="AJ29" i="1"/>
  <c r="K29" i="1"/>
  <c r="L29" i="1" s="1"/>
  <c r="I29" i="1"/>
  <c r="AJ28" i="1"/>
  <c r="K28" i="1"/>
  <c r="L28" i="1" s="1"/>
  <c r="I28" i="1"/>
  <c r="AJ27" i="1"/>
  <c r="K27" i="1"/>
  <c r="L27" i="1" s="1"/>
  <c r="I27" i="1"/>
  <c r="AJ26" i="1"/>
  <c r="K26" i="1"/>
  <c r="L26" i="1" s="1"/>
  <c r="T26" i="1" s="1"/>
  <c r="I26" i="1"/>
  <c r="AJ25" i="1"/>
  <c r="K25" i="1"/>
  <c r="L25" i="1" s="1"/>
  <c r="X25" i="1" s="1"/>
  <c r="I25" i="1"/>
  <c r="AJ24" i="1"/>
  <c r="K24" i="1"/>
  <c r="L24" i="1" s="1"/>
  <c r="I24" i="1"/>
  <c r="AJ23" i="1"/>
  <c r="K23" i="1"/>
  <c r="L23" i="1" s="1"/>
  <c r="I23" i="1"/>
  <c r="AJ22" i="1"/>
  <c r="K22" i="1"/>
  <c r="L22" i="1" s="1"/>
  <c r="I22" i="1"/>
  <c r="AJ21" i="1"/>
  <c r="K21" i="1"/>
  <c r="L21" i="1" s="1"/>
  <c r="I21" i="1"/>
  <c r="AJ20" i="1"/>
  <c r="K20" i="1"/>
  <c r="L20" i="1" s="1"/>
  <c r="R20" i="1" s="1"/>
  <c r="I20" i="1"/>
  <c r="AJ19" i="1"/>
  <c r="K19" i="1"/>
  <c r="L19" i="1" s="1"/>
  <c r="P19" i="1" s="1"/>
  <c r="I19" i="1"/>
  <c r="AJ18" i="1"/>
  <c r="K18" i="1"/>
  <c r="L18" i="1" s="1"/>
  <c r="R18" i="1" s="1"/>
  <c r="I18" i="1"/>
  <c r="AJ17" i="1"/>
  <c r="K17" i="1"/>
  <c r="L17" i="1" s="1"/>
  <c r="T17" i="1" s="1"/>
  <c r="I17" i="1"/>
  <c r="AJ16" i="1"/>
  <c r="K16" i="1"/>
  <c r="L16" i="1" s="1"/>
  <c r="I16" i="1"/>
  <c r="AJ15" i="1"/>
  <c r="K15" i="1"/>
  <c r="L15" i="1" s="1"/>
  <c r="I15" i="1"/>
  <c r="AJ14" i="1"/>
  <c r="K14" i="1"/>
  <c r="L14" i="1" s="1"/>
  <c r="AD14" i="1" s="1"/>
  <c r="I14" i="1"/>
  <c r="L53" i="20" l="1"/>
  <c r="L52" i="20"/>
  <c r="L48" i="20"/>
  <c r="O64" i="20"/>
  <c r="L63" i="20"/>
  <c r="F62" i="20"/>
  <c r="O60" i="20"/>
  <c r="O52" i="20"/>
  <c r="O48" i="20"/>
  <c r="O38" i="20"/>
  <c r="L37" i="20"/>
  <c r="F36" i="20"/>
  <c r="F50" i="20" s="1"/>
  <c r="O34" i="20"/>
  <c r="L28" i="20"/>
  <c r="F27" i="20"/>
  <c r="O25" i="20"/>
  <c r="L24" i="20"/>
  <c r="F23" i="20"/>
  <c r="O16" i="20"/>
  <c r="L15" i="20"/>
  <c r="I15" i="20" s="1"/>
  <c r="R15" i="20" s="1"/>
  <c r="F14" i="20"/>
  <c r="O12" i="20"/>
  <c r="L49" i="20"/>
  <c r="F61" i="20"/>
  <c r="O49" i="20"/>
  <c r="F35" i="20"/>
  <c r="F49" i="20" s="1"/>
  <c r="L27" i="20"/>
  <c r="L23" i="20"/>
  <c r="F13" i="20"/>
  <c r="L51" i="20"/>
  <c r="O65" i="20"/>
  <c r="L64" i="20"/>
  <c r="L66" i="20" s="1"/>
  <c r="F63" i="20"/>
  <c r="O61" i="20"/>
  <c r="L60" i="20"/>
  <c r="O51" i="20"/>
  <c r="O39" i="20"/>
  <c r="L38" i="20"/>
  <c r="F37" i="20"/>
  <c r="O35" i="20"/>
  <c r="L34" i="20"/>
  <c r="F28" i="20"/>
  <c r="O26" i="20"/>
  <c r="L25" i="20"/>
  <c r="I25" i="20" s="1"/>
  <c r="R25" i="20" s="1"/>
  <c r="F24" i="20"/>
  <c r="O17" i="20"/>
  <c r="L16" i="20"/>
  <c r="F15" i="20"/>
  <c r="O13" i="20"/>
  <c r="L12" i="20"/>
  <c r="O63" i="20"/>
  <c r="O53" i="20"/>
  <c r="O37" i="20"/>
  <c r="O28" i="20"/>
  <c r="O24" i="20"/>
  <c r="O15" i="20"/>
  <c r="L50" i="20"/>
  <c r="L65" i="20"/>
  <c r="F64" i="20"/>
  <c r="O62" i="20"/>
  <c r="L61" i="20"/>
  <c r="F60" i="20"/>
  <c r="O50" i="20"/>
  <c r="L39" i="20"/>
  <c r="I39" i="20" s="1"/>
  <c r="R39" i="20" s="1"/>
  <c r="F38" i="20"/>
  <c r="F52" i="20" s="1"/>
  <c r="O36" i="20"/>
  <c r="L35" i="20"/>
  <c r="F34" i="20"/>
  <c r="O27" i="20"/>
  <c r="L26" i="20"/>
  <c r="F25" i="20"/>
  <c r="O23" i="20"/>
  <c r="O29" i="20" s="1"/>
  <c r="L17" i="20"/>
  <c r="F16" i="20"/>
  <c r="O14" i="20"/>
  <c r="L13" i="20"/>
  <c r="F12" i="20"/>
  <c r="F65" i="20"/>
  <c r="L62" i="20"/>
  <c r="I62" i="20" s="1"/>
  <c r="F39" i="20"/>
  <c r="F53" i="20" s="1"/>
  <c r="L36" i="20"/>
  <c r="F26" i="20"/>
  <c r="F51" i="20" s="1"/>
  <c r="F17" i="20"/>
  <c r="L14" i="20"/>
  <c r="I14" i="20" s="1"/>
  <c r="R14" i="20" s="1"/>
  <c r="AE228" i="1"/>
  <c r="AF228" i="1" s="1"/>
  <c r="AE149" i="1"/>
  <c r="AF149" i="1" s="1"/>
  <c r="AE148" i="1"/>
  <c r="AF148" i="1" s="1"/>
  <c r="AE147" i="1"/>
  <c r="AF147" i="1" s="1"/>
  <c r="AE227" i="1"/>
  <c r="AF227" i="1" s="1"/>
  <c r="AD185" i="1"/>
  <c r="X185" i="1"/>
  <c r="Z185" i="1"/>
  <c r="AB185" i="1"/>
  <c r="AD175" i="1"/>
  <c r="AB175" i="1"/>
  <c r="Z175" i="1"/>
  <c r="X175" i="1"/>
  <c r="AE239" i="1"/>
  <c r="AF239" i="1" s="1"/>
  <c r="U239" i="1"/>
  <c r="U228" i="1"/>
  <c r="U227" i="1"/>
  <c r="U149" i="1"/>
  <c r="U148" i="1"/>
  <c r="U147" i="1"/>
  <c r="U150" i="1"/>
  <c r="AB157" i="1"/>
  <c r="Z73" i="1"/>
  <c r="R191" i="1"/>
  <c r="T108" i="1"/>
  <c r="T57" i="1"/>
  <c r="Z108" i="1"/>
  <c r="T186" i="1"/>
  <c r="N198" i="1"/>
  <c r="X53" i="1"/>
  <c r="Z76" i="1"/>
  <c r="AB153" i="1"/>
  <c r="X87" i="1"/>
  <c r="T129" i="1"/>
  <c r="Z69" i="1"/>
  <c r="P103" i="1"/>
  <c r="X123" i="1"/>
  <c r="P125" i="1"/>
  <c r="P178" i="1"/>
  <c r="T124" i="1"/>
  <c r="P193" i="1"/>
  <c r="T128" i="1"/>
  <c r="AD146" i="1"/>
  <c r="N162" i="1"/>
  <c r="X177" i="1"/>
  <c r="X188" i="1"/>
  <c r="P205" i="1"/>
  <c r="X76" i="1"/>
  <c r="N83" i="1"/>
  <c r="N103" i="1"/>
  <c r="X162" i="1"/>
  <c r="AB162" i="1"/>
  <c r="X68" i="1"/>
  <c r="R70" i="1"/>
  <c r="R103" i="1"/>
  <c r="AB109" i="1"/>
  <c r="X187" i="1"/>
  <c r="AB191" i="1"/>
  <c r="P218" i="1"/>
  <c r="X220" i="1"/>
  <c r="X66" i="1"/>
  <c r="T70" i="1"/>
  <c r="AD103" i="1"/>
  <c r="X218" i="1"/>
  <c r="X45" i="1"/>
  <c r="P55" i="1"/>
  <c r="R57" i="1"/>
  <c r="R59" i="1"/>
  <c r="X70" i="1"/>
  <c r="AB178" i="1"/>
  <c r="X195" i="1"/>
  <c r="I51" i="20"/>
  <c r="R51" i="20" s="1"/>
  <c r="T212" i="1"/>
  <c r="Z212" i="1"/>
  <c r="X212" i="1"/>
  <c r="R212" i="1"/>
  <c r="X46" i="1"/>
  <c r="AB46" i="1"/>
  <c r="R179" i="1"/>
  <c r="Z179" i="1"/>
  <c r="X179" i="1"/>
  <c r="AB208" i="1"/>
  <c r="X78" i="1"/>
  <c r="Z82" i="1"/>
  <c r="P95" i="1"/>
  <c r="AB99" i="1"/>
  <c r="X158" i="1"/>
  <c r="AB174" i="1"/>
  <c r="AB206" i="1"/>
  <c r="R210" i="1"/>
  <c r="I36" i="20"/>
  <c r="R36" i="20" s="1"/>
  <c r="I65" i="20"/>
  <c r="R65" i="20" s="1"/>
  <c r="R41" i="1"/>
  <c r="N35" i="1"/>
  <c r="T41" i="1"/>
  <c r="N45" i="1"/>
  <c r="R51" i="1"/>
  <c r="N53" i="1"/>
  <c r="P63" i="1"/>
  <c r="P65" i="1"/>
  <c r="P91" i="1"/>
  <c r="P93" i="1"/>
  <c r="R95" i="1"/>
  <c r="P113" i="1"/>
  <c r="AD174" i="1"/>
  <c r="Z210" i="1"/>
  <c r="P222" i="1"/>
  <c r="P72" i="1"/>
  <c r="AB80" i="1"/>
  <c r="N210" i="1"/>
  <c r="P35" i="1"/>
  <c r="X41" i="1"/>
  <c r="R45" i="1"/>
  <c r="Z51" i="1"/>
  <c r="R53" i="1"/>
  <c r="R63" i="1"/>
  <c r="AD65" i="1"/>
  <c r="R91" i="1"/>
  <c r="T113" i="1"/>
  <c r="X222" i="1"/>
  <c r="N41" i="1"/>
  <c r="N99" i="1"/>
  <c r="R174" i="1"/>
  <c r="T194" i="1"/>
  <c r="X35" i="1"/>
  <c r="N73" i="1"/>
  <c r="R109" i="1"/>
  <c r="AD113" i="1"/>
  <c r="P133" i="1"/>
  <c r="T178" i="1"/>
  <c r="T188" i="1"/>
  <c r="R195" i="1"/>
  <c r="T198" i="1"/>
  <c r="X205" i="1"/>
  <c r="P78" i="1"/>
  <c r="P82" i="1"/>
  <c r="AD35" i="1"/>
  <c r="P130" i="1"/>
  <c r="T132" i="1"/>
  <c r="I28" i="20"/>
  <c r="R28" i="20" s="1"/>
  <c r="R68" i="1"/>
  <c r="R128" i="1"/>
  <c r="AB195" i="1"/>
  <c r="T24" i="1"/>
  <c r="AB24" i="1"/>
  <c r="R24" i="1"/>
  <c r="N24" i="1"/>
  <c r="X29" i="1"/>
  <c r="R29" i="1"/>
  <c r="Z32" i="1"/>
  <c r="AB32" i="1"/>
  <c r="AD116" i="1"/>
  <c r="T116" i="1"/>
  <c r="R116" i="1"/>
  <c r="P116" i="1"/>
  <c r="Z116" i="1"/>
  <c r="Z105" i="1"/>
  <c r="N105" i="1"/>
  <c r="AB50" i="1"/>
  <c r="X50" i="1"/>
  <c r="Z52" i="1"/>
  <c r="R52" i="1"/>
  <c r="T92" i="1"/>
  <c r="N92" i="1"/>
  <c r="AD92" i="1"/>
  <c r="AD119" i="1"/>
  <c r="Z119" i="1"/>
  <c r="P119" i="1"/>
  <c r="AB119" i="1"/>
  <c r="T169" i="1"/>
  <c r="R169" i="1"/>
  <c r="X169" i="1"/>
  <c r="Z180" i="1"/>
  <c r="N180" i="1"/>
  <c r="T30" i="1"/>
  <c r="AB30" i="1"/>
  <c r="R30" i="1"/>
  <c r="N30" i="1"/>
  <c r="X58" i="1"/>
  <c r="R58" i="1"/>
  <c r="Z86" i="1"/>
  <c r="P86" i="1"/>
  <c r="N86" i="1"/>
  <c r="AD86" i="1"/>
  <c r="Z15" i="1"/>
  <c r="AB15" i="1"/>
  <c r="T15" i="1"/>
  <c r="R15" i="1"/>
  <c r="N15" i="1"/>
  <c r="X23" i="1"/>
  <c r="R23" i="1"/>
  <c r="AB33" i="1"/>
  <c r="X33" i="1"/>
  <c r="T33" i="1"/>
  <c r="Z151" i="1"/>
  <c r="X151" i="1"/>
  <c r="R151" i="1"/>
  <c r="Z21" i="1"/>
  <c r="T21" i="1"/>
  <c r="N21" i="1"/>
  <c r="AB21" i="1"/>
  <c r="T61" i="1"/>
  <c r="R61" i="1"/>
  <c r="X61" i="1"/>
  <c r="Z61" i="1"/>
  <c r="R26" i="1"/>
  <c r="P37" i="1"/>
  <c r="Z43" i="1"/>
  <c r="AB47" i="1"/>
  <c r="N49" i="1"/>
  <c r="X57" i="1"/>
  <c r="P67" i="1"/>
  <c r="AB71" i="1"/>
  <c r="AB76" i="1"/>
  <c r="AD82" i="1"/>
  <c r="R84" i="1"/>
  <c r="AB91" i="1"/>
  <c r="N94" i="1"/>
  <c r="AB95" i="1"/>
  <c r="X128" i="1"/>
  <c r="R136" i="1"/>
  <c r="R156" i="1"/>
  <c r="X166" i="1"/>
  <c r="AD178" i="1"/>
  <c r="N183" i="1"/>
  <c r="AD201" i="1"/>
  <c r="N203" i="1"/>
  <c r="P207" i="1"/>
  <c r="T210" i="1"/>
  <c r="AB212" i="1"/>
  <c r="R214" i="1"/>
  <c r="AB218" i="1"/>
  <c r="X221" i="1"/>
  <c r="R224" i="1"/>
  <c r="I17" i="20"/>
  <c r="R17" i="20" s="1"/>
  <c r="I61" i="20"/>
  <c r="R61" i="20" s="1"/>
  <c r="N37" i="1"/>
  <c r="N214" i="1"/>
  <c r="AB57" i="1"/>
  <c r="AB84" i="1"/>
  <c r="AD91" i="1"/>
  <c r="AB94" i="1"/>
  <c r="AD95" i="1"/>
  <c r="T136" i="1"/>
  <c r="T156" i="1"/>
  <c r="AB166" i="1"/>
  <c r="P183" i="1"/>
  <c r="P203" i="1"/>
  <c r="X207" i="1"/>
  <c r="X210" i="1"/>
  <c r="T214" i="1"/>
  <c r="AD218" i="1"/>
  <c r="N220" i="1"/>
  <c r="AB224" i="1"/>
  <c r="I12" i="20"/>
  <c r="R12" i="20" s="1"/>
  <c r="I49" i="20"/>
  <c r="R49" i="20" s="1"/>
  <c r="P43" i="1"/>
  <c r="N207" i="1"/>
  <c r="I27" i="20"/>
  <c r="R27" i="20" s="1"/>
  <c r="AB26" i="1"/>
  <c r="R49" i="1"/>
  <c r="X37" i="1"/>
  <c r="R66" i="1"/>
  <c r="N87" i="1"/>
  <c r="N88" i="1"/>
  <c r="P99" i="1"/>
  <c r="R110" i="1"/>
  <c r="P117" i="1"/>
  <c r="P124" i="1"/>
  <c r="P132" i="1"/>
  <c r="T133" i="1"/>
  <c r="X136" i="1"/>
  <c r="T153" i="1"/>
  <c r="X156" i="1"/>
  <c r="R183" i="1"/>
  <c r="T184" i="1"/>
  <c r="X203" i="1"/>
  <c r="X214" i="1"/>
  <c r="P220" i="1"/>
  <c r="P226" i="1"/>
  <c r="I38" i="20"/>
  <c r="R38" i="20" s="1"/>
  <c r="N26" i="1"/>
  <c r="T37" i="1"/>
  <c r="R25" i="1"/>
  <c r="R46" i="1"/>
  <c r="T49" i="1"/>
  <c r="AB37" i="1"/>
  <c r="T45" i="1"/>
  <c r="X49" i="1"/>
  <c r="T53" i="1"/>
  <c r="P59" i="1"/>
  <c r="X63" i="1"/>
  <c r="N65" i="1"/>
  <c r="T66" i="1"/>
  <c r="N69" i="1"/>
  <c r="N80" i="1"/>
  <c r="P87" i="1"/>
  <c r="R99" i="1"/>
  <c r="T110" i="1"/>
  <c r="T117" i="1"/>
  <c r="R124" i="1"/>
  <c r="R132" i="1"/>
  <c r="N158" i="1"/>
  <c r="P174" i="1"/>
  <c r="N178" i="1"/>
  <c r="T183" i="1"/>
  <c r="T191" i="1"/>
  <c r="T195" i="1"/>
  <c r="R198" i="1"/>
  <c r="AB203" i="1"/>
  <c r="N205" i="1"/>
  <c r="N212" i="1"/>
  <c r="R220" i="1"/>
  <c r="AB226" i="1"/>
  <c r="P136" i="1"/>
  <c r="N166" i="1"/>
  <c r="X183" i="1"/>
  <c r="I26" i="20"/>
  <c r="X34" i="1"/>
  <c r="P68" i="1"/>
  <c r="R72" i="1"/>
  <c r="N77" i="1"/>
  <c r="X124" i="1"/>
  <c r="P128" i="1"/>
  <c r="X132" i="1"/>
  <c r="AB158" i="1"/>
  <c r="AD183" i="1"/>
  <c r="R205" i="1"/>
  <c r="N222" i="1"/>
  <c r="I16" i="20"/>
  <c r="R16" i="20" s="1"/>
  <c r="I60" i="20"/>
  <c r="R60" i="20" s="1"/>
  <c r="AD28" i="1"/>
  <c r="P28" i="1"/>
  <c r="AB28" i="1"/>
  <c r="N28" i="1"/>
  <c r="Z28" i="1"/>
  <c r="X28" i="1"/>
  <c r="T28" i="1"/>
  <c r="R28" i="1"/>
  <c r="R38" i="1"/>
  <c r="AB38" i="1"/>
  <c r="N38" i="1"/>
  <c r="AD38" i="1"/>
  <c r="X38" i="1"/>
  <c r="T38" i="1"/>
  <c r="Z38" i="1"/>
  <c r="P38" i="1"/>
  <c r="AD54" i="1"/>
  <c r="N54" i="1"/>
  <c r="T54" i="1"/>
  <c r="P54" i="1"/>
  <c r="Z54" i="1"/>
  <c r="AB54" i="1"/>
  <c r="X54" i="1"/>
  <c r="R54" i="1"/>
  <c r="T22" i="1"/>
  <c r="P22" i="1"/>
  <c r="AD22" i="1"/>
  <c r="R22" i="1"/>
  <c r="AB22" i="1"/>
  <c r="N22" i="1"/>
  <c r="X22" i="1"/>
  <c r="Z22" i="1"/>
  <c r="R27" i="1"/>
  <c r="AB27" i="1"/>
  <c r="N27" i="1"/>
  <c r="AD27" i="1"/>
  <c r="P27" i="1"/>
  <c r="Z27" i="1"/>
  <c r="T27" i="1"/>
  <c r="X27" i="1"/>
  <c r="T16" i="1"/>
  <c r="R16" i="1"/>
  <c r="AB16" i="1"/>
  <c r="N16" i="1"/>
  <c r="P16" i="1"/>
  <c r="Z16" i="1"/>
  <c r="X16" i="1"/>
  <c r="AD16" i="1"/>
  <c r="AD42" i="1"/>
  <c r="N42" i="1"/>
  <c r="T42" i="1"/>
  <c r="P42" i="1"/>
  <c r="Z42" i="1"/>
  <c r="R42" i="1"/>
  <c r="AB42" i="1"/>
  <c r="X42" i="1"/>
  <c r="Z31" i="1"/>
  <c r="T31" i="1"/>
  <c r="R31" i="1"/>
  <c r="AD31" i="1"/>
  <c r="P31" i="1"/>
  <c r="N31" i="1"/>
  <c r="AB31" i="1"/>
  <c r="X31" i="1"/>
  <c r="Z14" i="1"/>
  <c r="Z23" i="1"/>
  <c r="Z25" i="1"/>
  <c r="Z29" i="1"/>
  <c r="Z36" i="1"/>
  <c r="R40" i="1"/>
  <c r="AD40" i="1"/>
  <c r="N40" i="1"/>
  <c r="Z40" i="1"/>
  <c r="T14" i="1"/>
  <c r="P15" i="1"/>
  <c r="AD15" i="1"/>
  <c r="T18" i="1"/>
  <c r="T20" i="1"/>
  <c r="P21" i="1"/>
  <c r="AD21" i="1"/>
  <c r="N23" i="1"/>
  <c r="AB23" i="1"/>
  <c r="X24" i="1"/>
  <c r="N25" i="1"/>
  <c r="AB25" i="1"/>
  <c r="X26" i="1"/>
  <c r="N29" i="1"/>
  <c r="AB29" i="1"/>
  <c r="X30" i="1"/>
  <c r="T32" i="1"/>
  <c r="N33" i="1"/>
  <c r="T35" i="1"/>
  <c r="AD36" i="1"/>
  <c r="X39" i="1"/>
  <c r="P40" i="1"/>
  <c r="R43" i="1"/>
  <c r="P47" i="1"/>
  <c r="R50" i="1"/>
  <c r="T51" i="1"/>
  <c r="AD51" i="1"/>
  <c r="N51" i="1"/>
  <c r="X51" i="1"/>
  <c r="Z59" i="1"/>
  <c r="N59" i="1"/>
  <c r="AB59" i="1"/>
  <c r="X59" i="1"/>
  <c r="T59" i="1"/>
  <c r="T89" i="1"/>
  <c r="X89" i="1"/>
  <c r="R89" i="1"/>
  <c r="Z89" i="1"/>
  <c r="N89" i="1"/>
  <c r="AD89" i="1"/>
  <c r="AB89" i="1"/>
  <c r="P89" i="1"/>
  <c r="T168" i="1"/>
  <c r="R168" i="1"/>
  <c r="X168" i="1"/>
  <c r="P168" i="1"/>
  <c r="AD168" i="1"/>
  <c r="Z168" i="1"/>
  <c r="N168" i="1"/>
  <c r="AB168" i="1"/>
  <c r="Z17" i="1"/>
  <c r="AD17" i="1"/>
  <c r="Z18" i="1"/>
  <c r="AD19" i="1"/>
  <c r="Z20" i="1"/>
  <c r="R14" i="1"/>
  <c r="X17" i="1"/>
  <c r="X19" i="1"/>
  <c r="R21" i="1"/>
  <c r="P23" i="1"/>
  <c r="AD23" i="1"/>
  <c r="Z24" i="1"/>
  <c r="P25" i="1"/>
  <c r="AD25" i="1"/>
  <c r="Z26" i="1"/>
  <c r="P29" i="1"/>
  <c r="AD29" i="1"/>
  <c r="Z30" i="1"/>
  <c r="X32" i="1"/>
  <c r="R33" i="1"/>
  <c r="T40" i="1"/>
  <c r="AD44" i="1"/>
  <c r="P44" i="1"/>
  <c r="N44" i="1"/>
  <c r="AB44" i="1"/>
  <c r="X44" i="1"/>
  <c r="T44" i="1"/>
  <c r="R47" i="1"/>
  <c r="T55" i="1"/>
  <c r="AD55" i="1"/>
  <c r="N55" i="1"/>
  <c r="X55" i="1"/>
  <c r="AD58" i="1"/>
  <c r="N58" i="1"/>
  <c r="T58" i="1"/>
  <c r="P58" i="1"/>
  <c r="Z58" i="1"/>
  <c r="T60" i="1"/>
  <c r="P60" i="1"/>
  <c r="AD60" i="1"/>
  <c r="AB60" i="1"/>
  <c r="X60" i="1"/>
  <c r="AD62" i="1"/>
  <c r="P62" i="1"/>
  <c r="Z62" i="1"/>
  <c r="X62" i="1"/>
  <c r="T62" i="1"/>
  <c r="R62" i="1"/>
  <c r="N62" i="1"/>
  <c r="X14" i="1"/>
  <c r="F64" i="19"/>
  <c r="F39" i="19"/>
  <c r="F28" i="19"/>
  <c r="F48" i="19"/>
  <c r="F25" i="19"/>
  <c r="F17" i="19"/>
  <c r="F63" i="19"/>
  <c r="F59" i="19"/>
  <c r="F50" i="19"/>
  <c r="F38" i="19"/>
  <c r="F27" i="19"/>
  <c r="F62" i="19"/>
  <c r="F47" i="19"/>
  <c r="F37" i="19"/>
  <c r="F34" i="19"/>
  <c r="F24" i="19"/>
  <c r="F16" i="19"/>
  <c r="F23" i="19"/>
  <c r="F13" i="19"/>
  <c r="F51" i="19"/>
  <c r="F49" i="19"/>
  <c r="F35" i="19"/>
  <c r="F61" i="19"/>
  <c r="F15" i="19"/>
  <c r="F60" i="19"/>
  <c r="F26" i="19"/>
  <c r="F14" i="19"/>
  <c r="F52" i="19"/>
  <c r="F36" i="19"/>
  <c r="F12" i="19"/>
  <c r="N17" i="1"/>
  <c r="AB17" i="1"/>
  <c r="X18" i="1"/>
  <c r="N19" i="1"/>
  <c r="AB19" i="1"/>
  <c r="X20" i="1"/>
  <c r="T23" i="1"/>
  <c r="L48" i="19" s="1"/>
  <c r="P24" i="1"/>
  <c r="AD24" i="1"/>
  <c r="T25" i="1"/>
  <c r="P26" i="1"/>
  <c r="AD26" i="1"/>
  <c r="T29" i="1"/>
  <c r="P30" i="1"/>
  <c r="AD30" i="1"/>
  <c r="AD32" i="1"/>
  <c r="AB34" i="1"/>
  <c r="R37" i="1"/>
  <c r="Z37" i="1"/>
  <c r="X40" i="1"/>
  <c r="AD52" i="1"/>
  <c r="P52" i="1"/>
  <c r="N52" i="1"/>
  <c r="AB52" i="1"/>
  <c r="X52" i="1"/>
  <c r="T52" i="1"/>
  <c r="R55" i="1"/>
  <c r="R60" i="1"/>
  <c r="R36" i="1"/>
  <c r="AB36" i="1"/>
  <c r="N36" i="1"/>
  <c r="AD39" i="1"/>
  <c r="N39" i="1"/>
  <c r="Z39" i="1"/>
  <c r="T39" i="1"/>
  <c r="AD56" i="1"/>
  <c r="P56" i="1"/>
  <c r="N56" i="1"/>
  <c r="AB56" i="1"/>
  <c r="X56" i="1"/>
  <c r="T56" i="1"/>
  <c r="N14" i="1"/>
  <c r="AB14" i="1"/>
  <c r="X15" i="1"/>
  <c r="R17" i="1"/>
  <c r="N18" i="1"/>
  <c r="AB18" i="1"/>
  <c r="R19" i="1"/>
  <c r="N20" i="1"/>
  <c r="AB20" i="1"/>
  <c r="X21" i="1"/>
  <c r="N32" i="1"/>
  <c r="Z33" i="1"/>
  <c r="R35" i="1"/>
  <c r="Z35" i="1"/>
  <c r="P39" i="1"/>
  <c r="Z44" i="1"/>
  <c r="AB51" i="1"/>
  <c r="Z55" i="1"/>
  <c r="R56" i="1"/>
  <c r="AB58" i="1"/>
  <c r="Z60" i="1"/>
  <c r="P75" i="1"/>
  <c r="Z75" i="1"/>
  <c r="R75" i="1"/>
  <c r="AD75" i="1"/>
  <c r="AB75" i="1"/>
  <c r="X75" i="1"/>
  <c r="T75" i="1"/>
  <c r="N75" i="1"/>
  <c r="AD48" i="1"/>
  <c r="P48" i="1"/>
  <c r="N48" i="1"/>
  <c r="AB48" i="1"/>
  <c r="X48" i="1"/>
  <c r="T48" i="1"/>
  <c r="P17" i="1"/>
  <c r="R34" i="1"/>
  <c r="Z34" i="1"/>
  <c r="AD34" i="1"/>
  <c r="T36" i="1"/>
  <c r="P14" i="1"/>
  <c r="P18" i="1"/>
  <c r="AD18" i="1"/>
  <c r="T19" i="1"/>
  <c r="P20" i="1"/>
  <c r="AD20" i="1"/>
  <c r="P32" i="1"/>
  <c r="P34" i="1"/>
  <c r="X36" i="1"/>
  <c r="R39" i="1"/>
  <c r="T43" i="1"/>
  <c r="AD43" i="1"/>
  <c r="N43" i="1"/>
  <c r="X43" i="1"/>
  <c r="AD46" i="1"/>
  <c r="N46" i="1"/>
  <c r="T46" i="1"/>
  <c r="P46" i="1"/>
  <c r="Z46" i="1"/>
  <c r="Z48" i="1"/>
  <c r="T64" i="1"/>
  <c r="P64" i="1"/>
  <c r="N64" i="1"/>
  <c r="AD64" i="1"/>
  <c r="AB64" i="1"/>
  <c r="Z64" i="1"/>
  <c r="X64" i="1"/>
  <c r="AD81" i="1"/>
  <c r="P81" i="1"/>
  <c r="R81" i="1"/>
  <c r="T81" i="1"/>
  <c r="Z81" i="1"/>
  <c r="X81" i="1"/>
  <c r="N81" i="1"/>
  <c r="Z19" i="1"/>
  <c r="R32" i="1"/>
  <c r="AD33" i="1"/>
  <c r="P33" i="1"/>
  <c r="T34" i="1"/>
  <c r="T47" i="1"/>
  <c r="AD47" i="1"/>
  <c r="N47" i="1"/>
  <c r="X47" i="1"/>
  <c r="AD50" i="1"/>
  <c r="N50" i="1"/>
  <c r="T50" i="1"/>
  <c r="P50" i="1"/>
  <c r="Z50" i="1"/>
  <c r="X85" i="1"/>
  <c r="P85" i="1"/>
  <c r="Z85" i="1"/>
  <c r="AD85" i="1"/>
  <c r="AB85" i="1"/>
  <c r="T85" i="1"/>
  <c r="R85" i="1"/>
  <c r="N85" i="1"/>
  <c r="AB61" i="1"/>
  <c r="T63" i="1"/>
  <c r="T65" i="1"/>
  <c r="AB65" i="1"/>
  <c r="Z67" i="1"/>
  <c r="AD67" i="1"/>
  <c r="N67" i="1"/>
  <c r="T69" i="1"/>
  <c r="AB69" i="1"/>
  <c r="Z71" i="1"/>
  <c r="AD71" i="1"/>
  <c r="N71" i="1"/>
  <c r="T73" i="1"/>
  <c r="AB73" i="1"/>
  <c r="X74" i="1"/>
  <c r="Z78" i="1"/>
  <c r="R78" i="1"/>
  <c r="N78" i="1"/>
  <c r="X79" i="1"/>
  <c r="R80" i="1"/>
  <c r="R83" i="1"/>
  <c r="AD90" i="1"/>
  <c r="P90" i="1"/>
  <c r="X90" i="1"/>
  <c r="T90" i="1"/>
  <c r="AD98" i="1"/>
  <c r="P98" i="1"/>
  <c r="X98" i="1"/>
  <c r="T98" i="1"/>
  <c r="N98" i="1"/>
  <c r="AD106" i="1"/>
  <c r="N106" i="1"/>
  <c r="AB106" i="1"/>
  <c r="X106" i="1"/>
  <c r="Z106" i="1"/>
  <c r="R106" i="1"/>
  <c r="P106" i="1"/>
  <c r="AB118" i="1"/>
  <c r="N118" i="1"/>
  <c r="X118" i="1"/>
  <c r="Z118" i="1"/>
  <c r="T118" i="1"/>
  <c r="R118" i="1"/>
  <c r="P118" i="1"/>
  <c r="AD118" i="1"/>
  <c r="T138" i="1"/>
  <c r="AD138" i="1"/>
  <c r="R138" i="1"/>
  <c r="N138" i="1"/>
  <c r="AB138" i="1"/>
  <c r="Z138" i="1"/>
  <c r="X138" i="1"/>
  <c r="P138" i="1"/>
  <c r="T152" i="1"/>
  <c r="P152" i="1"/>
  <c r="AD152" i="1"/>
  <c r="Z152" i="1"/>
  <c r="X152" i="1"/>
  <c r="R152" i="1"/>
  <c r="N152" i="1"/>
  <c r="AD61" i="1"/>
  <c r="X72" i="1"/>
  <c r="AB74" i="1"/>
  <c r="AB79" i="1"/>
  <c r="T83" i="1"/>
  <c r="X88" i="1"/>
  <c r="X96" i="1"/>
  <c r="R96" i="1"/>
  <c r="T96" i="1"/>
  <c r="P96" i="1"/>
  <c r="N96" i="1"/>
  <c r="AB96" i="1"/>
  <c r="T97" i="1"/>
  <c r="X97" i="1"/>
  <c r="R97" i="1"/>
  <c r="AB97" i="1"/>
  <c r="Z97" i="1"/>
  <c r="N97" i="1"/>
  <c r="AD102" i="1"/>
  <c r="P102" i="1"/>
  <c r="X102" i="1"/>
  <c r="T102" i="1"/>
  <c r="Z102" i="1"/>
  <c r="T111" i="1"/>
  <c r="N111" i="1"/>
  <c r="AD111" i="1"/>
  <c r="Z111" i="1"/>
  <c r="AB111" i="1"/>
  <c r="R111" i="1"/>
  <c r="R114" i="1"/>
  <c r="AD114" i="1"/>
  <c r="P114" i="1"/>
  <c r="AB114" i="1"/>
  <c r="Z114" i="1"/>
  <c r="X114" i="1"/>
  <c r="N114" i="1"/>
  <c r="AB152" i="1"/>
  <c r="N61" i="1"/>
  <c r="R67" i="1"/>
  <c r="Z68" i="1"/>
  <c r="P69" i="1"/>
  <c r="R71" i="1"/>
  <c r="Z72" i="1"/>
  <c r="P73" i="1"/>
  <c r="T76" i="1"/>
  <c r="P76" i="1"/>
  <c r="AD76" i="1"/>
  <c r="X77" i="1"/>
  <c r="T78" i="1"/>
  <c r="X80" i="1"/>
  <c r="Z84" i="1"/>
  <c r="X84" i="1"/>
  <c r="P84" i="1"/>
  <c r="Z88" i="1"/>
  <c r="R90" i="1"/>
  <c r="AB93" i="1"/>
  <c r="P97" i="1"/>
  <c r="X100" i="1"/>
  <c r="R100" i="1"/>
  <c r="AD100" i="1"/>
  <c r="AB100" i="1"/>
  <c r="Z100" i="1"/>
  <c r="P100" i="1"/>
  <c r="T101" i="1"/>
  <c r="X101" i="1"/>
  <c r="R101" i="1"/>
  <c r="P101" i="1"/>
  <c r="N101" i="1"/>
  <c r="Z101" i="1"/>
  <c r="N102" i="1"/>
  <c r="P111" i="1"/>
  <c r="T114" i="1"/>
  <c r="Z41" i="1"/>
  <c r="P41" i="1"/>
  <c r="AD41" i="1"/>
  <c r="Z45" i="1"/>
  <c r="P45" i="1"/>
  <c r="AD45" i="1"/>
  <c r="Z49" i="1"/>
  <c r="P49" i="1"/>
  <c r="AD49" i="1"/>
  <c r="Z53" i="1"/>
  <c r="P53" i="1"/>
  <c r="AD53" i="1"/>
  <c r="Z57" i="1"/>
  <c r="P57" i="1"/>
  <c r="AD57" i="1"/>
  <c r="P61" i="1"/>
  <c r="AB63" i="1"/>
  <c r="R65" i="1"/>
  <c r="T67" i="1"/>
  <c r="R69" i="1"/>
  <c r="T71" i="1"/>
  <c r="R73" i="1"/>
  <c r="N76" i="1"/>
  <c r="T82" i="1"/>
  <c r="X82" i="1"/>
  <c r="AB82" i="1"/>
  <c r="R82" i="1"/>
  <c r="Z83" i="1"/>
  <c r="N84" i="1"/>
  <c r="T86" i="1"/>
  <c r="X86" i="1"/>
  <c r="R86" i="1"/>
  <c r="AB86" i="1"/>
  <c r="Z96" i="1"/>
  <c r="Z98" i="1"/>
  <c r="N100" i="1"/>
  <c r="R102" i="1"/>
  <c r="T105" i="1"/>
  <c r="X105" i="1"/>
  <c r="R105" i="1"/>
  <c r="AD105" i="1"/>
  <c r="AB105" i="1"/>
  <c r="P105" i="1"/>
  <c r="X111" i="1"/>
  <c r="AD63" i="1"/>
  <c r="AD66" i="1"/>
  <c r="P66" i="1"/>
  <c r="AB66" i="1"/>
  <c r="T68" i="1"/>
  <c r="AB68" i="1"/>
  <c r="AD70" i="1"/>
  <c r="P70" i="1"/>
  <c r="AB70" i="1"/>
  <c r="T72" i="1"/>
  <c r="AB72" i="1"/>
  <c r="Z74" i="1"/>
  <c r="R74" i="1"/>
  <c r="N74" i="1"/>
  <c r="P79" i="1"/>
  <c r="Z79" i="1"/>
  <c r="R79" i="1"/>
  <c r="Z90" i="1"/>
  <c r="AD96" i="1"/>
  <c r="AD97" i="1"/>
  <c r="AB98" i="1"/>
  <c r="T100" i="1"/>
  <c r="AB102" i="1"/>
  <c r="X104" i="1"/>
  <c r="R104" i="1"/>
  <c r="T104" i="1"/>
  <c r="P104" i="1"/>
  <c r="N104" i="1"/>
  <c r="AD104" i="1"/>
  <c r="R120" i="1"/>
  <c r="AD120" i="1"/>
  <c r="P120" i="1"/>
  <c r="AB120" i="1"/>
  <c r="N120" i="1"/>
  <c r="Z120" i="1"/>
  <c r="X120" i="1"/>
  <c r="N63" i="1"/>
  <c r="X65" i="1"/>
  <c r="N66" i="1"/>
  <c r="X67" i="1"/>
  <c r="N68" i="1"/>
  <c r="X69" i="1"/>
  <c r="N70" i="1"/>
  <c r="X71" i="1"/>
  <c r="N72" i="1"/>
  <c r="X73" i="1"/>
  <c r="P74" i="1"/>
  <c r="AB78" i="1"/>
  <c r="N79" i="1"/>
  <c r="T84" i="1"/>
  <c r="T87" i="1"/>
  <c r="AD87" i="1"/>
  <c r="AB87" i="1"/>
  <c r="R87" i="1"/>
  <c r="AB90" i="1"/>
  <c r="X92" i="1"/>
  <c r="R92" i="1"/>
  <c r="AB92" i="1"/>
  <c r="Z92" i="1"/>
  <c r="P92" i="1"/>
  <c r="AB101" i="1"/>
  <c r="R115" i="1"/>
  <c r="AB115" i="1"/>
  <c r="N115" i="1"/>
  <c r="Z115" i="1"/>
  <c r="X115" i="1"/>
  <c r="P115" i="1"/>
  <c r="AD115" i="1"/>
  <c r="T115" i="1"/>
  <c r="R137" i="1"/>
  <c r="AD137" i="1"/>
  <c r="N137" i="1"/>
  <c r="AB137" i="1"/>
  <c r="Z137" i="1"/>
  <c r="X137" i="1"/>
  <c r="T137" i="1"/>
  <c r="P137" i="1"/>
  <c r="Z142" i="1"/>
  <c r="X142" i="1"/>
  <c r="T142" i="1"/>
  <c r="R142" i="1"/>
  <c r="P142" i="1"/>
  <c r="AD142" i="1"/>
  <c r="AB142" i="1"/>
  <c r="AD161" i="1"/>
  <c r="P161" i="1"/>
  <c r="T161" i="1"/>
  <c r="N161" i="1"/>
  <c r="X161" i="1"/>
  <c r="R161" i="1"/>
  <c r="AB161" i="1"/>
  <c r="Z161" i="1"/>
  <c r="T74" i="1"/>
  <c r="AD77" i="1"/>
  <c r="P77" i="1"/>
  <c r="R77" i="1"/>
  <c r="T77" i="1"/>
  <c r="Z77" i="1"/>
  <c r="T79" i="1"/>
  <c r="T80" i="1"/>
  <c r="P80" i="1"/>
  <c r="AD80" i="1"/>
  <c r="AD83" i="1"/>
  <c r="P83" i="1"/>
  <c r="X83" i="1"/>
  <c r="R88" i="1"/>
  <c r="T88" i="1"/>
  <c r="P88" i="1"/>
  <c r="AB88" i="1"/>
  <c r="T93" i="1"/>
  <c r="X93" i="1"/>
  <c r="R93" i="1"/>
  <c r="N93" i="1"/>
  <c r="Z93" i="1"/>
  <c r="AD94" i="1"/>
  <c r="P94" i="1"/>
  <c r="X94" i="1"/>
  <c r="T94" i="1"/>
  <c r="Z94" i="1"/>
  <c r="AD101" i="1"/>
  <c r="AB104" i="1"/>
  <c r="T107" i="1"/>
  <c r="AD107" i="1"/>
  <c r="N107" i="1"/>
  <c r="AB107" i="1"/>
  <c r="X107" i="1"/>
  <c r="R107" i="1"/>
  <c r="P107" i="1"/>
  <c r="R112" i="1"/>
  <c r="AD112" i="1"/>
  <c r="P112" i="1"/>
  <c r="T112" i="1"/>
  <c r="AB112" i="1"/>
  <c r="X112" i="1"/>
  <c r="N112" i="1"/>
  <c r="Z140" i="1"/>
  <c r="P140" i="1"/>
  <c r="AB140" i="1"/>
  <c r="T140" i="1"/>
  <c r="AD140" i="1"/>
  <c r="X140" i="1"/>
  <c r="R140" i="1"/>
  <c r="N142" i="1"/>
  <c r="Z91" i="1"/>
  <c r="X91" i="1"/>
  <c r="T91" i="1"/>
  <c r="Z99" i="1"/>
  <c r="X99" i="1"/>
  <c r="T99" i="1"/>
  <c r="Z109" i="1"/>
  <c r="P109" i="1"/>
  <c r="AD109" i="1"/>
  <c r="N109" i="1"/>
  <c r="X109" i="1"/>
  <c r="T122" i="1"/>
  <c r="R122" i="1"/>
  <c r="AD122" i="1"/>
  <c r="N122" i="1"/>
  <c r="AB122" i="1"/>
  <c r="Z122" i="1"/>
  <c r="X122" i="1"/>
  <c r="P122" i="1"/>
  <c r="AD127" i="1"/>
  <c r="P127" i="1"/>
  <c r="T127" i="1"/>
  <c r="N127" i="1"/>
  <c r="AB127" i="1"/>
  <c r="Z127" i="1"/>
  <c r="X127" i="1"/>
  <c r="T164" i="1"/>
  <c r="R164" i="1"/>
  <c r="AD164" i="1"/>
  <c r="N164" i="1"/>
  <c r="AB164" i="1"/>
  <c r="X164" i="1"/>
  <c r="P164" i="1"/>
  <c r="Z164" i="1"/>
  <c r="T182" i="1"/>
  <c r="R182" i="1"/>
  <c r="P182" i="1"/>
  <c r="N182" i="1"/>
  <c r="AD182" i="1"/>
  <c r="AB182" i="1"/>
  <c r="Z182" i="1"/>
  <c r="X182" i="1"/>
  <c r="Z154" i="1"/>
  <c r="R154" i="1"/>
  <c r="N154" i="1"/>
  <c r="AD154" i="1"/>
  <c r="AB154" i="1"/>
  <c r="X154" i="1"/>
  <c r="T154" i="1"/>
  <c r="P154" i="1"/>
  <c r="T143" i="1"/>
  <c r="P143" i="1"/>
  <c r="AB143" i="1"/>
  <c r="Z143" i="1"/>
  <c r="X143" i="1"/>
  <c r="AD143" i="1"/>
  <c r="R143" i="1"/>
  <c r="AD173" i="1"/>
  <c r="P173" i="1"/>
  <c r="AB173" i="1"/>
  <c r="N173" i="1"/>
  <c r="Z173" i="1"/>
  <c r="X173" i="1"/>
  <c r="T173" i="1"/>
  <c r="R173" i="1"/>
  <c r="AD190" i="1"/>
  <c r="P190" i="1"/>
  <c r="X190" i="1"/>
  <c r="AB190" i="1"/>
  <c r="Z190" i="1"/>
  <c r="T190" i="1"/>
  <c r="R190" i="1"/>
  <c r="N190" i="1"/>
  <c r="AD110" i="1"/>
  <c r="N110" i="1"/>
  <c r="AB110" i="1"/>
  <c r="X110" i="1"/>
  <c r="R121" i="1"/>
  <c r="AD121" i="1"/>
  <c r="N121" i="1"/>
  <c r="AB121" i="1"/>
  <c r="Z121" i="1"/>
  <c r="X121" i="1"/>
  <c r="T121" i="1"/>
  <c r="T126" i="1"/>
  <c r="R126" i="1"/>
  <c r="AD126" i="1"/>
  <c r="N126" i="1"/>
  <c r="AB126" i="1"/>
  <c r="Z126" i="1"/>
  <c r="X126" i="1"/>
  <c r="AD139" i="1"/>
  <c r="P139" i="1"/>
  <c r="N139" i="1"/>
  <c r="T139" i="1"/>
  <c r="R139" i="1"/>
  <c r="AB139" i="1"/>
  <c r="Z139" i="1"/>
  <c r="X139" i="1"/>
  <c r="AD141" i="1"/>
  <c r="N141" i="1"/>
  <c r="Z141" i="1"/>
  <c r="X141" i="1"/>
  <c r="AB141" i="1"/>
  <c r="T141" i="1"/>
  <c r="R141" i="1"/>
  <c r="P141" i="1"/>
  <c r="N143" i="1"/>
  <c r="AD145" i="1"/>
  <c r="P145" i="1"/>
  <c r="R145" i="1"/>
  <c r="AB145" i="1"/>
  <c r="Z145" i="1"/>
  <c r="X145" i="1"/>
  <c r="N145" i="1"/>
  <c r="P171" i="1"/>
  <c r="N171" i="1"/>
  <c r="AB171" i="1"/>
  <c r="AD171" i="1"/>
  <c r="Z171" i="1"/>
  <c r="X171" i="1"/>
  <c r="T171" i="1"/>
  <c r="R171" i="1"/>
  <c r="Z95" i="1"/>
  <c r="X95" i="1"/>
  <c r="T95" i="1"/>
  <c r="Z103" i="1"/>
  <c r="X103" i="1"/>
  <c r="T103" i="1"/>
  <c r="P110" i="1"/>
  <c r="P121" i="1"/>
  <c r="P126" i="1"/>
  <c r="T145" i="1"/>
  <c r="AD108" i="1"/>
  <c r="P108" i="1"/>
  <c r="N108" i="1"/>
  <c r="AB108" i="1"/>
  <c r="X108" i="1"/>
  <c r="R125" i="1"/>
  <c r="AD125" i="1"/>
  <c r="N125" i="1"/>
  <c r="AB125" i="1"/>
  <c r="Z125" i="1"/>
  <c r="X125" i="1"/>
  <c r="AD131" i="1"/>
  <c r="P131" i="1"/>
  <c r="T131" i="1"/>
  <c r="N131" i="1"/>
  <c r="AB131" i="1"/>
  <c r="Z131" i="1"/>
  <c r="X131" i="1"/>
  <c r="T155" i="1"/>
  <c r="P155" i="1"/>
  <c r="AB155" i="1"/>
  <c r="X155" i="1"/>
  <c r="R155" i="1"/>
  <c r="N155" i="1"/>
  <c r="AD155" i="1"/>
  <c r="Z155" i="1"/>
  <c r="X192" i="1"/>
  <c r="T192" i="1"/>
  <c r="AB192" i="1"/>
  <c r="Z192" i="1"/>
  <c r="R192" i="1"/>
  <c r="P192" i="1"/>
  <c r="N192" i="1"/>
  <c r="Z197" i="1"/>
  <c r="T197" i="1"/>
  <c r="AB197" i="1"/>
  <c r="R197" i="1"/>
  <c r="P197" i="1"/>
  <c r="AD197" i="1"/>
  <c r="X197" i="1"/>
  <c r="N197" i="1"/>
  <c r="Z213" i="1"/>
  <c r="T213" i="1"/>
  <c r="AB213" i="1"/>
  <c r="R213" i="1"/>
  <c r="P213" i="1"/>
  <c r="AD213" i="1"/>
  <c r="X213" i="1"/>
  <c r="N213" i="1"/>
  <c r="AD217" i="1"/>
  <c r="P217" i="1"/>
  <c r="Z217" i="1"/>
  <c r="X217" i="1"/>
  <c r="T217" i="1"/>
  <c r="AB217" i="1"/>
  <c r="R217" i="1"/>
  <c r="N217" i="1"/>
  <c r="T144" i="1"/>
  <c r="P144" i="1"/>
  <c r="X144" i="1"/>
  <c r="R144" i="1"/>
  <c r="N144" i="1"/>
  <c r="T163" i="1"/>
  <c r="R163" i="1"/>
  <c r="AD163" i="1"/>
  <c r="N163" i="1"/>
  <c r="AB163" i="1"/>
  <c r="Z163" i="1"/>
  <c r="X163" i="1"/>
  <c r="Z170" i="1"/>
  <c r="X170" i="1"/>
  <c r="P170" i="1"/>
  <c r="N170" i="1"/>
  <c r="AB170" i="1"/>
  <c r="R170" i="1"/>
  <c r="AD170" i="1"/>
  <c r="AD192" i="1"/>
  <c r="T199" i="1"/>
  <c r="Z199" i="1"/>
  <c r="R199" i="1"/>
  <c r="P199" i="1"/>
  <c r="N199" i="1"/>
  <c r="AD199" i="1"/>
  <c r="AB199" i="1"/>
  <c r="X199" i="1"/>
  <c r="AD204" i="1"/>
  <c r="P204" i="1"/>
  <c r="Z204" i="1"/>
  <c r="X204" i="1"/>
  <c r="T204" i="1"/>
  <c r="R204" i="1"/>
  <c r="AB204" i="1"/>
  <c r="N204" i="1"/>
  <c r="T196" i="1"/>
  <c r="Z196" i="1"/>
  <c r="R196" i="1"/>
  <c r="AB196" i="1"/>
  <c r="X196" i="1"/>
  <c r="AD196" i="1"/>
  <c r="P196" i="1"/>
  <c r="N196" i="1"/>
  <c r="AD123" i="1"/>
  <c r="P123" i="1"/>
  <c r="T123" i="1"/>
  <c r="N123" i="1"/>
  <c r="AB123" i="1"/>
  <c r="Z123" i="1"/>
  <c r="R133" i="1"/>
  <c r="AD133" i="1"/>
  <c r="N133" i="1"/>
  <c r="AB133" i="1"/>
  <c r="Z133" i="1"/>
  <c r="AB144" i="1"/>
  <c r="AD153" i="1"/>
  <c r="P153" i="1"/>
  <c r="R153" i="1"/>
  <c r="X153" i="1"/>
  <c r="N153" i="1"/>
  <c r="T167" i="1"/>
  <c r="R167" i="1"/>
  <c r="AD167" i="1"/>
  <c r="N167" i="1"/>
  <c r="AB167" i="1"/>
  <c r="Z167" i="1"/>
  <c r="X167" i="1"/>
  <c r="T172" i="1"/>
  <c r="R172" i="1"/>
  <c r="N172" i="1"/>
  <c r="AD172" i="1"/>
  <c r="AB172" i="1"/>
  <c r="Z172" i="1"/>
  <c r="X172" i="1"/>
  <c r="T134" i="1"/>
  <c r="R134" i="1"/>
  <c r="AD134" i="1"/>
  <c r="N134" i="1"/>
  <c r="AB134" i="1"/>
  <c r="Z134" i="1"/>
  <c r="AD144" i="1"/>
  <c r="T160" i="1"/>
  <c r="R160" i="1"/>
  <c r="AD160" i="1"/>
  <c r="N160" i="1"/>
  <c r="AB160" i="1"/>
  <c r="X160" i="1"/>
  <c r="P160" i="1"/>
  <c r="AD165" i="1"/>
  <c r="P165" i="1"/>
  <c r="T165" i="1"/>
  <c r="N165" i="1"/>
  <c r="X165" i="1"/>
  <c r="R165" i="1"/>
  <c r="X119" i="1"/>
  <c r="T119" i="1"/>
  <c r="R119" i="1"/>
  <c r="R129" i="1"/>
  <c r="AD129" i="1"/>
  <c r="N129" i="1"/>
  <c r="AB129" i="1"/>
  <c r="Z129" i="1"/>
  <c r="P134" i="1"/>
  <c r="AD135" i="1"/>
  <c r="P135" i="1"/>
  <c r="T135" i="1"/>
  <c r="N135" i="1"/>
  <c r="AB135" i="1"/>
  <c r="Z135" i="1"/>
  <c r="T159" i="1"/>
  <c r="R159" i="1"/>
  <c r="AD159" i="1"/>
  <c r="N159" i="1"/>
  <c r="AB159" i="1"/>
  <c r="Z159" i="1"/>
  <c r="X159" i="1"/>
  <c r="Z160" i="1"/>
  <c r="Z181" i="1"/>
  <c r="T181" i="1"/>
  <c r="R181" i="1"/>
  <c r="AB181" i="1"/>
  <c r="X181" i="1"/>
  <c r="P181" i="1"/>
  <c r="N181" i="1"/>
  <c r="AD181" i="1"/>
  <c r="R113" i="1"/>
  <c r="AB113" i="1"/>
  <c r="N113" i="1"/>
  <c r="Z113" i="1"/>
  <c r="AB116" i="1"/>
  <c r="N116" i="1"/>
  <c r="X116" i="1"/>
  <c r="R117" i="1"/>
  <c r="AB117" i="1"/>
  <c r="N117" i="1"/>
  <c r="Z117" i="1"/>
  <c r="X117" i="1"/>
  <c r="N119" i="1"/>
  <c r="P129" i="1"/>
  <c r="T130" i="1"/>
  <c r="R130" i="1"/>
  <c r="AD130" i="1"/>
  <c r="N130" i="1"/>
  <c r="AB130" i="1"/>
  <c r="Z130" i="1"/>
  <c r="R135" i="1"/>
  <c r="Z146" i="1"/>
  <c r="R146" i="1"/>
  <c r="AB146" i="1"/>
  <c r="T146" i="1"/>
  <c r="P146" i="1"/>
  <c r="N146" i="1"/>
  <c r="T151" i="1"/>
  <c r="P151" i="1"/>
  <c r="N151" i="1"/>
  <c r="AD151" i="1"/>
  <c r="AB151" i="1"/>
  <c r="AD157" i="1"/>
  <c r="P157" i="1"/>
  <c r="T157" i="1"/>
  <c r="N157" i="1"/>
  <c r="X157" i="1"/>
  <c r="R157" i="1"/>
  <c r="P159" i="1"/>
  <c r="Z165" i="1"/>
  <c r="AB124" i="1"/>
  <c r="AB128" i="1"/>
  <c r="AB132" i="1"/>
  <c r="AB136" i="1"/>
  <c r="T175" i="1"/>
  <c r="R175" i="1"/>
  <c r="P175" i="1"/>
  <c r="T176" i="1"/>
  <c r="R176" i="1"/>
  <c r="AD176" i="1"/>
  <c r="P176" i="1"/>
  <c r="AB176" i="1"/>
  <c r="X176" i="1"/>
  <c r="Z184" i="1"/>
  <c r="X184" i="1"/>
  <c r="P184" i="1"/>
  <c r="N184" i="1"/>
  <c r="AD184" i="1"/>
  <c r="T185" i="1"/>
  <c r="P185" i="1"/>
  <c r="N185" i="1"/>
  <c r="T211" i="1"/>
  <c r="Z211" i="1"/>
  <c r="R211" i="1"/>
  <c r="AB211" i="1"/>
  <c r="X211" i="1"/>
  <c r="AD211" i="1"/>
  <c r="N211" i="1"/>
  <c r="N124" i="1"/>
  <c r="AD124" i="1"/>
  <c r="N128" i="1"/>
  <c r="AD128" i="1"/>
  <c r="N132" i="1"/>
  <c r="AD132" i="1"/>
  <c r="N136" i="1"/>
  <c r="AD136" i="1"/>
  <c r="AD169" i="1"/>
  <c r="P169" i="1"/>
  <c r="AB169" i="1"/>
  <c r="N169" i="1"/>
  <c r="Z169" i="1"/>
  <c r="N175" i="1"/>
  <c r="N176" i="1"/>
  <c r="R184" i="1"/>
  <c r="R185" i="1"/>
  <c r="P211" i="1"/>
  <c r="Z158" i="1"/>
  <c r="T158" i="1"/>
  <c r="P158" i="1"/>
  <c r="Z162" i="1"/>
  <c r="T162" i="1"/>
  <c r="P162" i="1"/>
  <c r="Z166" i="1"/>
  <c r="T166" i="1"/>
  <c r="P166" i="1"/>
  <c r="T179" i="1"/>
  <c r="P179" i="1"/>
  <c r="N179" i="1"/>
  <c r="AD179" i="1"/>
  <c r="AB179" i="1"/>
  <c r="AD180" i="1"/>
  <c r="P180" i="1"/>
  <c r="T180" i="1"/>
  <c r="R180" i="1"/>
  <c r="AB180" i="1"/>
  <c r="X180" i="1"/>
  <c r="Z189" i="1"/>
  <c r="R189" i="1"/>
  <c r="P189" i="1"/>
  <c r="AD189" i="1"/>
  <c r="N189" i="1"/>
  <c r="AB189" i="1"/>
  <c r="X189" i="1"/>
  <c r="T189" i="1"/>
  <c r="T193" i="1"/>
  <c r="X193" i="1"/>
  <c r="N193" i="1"/>
  <c r="AD193" i="1"/>
  <c r="AB193" i="1"/>
  <c r="AD200" i="1"/>
  <c r="P200" i="1"/>
  <c r="AB200" i="1"/>
  <c r="Z200" i="1"/>
  <c r="X200" i="1"/>
  <c r="T200" i="1"/>
  <c r="R200" i="1"/>
  <c r="N200" i="1"/>
  <c r="AD202" i="1"/>
  <c r="P202" i="1"/>
  <c r="Z202" i="1"/>
  <c r="X202" i="1"/>
  <c r="T202" i="1"/>
  <c r="AB202" i="1"/>
  <c r="R202" i="1"/>
  <c r="R158" i="1"/>
  <c r="R162" i="1"/>
  <c r="R166" i="1"/>
  <c r="T187" i="1"/>
  <c r="P187" i="1"/>
  <c r="AD187" i="1"/>
  <c r="N187" i="1"/>
  <c r="AB187" i="1"/>
  <c r="R187" i="1"/>
  <c r="R193" i="1"/>
  <c r="AD177" i="1"/>
  <c r="P177" i="1"/>
  <c r="AB177" i="1"/>
  <c r="N177" i="1"/>
  <c r="Z177" i="1"/>
  <c r="P186" i="1"/>
  <c r="AD186" i="1"/>
  <c r="N186" i="1"/>
  <c r="AB186" i="1"/>
  <c r="T215" i="1"/>
  <c r="Z215" i="1"/>
  <c r="R215" i="1"/>
  <c r="P215" i="1"/>
  <c r="N215" i="1"/>
  <c r="AD216" i="1"/>
  <c r="P216" i="1"/>
  <c r="AB216" i="1"/>
  <c r="Z216" i="1"/>
  <c r="X216" i="1"/>
  <c r="R177" i="1"/>
  <c r="R186" i="1"/>
  <c r="X215" i="1"/>
  <c r="N216" i="1"/>
  <c r="Z191" i="1"/>
  <c r="X191" i="1"/>
  <c r="Z194" i="1"/>
  <c r="AB194" i="1"/>
  <c r="AD194" i="1"/>
  <c r="X194" i="1"/>
  <c r="Z209" i="1"/>
  <c r="T209" i="1"/>
  <c r="AB209" i="1"/>
  <c r="AD209" i="1"/>
  <c r="X209" i="1"/>
  <c r="AB215" i="1"/>
  <c r="R216" i="1"/>
  <c r="AD219" i="1"/>
  <c r="P219" i="1"/>
  <c r="Z219" i="1"/>
  <c r="X219" i="1"/>
  <c r="T219" i="1"/>
  <c r="R219" i="1"/>
  <c r="AD225" i="1"/>
  <c r="P225" i="1"/>
  <c r="X225" i="1"/>
  <c r="AB225" i="1"/>
  <c r="Z225" i="1"/>
  <c r="T225" i="1"/>
  <c r="R225" i="1"/>
  <c r="AB156" i="1"/>
  <c r="Z156" i="1"/>
  <c r="Z174" i="1"/>
  <c r="X174" i="1"/>
  <c r="N191" i="1"/>
  <c r="N194" i="1"/>
  <c r="AD206" i="1"/>
  <c r="P206" i="1"/>
  <c r="T206" i="1"/>
  <c r="R206" i="1"/>
  <c r="N206" i="1"/>
  <c r="AD208" i="1"/>
  <c r="P208" i="1"/>
  <c r="T208" i="1"/>
  <c r="R208" i="1"/>
  <c r="N208" i="1"/>
  <c r="N209" i="1"/>
  <c r="AD215" i="1"/>
  <c r="T216" i="1"/>
  <c r="N219" i="1"/>
  <c r="AD223" i="1"/>
  <c r="P223" i="1"/>
  <c r="AB223" i="1"/>
  <c r="X223" i="1"/>
  <c r="T223" i="1"/>
  <c r="R223" i="1"/>
  <c r="N225" i="1"/>
  <c r="N156" i="1"/>
  <c r="AD156" i="1"/>
  <c r="N174" i="1"/>
  <c r="Z178" i="1"/>
  <c r="X178" i="1"/>
  <c r="X186" i="1"/>
  <c r="AD188" i="1"/>
  <c r="P188" i="1"/>
  <c r="R188" i="1"/>
  <c r="N188" i="1"/>
  <c r="AB188" i="1"/>
  <c r="P191" i="1"/>
  <c r="P194" i="1"/>
  <c r="X206" i="1"/>
  <c r="X208" i="1"/>
  <c r="P209" i="1"/>
  <c r="AB219" i="1"/>
  <c r="AD221" i="1"/>
  <c r="P221" i="1"/>
  <c r="T221" i="1"/>
  <c r="R221" i="1"/>
  <c r="N221" i="1"/>
  <c r="Z221" i="1"/>
  <c r="N223" i="1"/>
  <c r="X198" i="1"/>
  <c r="Z201" i="1"/>
  <c r="T201" i="1"/>
  <c r="AB201" i="1"/>
  <c r="F48" i="20"/>
  <c r="F54" i="20" s="1"/>
  <c r="F40" i="20"/>
  <c r="AD195" i="1"/>
  <c r="P195" i="1"/>
  <c r="Z198" i="1"/>
  <c r="N201" i="1"/>
  <c r="T203" i="1"/>
  <c r="Z203" i="1"/>
  <c r="R203" i="1"/>
  <c r="AB207" i="1"/>
  <c r="AD210" i="1"/>
  <c r="P210" i="1"/>
  <c r="Z214" i="1"/>
  <c r="T218" i="1"/>
  <c r="Z218" i="1"/>
  <c r="R218" i="1"/>
  <c r="AB222" i="1"/>
  <c r="AB183" i="1"/>
  <c r="N195" i="1"/>
  <c r="P201" i="1"/>
  <c r="Z205" i="1"/>
  <c r="T205" i="1"/>
  <c r="AB205" i="1"/>
  <c r="AD212" i="1"/>
  <c r="P212" i="1"/>
  <c r="Z220" i="1"/>
  <c r="T220" i="1"/>
  <c r="AB220" i="1"/>
  <c r="T224" i="1"/>
  <c r="Z224" i="1"/>
  <c r="X224" i="1"/>
  <c r="P224" i="1"/>
  <c r="AD198" i="1"/>
  <c r="P198" i="1"/>
  <c r="R201" i="1"/>
  <c r="T207" i="1"/>
  <c r="Z207" i="1"/>
  <c r="R207" i="1"/>
  <c r="AD214" i="1"/>
  <c r="P214" i="1"/>
  <c r="T222" i="1"/>
  <c r="Z222" i="1"/>
  <c r="R222" i="1"/>
  <c r="N224" i="1"/>
  <c r="Z226" i="1"/>
  <c r="X226" i="1"/>
  <c r="T226" i="1"/>
  <c r="R226" i="1"/>
  <c r="N226" i="1"/>
  <c r="I24" i="20"/>
  <c r="I52" i="20"/>
  <c r="I63" i="20"/>
  <c r="R63" i="20" s="1"/>
  <c r="I37" i="20"/>
  <c r="R37" i="20" s="1"/>
  <c r="I50" i="20"/>
  <c r="R50" i="20" s="1"/>
  <c r="I35" i="20"/>
  <c r="I53" i="20"/>
  <c r="I13" i="20"/>
  <c r="R13" i="20" s="1"/>
  <c r="L54" i="20"/>
  <c r="I23" i="20"/>
  <c r="L18" i="20"/>
  <c r="I34" i="20"/>
  <c r="R53" i="20" l="1"/>
  <c r="R52" i="20"/>
  <c r="R35" i="20"/>
  <c r="R26" i="20"/>
  <c r="R24" i="20"/>
  <c r="I64" i="20"/>
  <c r="R64" i="20" s="1"/>
  <c r="R62" i="20"/>
  <c r="L29" i="20"/>
  <c r="O66" i="20"/>
  <c r="F66" i="20"/>
  <c r="O18" i="20"/>
  <c r="F29" i="20"/>
  <c r="F18" i="20"/>
  <c r="L40" i="20"/>
  <c r="O40" i="20"/>
  <c r="O54" i="20"/>
  <c r="R18" i="20"/>
  <c r="V150" i="1"/>
  <c r="AG150" i="1"/>
  <c r="AH150" i="1" s="1"/>
  <c r="V147" i="1"/>
  <c r="AG147" i="1"/>
  <c r="AH147" i="1" s="1"/>
  <c r="V148" i="1"/>
  <c r="AG148" i="1"/>
  <c r="AH148" i="1" s="1"/>
  <c r="V149" i="1"/>
  <c r="AG149" i="1"/>
  <c r="AH149" i="1" s="1"/>
  <c r="AE226" i="1"/>
  <c r="AF226" i="1" s="1"/>
  <c r="V227" i="1"/>
  <c r="AG227" i="1"/>
  <c r="AH227" i="1" s="1"/>
  <c r="AE225" i="1"/>
  <c r="AF225" i="1" s="1"/>
  <c r="V228" i="1"/>
  <c r="AG228" i="1"/>
  <c r="AH228" i="1" s="1"/>
  <c r="V239" i="1"/>
  <c r="AG239" i="1"/>
  <c r="AH239" i="1" s="1"/>
  <c r="AE175" i="1"/>
  <c r="AE195" i="1"/>
  <c r="AF195" i="1" s="1"/>
  <c r="U57" i="1"/>
  <c r="V57" i="1" s="1"/>
  <c r="U53" i="1"/>
  <c r="V53" i="1" s="1"/>
  <c r="AE210" i="1"/>
  <c r="AF210" i="1" s="1"/>
  <c r="U99" i="1"/>
  <c r="V99" i="1" s="1"/>
  <c r="U30" i="1"/>
  <c r="V30" i="1" s="1"/>
  <c r="L24" i="19"/>
  <c r="I24" i="19" s="1"/>
  <c r="AE162" i="1"/>
  <c r="AF162" i="1" s="1"/>
  <c r="AE63" i="1"/>
  <c r="AF63" i="1" s="1"/>
  <c r="U92" i="1"/>
  <c r="U15" i="1"/>
  <c r="V15" i="1" s="1"/>
  <c r="U136" i="1"/>
  <c r="U51" i="1"/>
  <c r="V51" i="1" s="1"/>
  <c r="U24" i="1"/>
  <c r="V24" i="1" s="1"/>
  <c r="AE35" i="1"/>
  <c r="AF35" i="1" s="1"/>
  <c r="U195" i="1"/>
  <c r="V195" i="1" s="1"/>
  <c r="AE187" i="1"/>
  <c r="AF187" i="1" s="1"/>
  <c r="U95" i="1"/>
  <c r="V95" i="1" s="1"/>
  <c r="AE71" i="1"/>
  <c r="AF71" i="1" s="1"/>
  <c r="AE66" i="1"/>
  <c r="AF66" i="1" s="1"/>
  <c r="U49" i="1"/>
  <c r="V49" i="1" s="1"/>
  <c r="U59" i="1"/>
  <c r="U36" i="1"/>
  <c r="V36" i="1" s="1"/>
  <c r="U35" i="1"/>
  <c r="V35" i="1" s="1"/>
  <c r="U91" i="1"/>
  <c r="AE82" i="1"/>
  <c r="AF82" i="1" s="1"/>
  <c r="O34" i="19"/>
  <c r="AE179" i="1"/>
  <c r="AF179" i="1" s="1"/>
  <c r="U162" i="1"/>
  <c r="AE136" i="1"/>
  <c r="AF136" i="1" s="1"/>
  <c r="AE64" i="1"/>
  <c r="AF64" i="1" s="1"/>
  <c r="U124" i="1"/>
  <c r="U198" i="1"/>
  <c r="U178" i="1"/>
  <c r="V178" i="1" s="1"/>
  <c r="AE124" i="1"/>
  <c r="AF124" i="1" s="1"/>
  <c r="U186" i="1"/>
  <c r="V186" i="1" s="1"/>
  <c r="AE123" i="1"/>
  <c r="AF123" i="1" s="1"/>
  <c r="AE158" i="1"/>
  <c r="AF158" i="1" s="1"/>
  <c r="U128" i="1"/>
  <c r="U41" i="1"/>
  <c r="U38" i="1"/>
  <c r="AE34" i="1"/>
  <c r="U87" i="1"/>
  <c r="V87" i="1" s="1"/>
  <c r="U21" i="1"/>
  <c r="V21" i="1" s="1"/>
  <c r="U86" i="1"/>
  <c r="V86" i="1" s="1"/>
  <c r="L35" i="19"/>
  <c r="I35" i="19" s="1"/>
  <c r="U89" i="1"/>
  <c r="V89" i="1" s="1"/>
  <c r="AE76" i="1"/>
  <c r="AF76" i="1" s="1"/>
  <c r="L50" i="19"/>
  <c r="I50" i="19" s="1"/>
  <c r="AE166" i="1"/>
  <c r="AF166" i="1" s="1"/>
  <c r="AE203" i="1"/>
  <c r="AF203" i="1" s="1"/>
  <c r="U144" i="1"/>
  <c r="V144" i="1" s="1"/>
  <c r="I18" i="20"/>
  <c r="U220" i="1"/>
  <c r="V220" i="1" s="1"/>
  <c r="AE153" i="1"/>
  <c r="AF153" i="1" s="1"/>
  <c r="U37" i="1"/>
  <c r="U202" i="1"/>
  <c r="U103" i="1"/>
  <c r="V103" i="1" s="1"/>
  <c r="U214" i="1"/>
  <c r="V214" i="1" s="1"/>
  <c r="U210" i="1"/>
  <c r="V210" i="1" s="1"/>
  <c r="AE188" i="1"/>
  <c r="AF188" i="1" s="1"/>
  <c r="U174" i="1"/>
  <c r="V174" i="1" s="1"/>
  <c r="U194" i="1"/>
  <c r="V194" i="1" s="1"/>
  <c r="U158" i="1"/>
  <c r="U132" i="1"/>
  <c r="AE57" i="1"/>
  <c r="AF57" i="1" s="1"/>
  <c r="AE37" i="1"/>
  <c r="AF37" i="1" s="1"/>
  <c r="U26" i="1"/>
  <c r="V26" i="1" s="1"/>
  <c r="U204" i="1"/>
  <c r="V204" i="1" s="1"/>
  <c r="AE183" i="1"/>
  <c r="AF183" i="1" s="1"/>
  <c r="AE201" i="1"/>
  <c r="AF201" i="1" s="1"/>
  <c r="AE130" i="1"/>
  <c r="AF130" i="1" s="1"/>
  <c r="U77" i="1"/>
  <c r="V77" i="1" s="1"/>
  <c r="AE45" i="1"/>
  <c r="AF45" i="1" s="1"/>
  <c r="L37" i="19"/>
  <c r="I37" i="19" s="1"/>
  <c r="AE61" i="1"/>
  <c r="AF61" i="1" s="1"/>
  <c r="AE81" i="1"/>
  <c r="AF81" i="1" s="1"/>
  <c r="O47" i="19"/>
  <c r="AE185" i="1"/>
  <c r="AF185" i="1" s="1"/>
  <c r="AE198" i="1"/>
  <c r="AF198" i="1" s="1"/>
  <c r="U156" i="1"/>
  <c r="V156" i="1" s="1"/>
  <c r="L52" i="19"/>
  <c r="I52" i="19" s="1"/>
  <c r="U140" i="1"/>
  <c r="V140" i="1" s="1"/>
  <c r="U66" i="1"/>
  <c r="U82" i="1"/>
  <c r="AE24" i="1"/>
  <c r="AF24" i="1" s="1"/>
  <c r="U17" i="1"/>
  <c r="V17" i="1" s="1"/>
  <c r="L23" i="19"/>
  <c r="I23" i="19" s="1"/>
  <c r="AE212" i="1"/>
  <c r="AF212" i="1" s="1"/>
  <c r="U218" i="1"/>
  <c r="U206" i="1"/>
  <c r="V206" i="1" s="1"/>
  <c r="AE128" i="1"/>
  <c r="AF128" i="1" s="1"/>
  <c r="O28" i="19"/>
  <c r="AE119" i="1"/>
  <c r="AF119" i="1" s="1"/>
  <c r="U123" i="1"/>
  <c r="V123" i="1" s="1"/>
  <c r="U170" i="1"/>
  <c r="AE73" i="1"/>
  <c r="AF73" i="1" s="1"/>
  <c r="U65" i="1"/>
  <c r="AE114" i="1"/>
  <c r="AF114" i="1" s="1"/>
  <c r="U96" i="1"/>
  <c r="V96" i="1" s="1"/>
  <c r="U32" i="1"/>
  <c r="AE56" i="1"/>
  <c r="AF56" i="1" s="1"/>
  <c r="AE32" i="1"/>
  <c r="AF32" i="1" s="1"/>
  <c r="AE220" i="1"/>
  <c r="AF220" i="1" s="1"/>
  <c r="AE129" i="1"/>
  <c r="AF129" i="1" s="1"/>
  <c r="AE87" i="1"/>
  <c r="AF87" i="1" s="1"/>
  <c r="AE105" i="1"/>
  <c r="AF105" i="1" s="1"/>
  <c r="L25" i="19"/>
  <c r="I25" i="19" s="1"/>
  <c r="I48" i="19"/>
  <c r="U212" i="1"/>
  <c r="V212" i="1" s="1"/>
  <c r="AF175" i="1"/>
  <c r="U88" i="1"/>
  <c r="V88" i="1" s="1"/>
  <c r="U40" i="1"/>
  <c r="U219" i="1"/>
  <c r="V219" i="1" s="1"/>
  <c r="AE174" i="1"/>
  <c r="AF174" i="1" s="1"/>
  <c r="AE151" i="1"/>
  <c r="AF151" i="1" s="1"/>
  <c r="AE135" i="1"/>
  <c r="AF135" i="1" s="1"/>
  <c r="AE133" i="1"/>
  <c r="AF133" i="1" s="1"/>
  <c r="AE110" i="1"/>
  <c r="AF110" i="1" s="1"/>
  <c r="AE99" i="1"/>
  <c r="AF99" i="1" s="1"/>
  <c r="AE94" i="1"/>
  <c r="AF94" i="1" s="1"/>
  <c r="U80" i="1"/>
  <c r="V80" i="1" s="1"/>
  <c r="AE65" i="1"/>
  <c r="AF65" i="1" s="1"/>
  <c r="AE53" i="1"/>
  <c r="AF53" i="1" s="1"/>
  <c r="AE100" i="1"/>
  <c r="AF100" i="1" s="1"/>
  <c r="L36" i="19"/>
  <c r="I36" i="19" s="1"/>
  <c r="U183" i="1"/>
  <c r="V183" i="1" s="1"/>
  <c r="AE152" i="1"/>
  <c r="AF152" i="1" s="1"/>
  <c r="U203" i="1"/>
  <c r="U94" i="1"/>
  <c r="V94" i="1" s="1"/>
  <c r="AE41" i="1"/>
  <c r="AF41" i="1" s="1"/>
  <c r="AE80" i="1"/>
  <c r="AF80" i="1" s="1"/>
  <c r="O27" i="19"/>
  <c r="L47" i="19"/>
  <c r="I47" i="19" s="1"/>
  <c r="AE207" i="1"/>
  <c r="AF207" i="1" s="1"/>
  <c r="O39" i="19"/>
  <c r="AE155" i="1"/>
  <c r="AF155" i="1" s="1"/>
  <c r="U105" i="1"/>
  <c r="V105" i="1" s="1"/>
  <c r="O51" i="19"/>
  <c r="U118" i="1"/>
  <c r="V118" i="1" s="1"/>
  <c r="AE85" i="1"/>
  <c r="AF85" i="1" s="1"/>
  <c r="U47" i="1"/>
  <c r="V47" i="1" s="1"/>
  <c r="AE46" i="1"/>
  <c r="AF46" i="1" s="1"/>
  <c r="AE33" i="1"/>
  <c r="AF33" i="1" s="1"/>
  <c r="AE36" i="1"/>
  <c r="AF36" i="1" s="1"/>
  <c r="U223" i="1"/>
  <c r="V223" i="1" s="1"/>
  <c r="AE205" i="1"/>
  <c r="AF205" i="1" s="1"/>
  <c r="AE218" i="1"/>
  <c r="AF218" i="1" s="1"/>
  <c r="AE169" i="1"/>
  <c r="AF169" i="1" s="1"/>
  <c r="U226" i="1"/>
  <c r="V226" i="1" s="1"/>
  <c r="U221" i="1"/>
  <c r="V221" i="1" s="1"/>
  <c r="AE206" i="1"/>
  <c r="AF206" i="1" s="1"/>
  <c r="AE156" i="1"/>
  <c r="AF156" i="1" s="1"/>
  <c r="U187" i="1"/>
  <c r="V187" i="1" s="1"/>
  <c r="U169" i="1"/>
  <c r="V169" i="1" s="1"/>
  <c r="AE157" i="1"/>
  <c r="AF157" i="1" s="1"/>
  <c r="U119" i="1"/>
  <c r="V119" i="1" s="1"/>
  <c r="AE116" i="1"/>
  <c r="AF116" i="1" s="1"/>
  <c r="L38" i="19"/>
  <c r="I38" i="19" s="1"/>
  <c r="AE182" i="1"/>
  <c r="AF182" i="1" s="1"/>
  <c r="U70" i="1"/>
  <c r="O26" i="19"/>
  <c r="AE49" i="1"/>
  <c r="AF49" i="1" s="1"/>
  <c r="AE68" i="1"/>
  <c r="AF68" i="1" s="1"/>
  <c r="U90" i="1"/>
  <c r="V90" i="1" s="1"/>
  <c r="AE78" i="1"/>
  <c r="AF78" i="1" s="1"/>
  <c r="U69" i="1"/>
  <c r="V69" i="1" s="1"/>
  <c r="U85" i="1"/>
  <c r="O24" i="19"/>
  <c r="U25" i="1"/>
  <c r="V25" i="1" s="1"/>
  <c r="AE29" i="1"/>
  <c r="AF29" i="1" s="1"/>
  <c r="AE221" i="1"/>
  <c r="AF221" i="1" s="1"/>
  <c r="AE31" i="1"/>
  <c r="AF31" i="1" s="1"/>
  <c r="U205" i="1"/>
  <c r="AE222" i="1"/>
  <c r="AF222" i="1" s="1"/>
  <c r="AE208" i="1"/>
  <c r="AF208" i="1" s="1"/>
  <c r="AE177" i="1"/>
  <c r="AF177" i="1" s="1"/>
  <c r="U116" i="1"/>
  <c r="V116" i="1" s="1"/>
  <c r="AE189" i="1"/>
  <c r="AF189" i="1" s="1"/>
  <c r="U180" i="1"/>
  <c r="V180" i="1" s="1"/>
  <c r="U166" i="1"/>
  <c r="V166" i="1" s="1"/>
  <c r="AE132" i="1"/>
  <c r="AF132" i="1" s="1"/>
  <c r="U157" i="1"/>
  <c r="AE113" i="1"/>
  <c r="AF113" i="1" s="1"/>
  <c r="O15" i="19"/>
  <c r="AE83" i="1"/>
  <c r="AF83" i="1" s="1"/>
  <c r="AE69" i="1"/>
  <c r="AF69" i="1" s="1"/>
  <c r="U120" i="1"/>
  <c r="V120" i="1" s="1"/>
  <c r="U73" i="1"/>
  <c r="AG73" i="1" s="1"/>
  <c r="AH73" i="1" s="1"/>
  <c r="U152" i="1"/>
  <c r="V152" i="1" s="1"/>
  <c r="AE138" i="1"/>
  <c r="AF138" i="1" s="1"/>
  <c r="AE50" i="1"/>
  <c r="AF50" i="1" s="1"/>
  <c r="AE21" i="1"/>
  <c r="AF21" i="1" s="1"/>
  <c r="AE40" i="1"/>
  <c r="AF40" i="1" s="1"/>
  <c r="U19" i="1"/>
  <c r="V19" i="1" s="1"/>
  <c r="AE25" i="1"/>
  <c r="AF25" i="1" s="1"/>
  <c r="AE102" i="1"/>
  <c r="AF102" i="1" s="1"/>
  <c r="AE214" i="1"/>
  <c r="AF214" i="1" s="1"/>
  <c r="AE219" i="1"/>
  <c r="AF219" i="1" s="1"/>
  <c r="AE191" i="1"/>
  <c r="AF191" i="1" s="1"/>
  <c r="O52" i="19"/>
  <c r="U167" i="1"/>
  <c r="V167" i="1" s="1"/>
  <c r="U163" i="1"/>
  <c r="V163" i="1" s="1"/>
  <c r="U126" i="1"/>
  <c r="U121" i="1"/>
  <c r="L51" i="19"/>
  <c r="I51" i="19" s="1"/>
  <c r="AE154" i="1"/>
  <c r="AF154" i="1" s="1"/>
  <c r="AE164" i="1"/>
  <c r="AF164" i="1" s="1"/>
  <c r="U142" i="1"/>
  <c r="V142" i="1" s="1"/>
  <c r="U83" i="1"/>
  <c r="V83" i="1" s="1"/>
  <c r="AE161" i="1"/>
  <c r="AF161" i="1" s="1"/>
  <c r="U79" i="1"/>
  <c r="V79" i="1" s="1"/>
  <c r="U68" i="1"/>
  <c r="V68" i="1" s="1"/>
  <c r="AE70" i="1"/>
  <c r="AF70" i="1" s="1"/>
  <c r="U45" i="1"/>
  <c r="V45" i="1" s="1"/>
  <c r="O38" i="19"/>
  <c r="O49" i="19"/>
  <c r="U34" i="1"/>
  <c r="V34" i="1" s="1"/>
  <c r="U60" i="1"/>
  <c r="V60" i="1" s="1"/>
  <c r="AE59" i="1"/>
  <c r="AF59" i="1" s="1"/>
  <c r="AE23" i="1"/>
  <c r="AF23" i="1" s="1"/>
  <c r="V92" i="1"/>
  <c r="V41" i="1"/>
  <c r="I48" i="20"/>
  <c r="U222" i="1"/>
  <c r="AE194" i="1"/>
  <c r="AF194" i="1" s="1"/>
  <c r="U215" i="1"/>
  <c r="U189" i="1"/>
  <c r="V132" i="1"/>
  <c r="AE211" i="1"/>
  <c r="AF211" i="1" s="1"/>
  <c r="U130" i="1"/>
  <c r="U117" i="1"/>
  <c r="U153" i="1"/>
  <c r="U133" i="1"/>
  <c r="AE213" i="1"/>
  <c r="AF213" i="1" s="1"/>
  <c r="AE197" i="1"/>
  <c r="AF197" i="1" s="1"/>
  <c r="AE125" i="1"/>
  <c r="AF125" i="1" s="1"/>
  <c r="U108" i="1"/>
  <c r="AE171" i="1"/>
  <c r="AF171" i="1" s="1"/>
  <c r="AE145" i="1"/>
  <c r="AF145" i="1" s="1"/>
  <c r="AE127" i="1"/>
  <c r="AF127" i="1" s="1"/>
  <c r="AE122" i="1"/>
  <c r="AF122" i="1" s="1"/>
  <c r="U109" i="1"/>
  <c r="AE91" i="1"/>
  <c r="AF91" i="1" s="1"/>
  <c r="AE137" i="1"/>
  <c r="AF137" i="1" s="1"/>
  <c r="O50" i="19"/>
  <c r="R50" i="19" s="1"/>
  <c r="AE120" i="1"/>
  <c r="AF120" i="1" s="1"/>
  <c r="U74" i="1"/>
  <c r="AE84" i="1"/>
  <c r="AF84" i="1" s="1"/>
  <c r="AE96" i="1"/>
  <c r="AF96" i="1" s="1"/>
  <c r="AE118" i="1"/>
  <c r="AF118" i="1" s="1"/>
  <c r="U106" i="1"/>
  <c r="U78" i="1"/>
  <c r="AE47" i="1"/>
  <c r="AF47" i="1" s="1"/>
  <c r="U43" i="1"/>
  <c r="O23" i="19"/>
  <c r="L39" i="19"/>
  <c r="I39" i="19" s="1"/>
  <c r="O48" i="19"/>
  <c r="O13" i="19"/>
  <c r="F65" i="19"/>
  <c r="U55" i="1"/>
  <c r="U44" i="1"/>
  <c r="AE19" i="1"/>
  <c r="AF19" i="1" s="1"/>
  <c r="AE26" i="1"/>
  <c r="AF26" i="1" s="1"/>
  <c r="U16" i="1"/>
  <c r="AE38" i="1"/>
  <c r="AF38" i="1" s="1"/>
  <c r="V218" i="1"/>
  <c r="V203" i="1"/>
  <c r="U188" i="1"/>
  <c r="AE209" i="1"/>
  <c r="AF209" i="1" s="1"/>
  <c r="AE176" i="1"/>
  <c r="AF176" i="1" s="1"/>
  <c r="AE160" i="1"/>
  <c r="AF160" i="1" s="1"/>
  <c r="AE134" i="1"/>
  <c r="AF134" i="1" s="1"/>
  <c r="U196" i="1"/>
  <c r="AE199" i="1"/>
  <c r="AF199" i="1" s="1"/>
  <c r="AE163" i="1"/>
  <c r="AF163" i="1" s="1"/>
  <c r="AE131" i="1"/>
  <c r="AF131" i="1" s="1"/>
  <c r="AE103" i="1"/>
  <c r="AF103" i="1" s="1"/>
  <c r="U190" i="1"/>
  <c r="U93" i="1"/>
  <c r="AE115" i="1"/>
  <c r="AF115" i="1" s="1"/>
  <c r="U104" i="1"/>
  <c r="AE97" i="1"/>
  <c r="AF97" i="1" s="1"/>
  <c r="AE88" i="1"/>
  <c r="AF88" i="1" s="1"/>
  <c r="AE90" i="1"/>
  <c r="AF90" i="1" s="1"/>
  <c r="U14" i="1"/>
  <c r="U56" i="1"/>
  <c r="AE52" i="1"/>
  <c r="AF52" i="1" s="1"/>
  <c r="F29" i="19"/>
  <c r="L16" i="19"/>
  <c r="I16" i="19" s="1"/>
  <c r="O35" i="19"/>
  <c r="AE62" i="1"/>
  <c r="AF62" i="1" s="1"/>
  <c r="AE17" i="1"/>
  <c r="AF17" i="1" s="1"/>
  <c r="U168" i="1"/>
  <c r="U31" i="1"/>
  <c r="U28" i="1"/>
  <c r="AE101" i="1"/>
  <c r="AF101" i="1" s="1"/>
  <c r="U20" i="1"/>
  <c r="O17" i="19"/>
  <c r="V38" i="1"/>
  <c r="U225" i="1"/>
  <c r="U191" i="1"/>
  <c r="AE216" i="1"/>
  <c r="AF216" i="1" s="1"/>
  <c r="U200" i="1"/>
  <c r="U151" i="1"/>
  <c r="AE146" i="1"/>
  <c r="AF146" i="1" s="1"/>
  <c r="U181" i="1"/>
  <c r="AE159" i="1"/>
  <c r="AF159" i="1" s="1"/>
  <c r="U129" i="1"/>
  <c r="AE165" i="1"/>
  <c r="AF165" i="1" s="1"/>
  <c r="U160" i="1"/>
  <c r="U134" i="1"/>
  <c r="U172" i="1"/>
  <c r="AE217" i="1"/>
  <c r="AF217" i="1" s="1"/>
  <c r="U155" i="1"/>
  <c r="V155" i="1" s="1"/>
  <c r="U125" i="1"/>
  <c r="AE173" i="1"/>
  <c r="AF173" i="1" s="1"/>
  <c r="AE143" i="1"/>
  <c r="AF143" i="1" s="1"/>
  <c r="U127" i="1"/>
  <c r="U122" i="1"/>
  <c r="U112" i="1"/>
  <c r="AE93" i="1"/>
  <c r="AF93" i="1" s="1"/>
  <c r="U161" i="1"/>
  <c r="U137" i="1"/>
  <c r="U115" i="1"/>
  <c r="AE92" i="1"/>
  <c r="AF92" i="1" s="1"/>
  <c r="AE67" i="1"/>
  <c r="AF67" i="1" s="1"/>
  <c r="AE86" i="1"/>
  <c r="AF86" i="1" s="1"/>
  <c r="U76" i="1"/>
  <c r="U114" i="1"/>
  <c r="U98" i="1"/>
  <c r="AE74" i="1"/>
  <c r="AF74" i="1" s="1"/>
  <c r="U67" i="1"/>
  <c r="U81" i="1"/>
  <c r="U75" i="1"/>
  <c r="U52" i="1"/>
  <c r="L15" i="19"/>
  <c r="I15" i="19" s="1"/>
  <c r="O25" i="19"/>
  <c r="L27" i="19"/>
  <c r="I27" i="19" s="1"/>
  <c r="O36" i="19"/>
  <c r="F40" i="19"/>
  <c r="L14" i="19"/>
  <c r="I14" i="19" s="1"/>
  <c r="U33" i="1"/>
  <c r="U27" i="1"/>
  <c r="U54" i="1"/>
  <c r="U135" i="1"/>
  <c r="U165" i="1"/>
  <c r="AE196" i="1"/>
  <c r="AF196" i="1" s="1"/>
  <c r="U199" i="1"/>
  <c r="AE144" i="1"/>
  <c r="AF144" i="1" s="1"/>
  <c r="U131" i="1"/>
  <c r="AE95" i="1"/>
  <c r="AF95" i="1" s="1"/>
  <c r="U171" i="1"/>
  <c r="U139" i="1"/>
  <c r="U182" i="1"/>
  <c r="V182" i="1" s="1"/>
  <c r="U164" i="1"/>
  <c r="AE140" i="1"/>
  <c r="AF140" i="1" s="1"/>
  <c r="AE112" i="1"/>
  <c r="AF112" i="1" s="1"/>
  <c r="AE107" i="1"/>
  <c r="AF107" i="1" s="1"/>
  <c r="AE142" i="1"/>
  <c r="AF142" i="1" s="1"/>
  <c r="V91" i="1"/>
  <c r="AE77" i="1"/>
  <c r="AF77" i="1" s="1"/>
  <c r="AE18" i="1"/>
  <c r="AF18" i="1" s="1"/>
  <c r="AE20" i="1"/>
  <c r="AF20" i="1" s="1"/>
  <c r="L49" i="19"/>
  <c r="I49" i="19" s="1"/>
  <c r="L26" i="19"/>
  <c r="I26" i="19" s="1"/>
  <c r="O12" i="19"/>
  <c r="AE186" i="1"/>
  <c r="AF186" i="1" s="1"/>
  <c r="U177" i="1"/>
  <c r="V198" i="1"/>
  <c r="AG198" i="1"/>
  <c r="AH198" i="1" s="1"/>
  <c r="AE181" i="1"/>
  <c r="AF181" i="1" s="1"/>
  <c r="AE204" i="1"/>
  <c r="AF204" i="1" s="1"/>
  <c r="AE192" i="1"/>
  <c r="AF192" i="1" s="1"/>
  <c r="U141" i="1"/>
  <c r="U173" i="1"/>
  <c r="U154" i="1"/>
  <c r="O37" i="19"/>
  <c r="AE104" i="1"/>
  <c r="AF104" i="1" s="1"/>
  <c r="U84" i="1"/>
  <c r="U102" i="1"/>
  <c r="U97" i="1"/>
  <c r="U138" i="1"/>
  <c r="AE98" i="1"/>
  <c r="AF98" i="1" s="1"/>
  <c r="U46" i="1"/>
  <c r="AE48" i="1"/>
  <c r="AF48" i="1" s="1"/>
  <c r="AE75" i="1"/>
  <c r="AF75" i="1" s="1"/>
  <c r="U18" i="1"/>
  <c r="L28" i="19"/>
  <c r="I28" i="19" s="1"/>
  <c r="F53" i="19"/>
  <c r="O14" i="19"/>
  <c r="AE60" i="1"/>
  <c r="AF60" i="1" s="1"/>
  <c r="U58" i="1"/>
  <c r="AE168" i="1"/>
  <c r="AF168" i="1" s="1"/>
  <c r="AE30" i="1"/>
  <c r="AF30" i="1" s="1"/>
  <c r="U23" i="1"/>
  <c r="U42" i="1"/>
  <c r="AE16" i="1"/>
  <c r="AF16" i="1" s="1"/>
  <c r="AE22" i="1"/>
  <c r="V202" i="1"/>
  <c r="V121" i="1"/>
  <c r="F18" i="19"/>
  <c r="U193" i="1"/>
  <c r="U184" i="1"/>
  <c r="V170" i="1"/>
  <c r="AE178" i="1"/>
  <c r="AE223" i="1"/>
  <c r="AF223" i="1" s="1"/>
  <c r="U209" i="1"/>
  <c r="U216" i="1"/>
  <c r="AE200" i="1"/>
  <c r="AF200" i="1" s="1"/>
  <c r="AE193" i="1"/>
  <c r="AF193" i="1" s="1"/>
  <c r="AE180" i="1"/>
  <c r="AF180" i="1" s="1"/>
  <c r="U179" i="1"/>
  <c r="U176" i="1"/>
  <c r="V136" i="1"/>
  <c r="U211" i="1"/>
  <c r="U185" i="1"/>
  <c r="U146" i="1"/>
  <c r="AE117" i="1"/>
  <c r="AF117" i="1" s="1"/>
  <c r="U159" i="1"/>
  <c r="AE108" i="1"/>
  <c r="AF108" i="1" s="1"/>
  <c r="U143" i="1"/>
  <c r="AE141" i="1"/>
  <c r="AF141" i="1" s="1"/>
  <c r="AE190" i="1"/>
  <c r="AF190" i="1" s="1"/>
  <c r="U107" i="1"/>
  <c r="U72" i="1"/>
  <c r="U63" i="1"/>
  <c r="AE111" i="1"/>
  <c r="AF111" i="1" s="1"/>
  <c r="U100" i="1"/>
  <c r="U61" i="1"/>
  <c r="U111" i="1"/>
  <c r="AE72" i="1"/>
  <c r="AF72" i="1" s="1"/>
  <c r="AE106" i="1"/>
  <c r="AF106" i="1" s="1"/>
  <c r="U71" i="1"/>
  <c r="U50" i="1"/>
  <c r="U64" i="1"/>
  <c r="AE58" i="1"/>
  <c r="AF58" i="1" s="1"/>
  <c r="U39" i="1"/>
  <c r="O16" i="19"/>
  <c r="L17" i="19"/>
  <c r="I17" i="19" s="1"/>
  <c r="U62" i="1"/>
  <c r="AE44" i="1"/>
  <c r="AF44" i="1" s="1"/>
  <c r="AE51" i="1"/>
  <c r="AF51" i="1" s="1"/>
  <c r="AE27" i="1"/>
  <c r="AF27" i="1" s="1"/>
  <c r="U22" i="1"/>
  <c r="V22" i="1" s="1"/>
  <c r="AE54" i="1"/>
  <c r="AF54" i="1" s="1"/>
  <c r="V126" i="1"/>
  <c r="V85" i="1"/>
  <c r="U201" i="1"/>
  <c r="U224" i="1"/>
  <c r="U207" i="1"/>
  <c r="AE224" i="1"/>
  <c r="AF224" i="1" s="1"/>
  <c r="U208" i="1"/>
  <c r="AE215" i="1"/>
  <c r="AF215" i="1" s="1"/>
  <c r="AE202" i="1"/>
  <c r="AF202" i="1" s="1"/>
  <c r="U175" i="1"/>
  <c r="AE184" i="1"/>
  <c r="AF184" i="1" s="1"/>
  <c r="U113" i="1"/>
  <c r="AE172" i="1"/>
  <c r="AF172" i="1" s="1"/>
  <c r="AE167" i="1"/>
  <c r="AF167" i="1" s="1"/>
  <c r="AE170" i="1"/>
  <c r="AF170" i="1" s="1"/>
  <c r="U217" i="1"/>
  <c r="U213" i="1"/>
  <c r="U197" i="1"/>
  <c r="U192" i="1"/>
  <c r="U145" i="1"/>
  <c r="AE139" i="1"/>
  <c r="AF139" i="1" s="1"/>
  <c r="AE126" i="1"/>
  <c r="AF126" i="1" s="1"/>
  <c r="AE121" i="1"/>
  <c r="AF121" i="1" s="1"/>
  <c r="U110" i="1"/>
  <c r="AE109" i="1"/>
  <c r="AF109" i="1" s="1"/>
  <c r="U101" i="1"/>
  <c r="AE79" i="1"/>
  <c r="AF79" i="1" s="1"/>
  <c r="L34" i="19"/>
  <c r="I34" i="19" s="1"/>
  <c r="AE43" i="1"/>
  <c r="AF43" i="1" s="1"/>
  <c r="U48" i="1"/>
  <c r="L12" i="19"/>
  <c r="AE15" i="1"/>
  <c r="AF15" i="1" s="1"/>
  <c r="L13" i="19"/>
  <c r="I13" i="19" s="1"/>
  <c r="AE14" i="1"/>
  <c r="AF14" i="1" s="1"/>
  <c r="AE55" i="1"/>
  <c r="AF55" i="1" s="1"/>
  <c r="AE89" i="1"/>
  <c r="AF89" i="1" s="1"/>
  <c r="AE39" i="1"/>
  <c r="AF39" i="1" s="1"/>
  <c r="U29" i="1"/>
  <c r="V40" i="1"/>
  <c r="AE42" i="1"/>
  <c r="AF42" i="1" s="1"/>
  <c r="AE28" i="1"/>
  <c r="AF28" i="1" s="1"/>
  <c r="I29" i="20"/>
  <c r="R23" i="20"/>
  <c r="R29" i="20" s="1"/>
  <c r="I40" i="20"/>
  <c r="R34" i="20"/>
  <c r="R40" i="20" s="1"/>
  <c r="AG57" i="1" l="1"/>
  <c r="AH57" i="1" s="1"/>
  <c r="I66" i="20"/>
  <c r="R66" i="20"/>
  <c r="AG219" i="1"/>
  <c r="AH219" i="1" s="1"/>
  <c r="AG66" i="1"/>
  <c r="AH66" i="1" s="1"/>
  <c r="AG82" i="1"/>
  <c r="AH82" i="1" s="1"/>
  <c r="AG210" i="1"/>
  <c r="AH210" i="1" s="1"/>
  <c r="V66" i="1"/>
  <c r="R25" i="19"/>
  <c r="AG49" i="1"/>
  <c r="AH49" i="1" s="1"/>
  <c r="AG68" i="1"/>
  <c r="AH68" i="1" s="1"/>
  <c r="R15" i="19"/>
  <c r="R36" i="19"/>
  <c r="AG157" i="1"/>
  <c r="AH157" i="1" s="1"/>
  <c r="AG87" i="1"/>
  <c r="AH87" i="1" s="1"/>
  <c r="AG128" i="1"/>
  <c r="AH128" i="1" s="1"/>
  <c r="AG32" i="1"/>
  <c r="AH32" i="1" s="1"/>
  <c r="AG162" i="1"/>
  <c r="AH162" i="1" s="1"/>
  <c r="AG59" i="1"/>
  <c r="AH59" i="1" s="1"/>
  <c r="V128" i="1"/>
  <c r="AG195" i="1"/>
  <c r="AH195" i="1" s="1"/>
  <c r="V32" i="1"/>
  <c r="AG40" i="1"/>
  <c r="AH40" i="1" s="1"/>
  <c r="V82" i="1"/>
  <c r="R24" i="19"/>
  <c r="AG123" i="1"/>
  <c r="AH123" i="1" s="1"/>
  <c r="AG119" i="1"/>
  <c r="AH119" i="1" s="1"/>
  <c r="V59" i="1"/>
  <c r="R28" i="19"/>
  <c r="V162" i="1"/>
  <c r="AG36" i="1"/>
  <c r="AH36" i="1" s="1"/>
  <c r="AG35" i="1"/>
  <c r="AH35" i="1" s="1"/>
  <c r="R47" i="19"/>
  <c r="AG85" i="1"/>
  <c r="AH85" i="1" s="1"/>
  <c r="AG158" i="1"/>
  <c r="AH158" i="1" s="1"/>
  <c r="AG136" i="1"/>
  <c r="AH136" i="1" s="1"/>
  <c r="AG212" i="1"/>
  <c r="AH212" i="1" s="1"/>
  <c r="V73" i="1"/>
  <c r="R51" i="19"/>
  <c r="AG118" i="1"/>
  <c r="AH118" i="1" s="1"/>
  <c r="R23" i="19"/>
  <c r="AG206" i="1"/>
  <c r="AH206" i="1" s="1"/>
  <c r="AG38" i="1"/>
  <c r="AH38" i="1" s="1"/>
  <c r="AG140" i="1"/>
  <c r="AH140" i="1" s="1"/>
  <c r="AG19" i="1"/>
  <c r="AH19" i="1" s="1"/>
  <c r="R37" i="19"/>
  <c r="AG91" i="1"/>
  <c r="AH91" i="1" s="1"/>
  <c r="AG187" i="1"/>
  <c r="AH187" i="1" s="1"/>
  <c r="AG203" i="1"/>
  <c r="AH203" i="1" s="1"/>
  <c r="AG37" i="1"/>
  <c r="AH37" i="1" s="1"/>
  <c r="AG41" i="1"/>
  <c r="AH41" i="1" s="1"/>
  <c r="AG124" i="1"/>
  <c r="AH124" i="1" s="1"/>
  <c r="R38" i="19"/>
  <c r="R17" i="19"/>
  <c r="I53" i="19"/>
  <c r="AG99" i="1"/>
  <c r="AH99" i="1" s="1"/>
  <c r="AG182" i="1"/>
  <c r="AH182" i="1" s="1"/>
  <c r="AG220" i="1"/>
  <c r="AH220" i="1" s="1"/>
  <c r="AG65" i="1"/>
  <c r="AH65" i="1" s="1"/>
  <c r="AG218" i="1"/>
  <c r="AH218" i="1" s="1"/>
  <c r="AG34" i="1"/>
  <c r="AH34" i="1" s="1"/>
  <c r="V158" i="1"/>
  <c r="L60" i="19"/>
  <c r="I60" i="19" s="1"/>
  <c r="V124" i="1"/>
  <c r="V37" i="1"/>
  <c r="AG24" i="1"/>
  <c r="AH24" i="1" s="1"/>
  <c r="AG96" i="1"/>
  <c r="AH96" i="1" s="1"/>
  <c r="AG25" i="1"/>
  <c r="AH25" i="1" s="1"/>
  <c r="AG174" i="1"/>
  <c r="AH174" i="1" s="1"/>
  <c r="AG70" i="1"/>
  <c r="AH70" i="1" s="1"/>
  <c r="R26" i="19"/>
  <c r="V65" i="1"/>
  <c r="AG166" i="1"/>
  <c r="AH166" i="1" s="1"/>
  <c r="AF34" i="1"/>
  <c r="AG152" i="1"/>
  <c r="AH152" i="1" s="1"/>
  <c r="AG83" i="1"/>
  <c r="AH83" i="1" s="1"/>
  <c r="V157" i="1"/>
  <c r="R13" i="19"/>
  <c r="AG221" i="1"/>
  <c r="AH221" i="1" s="1"/>
  <c r="R27" i="19"/>
  <c r="AG94" i="1"/>
  <c r="AH94" i="1" s="1"/>
  <c r="AG169" i="1"/>
  <c r="AH169" i="1" s="1"/>
  <c r="AG17" i="1"/>
  <c r="AH17" i="1" s="1"/>
  <c r="AG53" i="1"/>
  <c r="AH53" i="1" s="1"/>
  <c r="I40" i="19"/>
  <c r="AG156" i="1"/>
  <c r="AH156" i="1" s="1"/>
  <c r="V70" i="1"/>
  <c r="AG163" i="1"/>
  <c r="AH163" i="1" s="1"/>
  <c r="AG180" i="1"/>
  <c r="AH180" i="1" s="1"/>
  <c r="AG105" i="1"/>
  <c r="AH105" i="1" s="1"/>
  <c r="AG45" i="1"/>
  <c r="AH45" i="1" s="1"/>
  <c r="AG205" i="1"/>
  <c r="AH205" i="1" s="1"/>
  <c r="AG116" i="1"/>
  <c r="AH116" i="1" s="1"/>
  <c r="R52" i="19"/>
  <c r="AG80" i="1"/>
  <c r="AH80" i="1" s="1"/>
  <c r="O60" i="19"/>
  <c r="AG79" i="1"/>
  <c r="AH79" i="1" s="1"/>
  <c r="AG132" i="1"/>
  <c r="AH132" i="1" s="1"/>
  <c r="O59" i="19"/>
  <c r="R34" i="19"/>
  <c r="L40" i="19"/>
  <c r="V205" i="1"/>
  <c r="L63" i="19"/>
  <c r="I63" i="19" s="1"/>
  <c r="AG183" i="1"/>
  <c r="AH183" i="1" s="1"/>
  <c r="L53" i="19"/>
  <c r="AG126" i="1"/>
  <c r="AH126" i="1" s="1"/>
  <c r="AG21" i="1"/>
  <c r="AH21" i="1" s="1"/>
  <c r="AG214" i="1"/>
  <c r="AH214" i="1" s="1"/>
  <c r="O64" i="19"/>
  <c r="AG69" i="1"/>
  <c r="AH69" i="1" s="1"/>
  <c r="O40" i="19"/>
  <c r="L62" i="19"/>
  <c r="I62" i="19" s="1"/>
  <c r="O53" i="19"/>
  <c r="AG88" i="1"/>
  <c r="AH88" i="1" s="1"/>
  <c r="R49" i="19"/>
  <c r="R39" i="19"/>
  <c r="AG226" i="1"/>
  <c r="AH226" i="1" s="1"/>
  <c r="V29" i="1"/>
  <c r="AG29" i="1"/>
  <c r="AH29" i="1" s="1"/>
  <c r="V213" i="1"/>
  <c r="AG213" i="1"/>
  <c r="AH213" i="1" s="1"/>
  <c r="L18" i="19"/>
  <c r="V217" i="1"/>
  <c r="AG217" i="1"/>
  <c r="AH217" i="1" s="1"/>
  <c r="V64" i="1"/>
  <c r="AG64" i="1"/>
  <c r="AH64" i="1" s="1"/>
  <c r="V159" i="1"/>
  <c r="AG159" i="1"/>
  <c r="AH159" i="1" s="1"/>
  <c r="V179" i="1"/>
  <c r="AG179" i="1"/>
  <c r="AH179" i="1" s="1"/>
  <c r="V193" i="1"/>
  <c r="AG193" i="1"/>
  <c r="AH193" i="1" s="1"/>
  <c r="AG121" i="1"/>
  <c r="AH121" i="1" s="1"/>
  <c r="AG22" i="1"/>
  <c r="AH22" i="1" s="1"/>
  <c r="AF22" i="1"/>
  <c r="V46" i="1"/>
  <c r="AG46" i="1"/>
  <c r="AH46" i="1" s="1"/>
  <c r="V75" i="1"/>
  <c r="AG75" i="1"/>
  <c r="AH75" i="1" s="1"/>
  <c r="AG160" i="1"/>
  <c r="AH160" i="1" s="1"/>
  <c r="V160" i="1"/>
  <c r="V28" i="1"/>
  <c r="AG28" i="1"/>
  <c r="AH28" i="1" s="1"/>
  <c r="AG89" i="1"/>
  <c r="AH89" i="1" s="1"/>
  <c r="AG164" i="1"/>
  <c r="AH164" i="1" s="1"/>
  <c r="V164" i="1"/>
  <c r="R14" i="19"/>
  <c r="V81" i="1"/>
  <c r="AG81" i="1"/>
  <c r="AH81" i="1" s="1"/>
  <c r="AG30" i="1"/>
  <c r="AH30" i="1" s="1"/>
  <c r="AG31" i="1"/>
  <c r="AH31" i="1" s="1"/>
  <c r="V31" i="1"/>
  <c r="I29" i="19"/>
  <c r="V78" i="1"/>
  <c r="AG78" i="1"/>
  <c r="AH78" i="1" s="1"/>
  <c r="AG130" i="1"/>
  <c r="AH130" i="1" s="1"/>
  <c r="V130" i="1"/>
  <c r="R48" i="19"/>
  <c r="AG60" i="1"/>
  <c r="AH60" i="1" s="1"/>
  <c r="R35" i="19"/>
  <c r="V200" i="1"/>
  <c r="AG200" i="1"/>
  <c r="AH200" i="1" s="1"/>
  <c r="V62" i="1"/>
  <c r="AG62" i="1"/>
  <c r="AH62" i="1" s="1"/>
  <c r="V50" i="1"/>
  <c r="AG50" i="1"/>
  <c r="AH50" i="1" s="1"/>
  <c r="V71" i="1"/>
  <c r="AG71" i="1"/>
  <c r="AH71" i="1" s="1"/>
  <c r="V72" i="1"/>
  <c r="AG72" i="1"/>
  <c r="AH72" i="1" s="1"/>
  <c r="V146" i="1"/>
  <c r="AG146" i="1"/>
  <c r="AH146" i="1" s="1"/>
  <c r="AG170" i="1"/>
  <c r="AH170" i="1" s="1"/>
  <c r="V42" i="1"/>
  <c r="AG42" i="1"/>
  <c r="AH42" i="1" s="1"/>
  <c r="V138" i="1"/>
  <c r="AG138" i="1"/>
  <c r="AH138" i="1" s="1"/>
  <c r="V154" i="1"/>
  <c r="AG154" i="1"/>
  <c r="AH154" i="1" s="1"/>
  <c r="O63" i="19"/>
  <c r="V199" i="1"/>
  <c r="AG199" i="1"/>
  <c r="AH199" i="1" s="1"/>
  <c r="V67" i="1"/>
  <c r="AG67" i="1"/>
  <c r="AH67" i="1" s="1"/>
  <c r="V115" i="1"/>
  <c r="AG115" i="1"/>
  <c r="AH115" i="1" s="1"/>
  <c r="V129" i="1"/>
  <c r="AG129" i="1"/>
  <c r="AH129" i="1" s="1"/>
  <c r="V191" i="1"/>
  <c r="AG191" i="1"/>
  <c r="AH191" i="1" s="1"/>
  <c r="V168" i="1"/>
  <c r="AG168" i="1"/>
  <c r="AH168" i="1" s="1"/>
  <c r="V106" i="1"/>
  <c r="AG106" i="1"/>
  <c r="AH106" i="1" s="1"/>
  <c r="AG108" i="1"/>
  <c r="AH108" i="1" s="1"/>
  <c r="V108" i="1"/>
  <c r="V222" i="1"/>
  <c r="AG222" i="1"/>
  <c r="AH222" i="1" s="1"/>
  <c r="AG86" i="1"/>
  <c r="AH86" i="1" s="1"/>
  <c r="AG103" i="1"/>
  <c r="AH103" i="1" s="1"/>
  <c r="AG90" i="1"/>
  <c r="AH90" i="1" s="1"/>
  <c r="AG201" i="1"/>
  <c r="AH201" i="1" s="1"/>
  <c r="V201" i="1"/>
  <c r="V110" i="1"/>
  <c r="AG110" i="1"/>
  <c r="AH110" i="1" s="1"/>
  <c r="V100" i="1"/>
  <c r="AG100" i="1"/>
  <c r="AH100" i="1" s="1"/>
  <c r="AG33" i="1"/>
  <c r="AH33" i="1" s="1"/>
  <c r="V33" i="1"/>
  <c r="O61" i="19"/>
  <c r="L61" i="19"/>
  <c r="I61" i="19" s="1"/>
  <c r="AG122" i="1"/>
  <c r="AH122" i="1" s="1"/>
  <c r="V122" i="1"/>
  <c r="AG55" i="1"/>
  <c r="AH55" i="1" s="1"/>
  <c r="V55" i="1"/>
  <c r="I12" i="19"/>
  <c r="AG107" i="1"/>
  <c r="AH107" i="1" s="1"/>
  <c r="V107" i="1"/>
  <c r="V185" i="1"/>
  <c r="AG185" i="1"/>
  <c r="AH185" i="1" s="1"/>
  <c r="V23" i="1"/>
  <c r="AG23" i="1"/>
  <c r="AH23" i="1" s="1"/>
  <c r="AG97" i="1"/>
  <c r="AH97" i="1" s="1"/>
  <c r="V97" i="1"/>
  <c r="AG173" i="1"/>
  <c r="AH173" i="1" s="1"/>
  <c r="V173" i="1"/>
  <c r="V137" i="1"/>
  <c r="AG137" i="1"/>
  <c r="AH137" i="1" s="1"/>
  <c r="V125" i="1"/>
  <c r="AG125" i="1"/>
  <c r="AH125" i="1" s="1"/>
  <c r="V225" i="1"/>
  <c r="AG225" i="1"/>
  <c r="AH225" i="1" s="1"/>
  <c r="V56" i="1"/>
  <c r="AG56" i="1"/>
  <c r="AH56" i="1" s="1"/>
  <c r="V16" i="1"/>
  <c r="AG16" i="1"/>
  <c r="AH16" i="1" s="1"/>
  <c r="R48" i="20"/>
  <c r="R54" i="20" s="1"/>
  <c r="I54" i="20"/>
  <c r="AG77" i="1"/>
  <c r="AH77" i="1" s="1"/>
  <c r="V197" i="1"/>
  <c r="AG197" i="1"/>
  <c r="AH197" i="1" s="1"/>
  <c r="AG176" i="1"/>
  <c r="AH176" i="1" s="1"/>
  <c r="V176" i="1"/>
  <c r="V184" i="1"/>
  <c r="AG184" i="1"/>
  <c r="AH184" i="1" s="1"/>
  <c r="V84" i="1"/>
  <c r="AG84" i="1"/>
  <c r="AH84" i="1" s="1"/>
  <c r="AG134" i="1"/>
  <c r="AH134" i="1" s="1"/>
  <c r="V134" i="1"/>
  <c r="V20" i="1"/>
  <c r="AG20" i="1"/>
  <c r="AH20" i="1" s="1"/>
  <c r="V190" i="1"/>
  <c r="AG190" i="1"/>
  <c r="AH190" i="1" s="1"/>
  <c r="AG223" i="1"/>
  <c r="AH223" i="1" s="1"/>
  <c r="AG127" i="1"/>
  <c r="AH127" i="1" s="1"/>
  <c r="V127" i="1"/>
  <c r="AG117" i="1"/>
  <c r="AH117" i="1" s="1"/>
  <c r="V117" i="1"/>
  <c r="V48" i="1"/>
  <c r="AG48" i="1"/>
  <c r="AH48" i="1" s="1"/>
  <c r="V208" i="1"/>
  <c r="AG208" i="1"/>
  <c r="AH208" i="1" s="1"/>
  <c r="V63" i="1"/>
  <c r="AG63" i="1"/>
  <c r="AH63" i="1" s="1"/>
  <c r="AG145" i="1"/>
  <c r="AH145" i="1" s="1"/>
  <c r="V145" i="1"/>
  <c r="AG207" i="1"/>
  <c r="AH207" i="1" s="1"/>
  <c r="V207" i="1"/>
  <c r="V139" i="1"/>
  <c r="AG139" i="1"/>
  <c r="AH139" i="1" s="1"/>
  <c r="V113" i="1"/>
  <c r="AG113" i="1"/>
  <c r="AH113" i="1" s="1"/>
  <c r="AG224" i="1"/>
  <c r="AH224" i="1" s="1"/>
  <c r="V224" i="1"/>
  <c r="AG120" i="1"/>
  <c r="AH120" i="1" s="1"/>
  <c r="V211" i="1"/>
  <c r="AG211" i="1"/>
  <c r="AH211" i="1" s="1"/>
  <c r="AG202" i="1"/>
  <c r="AH202" i="1" s="1"/>
  <c r="AG102" i="1"/>
  <c r="AH102" i="1" s="1"/>
  <c r="V102" i="1"/>
  <c r="V141" i="1"/>
  <c r="AG141" i="1"/>
  <c r="AH141" i="1" s="1"/>
  <c r="V177" i="1"/>
  <c r="AG177" i="1"/>
  <c r="AH177" i="1" s="1"/>
  <c r="V171" i="1"/>
  <c r="AG171" i="1"/>
  <c r="AH171" i="1" s="1"/>
  <c r="AG165" i="1"/>
  <c r="AH165" i="1" s="1"/>
  <c r="V165" i="1"/>
  <c r="AG98" i="1"/>
  <c r="AH98" i="1" s="1"/>
  <c r="V98" i="1"/>
  <c r="AG161" i="1"/>
  <c r="AH161" i="1" s="1"/>
  <c r="V161" i="1"/>
  <c r="AG181" i="1"/>
  <c r="AH181" i="1" s="1"/>
  <c r="V181" i="1"/>
  <c r="AG144" i="1"/>
  <c r="AH144" i="1" s="1"/>
  <c r="V14" i="1"/>
  <c r="AG14" i="1"/>
  <c r="AH14" i="1" s="1"/>
  <c r="L59" i="19"/>
  <c r="V104" i="1"/>
  <c r="AG104" i="1"/>
  <c r="AH104" i="1" s="1"/>
  <c r="AG204" i="1"/>
  <c r="AH204" i="1" s="1"/>
  <c r="AG186" i="1"/>
  <c r="AH186" i="1" s="1"/>
  <c r="AG142" i="1"/>
  <c r="AH142" i="1" s="1"/>
  <c r="AG26" i="1"/>
  <c r="AH26" i="1" s="1"/>
  <c r="O62" i="19"/>
  <c r="AG92" i="1"/>
  <c r="AH92" i="1" s="1"/>
  <c r="V52" i="1"/>
  <c r="AG52" i="1"/>
  <c r="AH52" i="1" s="1"/>
  <c r="AG188" i="1"/>
  <c r="AH188" i="1" s="1"/>
  <c r="V188" i="1"/>
  <c r="AG43" i="1"/>
  <c r="AH43" i="1" s="1"/>
  <c r="V43" i="1"/>
  <c r="V153" i="1"/>
  <c r="AG153" i="1"/>
  <c r="AH153" i="1" s="1"/>
  <c r="AG178" i="1"/>
  <c r="AH178" i="1" s="1"/>
  <c r="AF178" i="1"/>
  <c r="L64" i="19"/>
  <c r="I64" i="19" s="1"/>
  <c r="AG194" i="1"/>
  <c r="AH194" i="1" s="1"/>
  <c r="AG51" i="1"/>
  <c r="AH51" i="1" s="1"/>
  <c r="L29" i="19"/>
  <c r="AG101" i="1"/>
  <c r="AH101" i="1" s="1"/>
  <c r="V101" i="1"/>
  <c r="V192" i="1"/>
  <c r="AG192" i="1"/>
  <c r="AH192" i="1" s="1"/>
  <c r="AG111" i="1"/>
  <c r="AH111" i="1" s="1"/>
  <c r="V111" i="1"/>
  <c r="V216" i="1"/>
  <c r="AG216" i="1"/>
  <c r="AH216" i="1" s="1"/>
  <c r="V18" i="1"/>
  <c r="AG18" i="1"/>
  <c r="AH18" i="1" s="1"/>
  <c r="AG15" i="1"/>
  <c r="AH15" i="1" s="1"/>
  <c r="AG135" i="1"/>
  <c r="AH135" i="1" s="1"/>
  <c r="V135" i="1"/>
  <c r="V54" i="1"/>
  <c r="AG54" i="1"/>
  <c r="AH54" i="1" s="1"/>
  <c r="AG114" i="1"/>
  <c r="AH114" i="1" s="1"/>
  <c r="V114" i="1"/>
  <c r="V109" i="1"/>
  <c r="AG109" i="1"/>
  <c r="AH109" i="1" s="1"/>
  <c r="V189" i="1"/>
  <c r="AG189" i="1"/>
  <c r="AH189" i="1" s="1"/>
  <c r="AG167" i="1"/>
  <c r="AH167" i="1" s="1"/>
  <c r="V175" i="1"/>
  <c r="AG175" i="1"/>
  <c r="AH175" i="1" s="1"/>
  <c r="AG39" i="1"/>
  <c r="AH39" i="1" s="1"/>
  <c r="V39" i="1"/>
  <c r="V61" i="1"/>
  <c r="AG61" i="1"/>
  <c r="AH61" i="1" s="1"/>
  <c r="V143" i="1"/>
  <c r="AG143" i="1"/>
  <c r="AH143" i="1" s="1"/>
  <c r="V209" i="1"/>
  <c r="AG209" i="1"/>
  <c r="AH209" i="1" s="1"/>
  <c r="V58" i="1"/>
  <c r="AG58" i="1"/>
  <c r="AH58" i="1" s="1"/>
  <c r="O18" i="19"/>
  <c r="AG131" i="1"/>
  <c r="AH131" i="1" s="1"/>
  <c r="V131" i="1"/>
  <c r="V27" i="1"/>
  <c r="AG27" i="1"/>
  <c r="AH27" i="1" s="1"/>
  <c r="V76" i="1"/>
  <c r="AG76" i="1"/>
  <c r="AH76" i="1" s="1"/>
  <c r="AG112" i="1"/>
  <c r="AH112" i="1" s="1"/>
  <c r="V112" i="1"/>
  <c r="V172" i="1"/>
  <c r="AG172" i="1"/>
  <c r="AH172" i="1" s="1"/>
  <c r="V151" i="1"/>
  <c r="AG151" i="1"/>
  <c r="AH151" i="1" s="1"/>
  <c r="R16" i="19"/>
  <c r="AG47" i="1"/>
  <c r="AH47" i="1" s="1"/>
  <c r="AG93" i="1"/>
  <c r="AH93" i="1" s="1"/>
  <c r="V93" i="1"/>
  <c r="V196" i="1"/>
  <c r="AG196" i="1"/>
  <c r="AH196" i="1" s="1"/>
  <c r="AG44" i="1"/>
  <c r="AH44" i="1" s="1"/>
  <c r="V44" i="1"/>
  <c r="O29" i="19"/>
  <c r="V74" i="1"/>
  <c r="AG74" i="1"/>
  <c r="AH74" i="1" s="1"/>
  <c r="V133" i="1"/>
  <c r="AG133" i="1"/>
  <c r="AH133" i="1" s="1"/>
  <c r="V215" i="1"/>
  <c r="AG215" i="1"/>
  <c r="AH215" i="1" s="1"/>
  <c r="AG95" i="1"/>
  <c r="AH95" i="1" s="1"/>
  <c r="AG155" i="1"/>
  <c r="AH155" i="1" s="1"/>
  <c r="R40" i="19" l="1"/>
  <c r="R60" i="19"/>
  <c r="R29" i="19"/>
  <c r="R64" i="19"/>
  <c r="R62" i="19"/>
  <c r="R63" i="19"/>
  <c r="R53" i="19"/>
  <c r="O65" i="19"/>
  <c r="I59" i="19"/>
  <c r="L65" i="19"/>
  <c r="I18" i="19"/>
  <c r="R12" i="19"/>
  <c r="R18" i="19" s="1"/>
  <c r="R61" i="19"/>
  <c r="R59" i="19" l="1"/>
  <c r="R65" i="19" s="1"/>
  <c r="I65" i="19"/>
  <c r="W1" i="1"/>
</calcChain>
</file>

<file path=xl/sharedStrings.xml><?xml version="1.0" encoding="utf-8"?>
<sst xmlns="http://schemas.openxmlformats.org/spreadsheetml/2006/main" count="3576" uniqueCount="231">
  <si>
    <t>GRADO</t>
  </si>
  <si>
    <t>PESO</t>
  </si>
  <si>
    <t>X</t>
  </si>
  <si>
    <t>NRO</t>
  </si>
  <si>
    <t>CARRERA MASCULINO</t>
  </si>
  <si>
    <t>CARRERA FEMENINO</t>
  </si>
  <si>
    <t>BRAZOS MASCULINO</t>
  </si>
  <si>
    <t>BRAZOS FEMENINO</t>
  </si>
  <si>
    <t>1ra CAT</t>
  </si>
  <si>
    <t>2da CAT</t>
  </si>
  <si>
    <t xml:space="preserve">  3ra CAT</t>
  </si>
  <si>
    <t>4ta CAT</t>
  </si>
  <si>
    <t>5ta CAT</t>
  </si>
  <si>
    <t>6ta CAT</t>
  </si>
  <si>
    <t>7ma CAT</t>
  </si>
  <si>
    <t>MARCA</t>
  </si>
  <si>
    <t>PTS</t>
  </si>
  <si>
    <t>MARCAS</t>
  </si>
  <si>
    <t>ORDENAMIENTO ANTIGUEDAD</t>
  </si>
  <si>
    <t>DNI</t>
  </si>
  <si>
    <t>NR</t>
  </si>
  <si>
    <t>TALLA</t>
  </si>
  <si>
    <t>EDAD</t>
  </si>
  <si>
    <t>CATEGORIA</t>
  </si>
  <si>
    <t xml:space="preserve"> BRAZOS</t>
  </si>
  <si>
    <t>SEXO (M/F)</t>
  </si>
  <si>
    <t>ORDENAMIENTO POR ARMA</t>
  </si>
  <si>
    <t>I</t>
  </si>
  <si>
    <t>C</t>
  </si>
  <si>
    <t>A</t>
  </si>
  <si>
    <t>Ing</t>
  </si>
  <si>
    <t>Com</t>
  </si>
  <si>
    <t>Ars</t>
  </si>
  <si>
    <t>Int</t>
  </si>
  <si>
    <t>Med</t>
  </si>
  <si>
    <t>Vet</t>
  </si>
  <si>
    <t>Bioq</t>
  </si>
  <si>
    <t>Aud</t>
  </si>
  <si>
    <t>Od</t>
  </si>
  <si>
    <t>Bda</t>
  </si>
  <si>
    <t>Seg</t>
  </si>
  <si>
    <t>Pil Ej</t>
  </si>
  <si>
    <t>SCD</t>
  </si>
  <si>
    <t>Educ Fis</t>
  </si>
  <si>
    <t>Res</t>
  </si>
  <si>
    <t>IMC</t>
  </si>
  <si>
    <t>CATEG</t>
  </si>
  <si>
    <t>8va CAT</t>
  </si>
  <si>
    <t>NA</t>
  </si>
  <si>
    <t>1RA CAT</t>
  </si>
  <si>
    <t>BARRA MASCULINO</t>
  </si>
  <si>
    <t>BARRA FEMENINO</t>
  </si>
  <si>
    <t>CARRERA</t>
  </si>
  <si>
    <t>FECHA NAC dd/mm/aa</t>
  </si>
  <si>
    <t>CR</t>
  </si>
  <si>
    <t>TC</t>
  </si>
  <si>
    <t>MY</t>
  </si>
  <si>
    <t>CT</t>
  </si>
  <si>
    <t>SM</t>
  </si>
  <si>
    <t>SP</t>
  </si>
  <si>
    <t>SA</t>
  </si>
  <si>
    <t>SI</t>
  </si>
  <si>
    <t>SG</t>
  </si>
  <si>
    <t>CI</t>
  </si>
  <si>
    <t>CB</t>
  </si>
  <si>
    <t>VS</t>
  </si>
  <si>
    <t>GD</t>
  </si>
  <si>
    <t>GB</t>
  </si>
  <si>
    <t>CM</t>
  </si>
  <si>
    <t>TP</t>
  </si>
  <si>
    <t>TT</t>
  </si>
  <si>
    <t>ST</t>
  </si>
  <si>
    <t>VP</t>
  </si>
  <si>
    <t>Enf Grl</t>
  </si>
  <si>
    <t>Enf Vet</t>
  </si>
  <si>
    <t>Cond Mot</t>
  </si>
  <si>
    <t>Ofc</t>
  </si>
  <si>
    <t>Mus</t>
  </si>
  <si>
    <t>MEF</t>
  </si>
  <si>
    <t>Mec Eq Camp</t>
  </si>
  <si>
    <t>Mec Mun Explo</t>
  </si>
  <si>
    <t>Mec Mot a Rued</t>
  </si>
  <si>
    <t>Mec Mot a Orug</t>
  </si>
  <si>
    <t>Mec Elec</t>
  </si>
  <si>
    <t>Cam</t>
  </si>
  <si>
    <t>Tal</t>
  </si>
  <si>
    <t>Sas</t>
  </si>
  <si>
    <t>Zap</t>
  </si>
  <si>
    <t>0"</t>
  </si>
  <si>
    <t xml:space="preserve"> TRONCO / PLANCHA FRONTAL</t>
  </si>
  <si>
    <t>A / NA</t>
  </si>
  <si>
    <t>Cant 1</t>
  </si>
  <si>
    <t>Pts 1</t>
  </si>
  <si>
    <t>Cant 2</t>
  </si>
  <si>
    <t>Pts 2</t>
  </si>
  <si>
    <t>Pts 4</t>
  </si>
  <si>
    <t>JERARQUIA</t>
  </si>
  <si>
    <t>EFECTIVOS</t>
  </si>
  <si>
    <t>COMPROBADOS</t>
  </si>
  <si>
    <t>NO COMPROBADOS</t>
  </si>
  <si>
    <t>APROBADOS</t>
  </si>
  <si>
    <t>NO APROBADOS</t>
  </si>
  <si>
    <t>OBSERVACIONES</t>
  </si>
  <si>
    <t>OF MASC</t>
  </si>
  <si>
    <t>OF FEM</t>
  </si>
  <si>
    <t>SUBOF MASC</t>
  </si>
  <si>
    <t>SUBOF FEM</t>
  </si>
  <si>
    <t>SV MASC</t>
  </si>
  <si>
    <t>SV FEM</t>
  </si>
  <si>
    <t>TOTALES</t>
  </si>
  <si>
    <t>PRUEBA</t>
  </si>
  <si>
    <t>BARRAS</t>
  </si>
  <si>
    <t>TRONCO / PLANCA FRONTAL</t>
  </si>
  <si>
    <t>RESULTADOS GENERALES</t>
  </si>
  <si>
    <t>FLEXO-EXTENSIÓN DE BRAZOS</t>
  </si>
  <si>
    <t>BARRA FIJA</t>
  </si>
  <si>
    <t>1. PRUEBAS:</t>
  </si>
  <si>
    <t>FLEXIÓN DE TRONCO / PLANCHA FRONTAL</t>
  </si>
  <si>
    <t>REGISTRO DE RESULTADOS DE LAS PRUEBAS DE APTITUD FÍSICA BÁSICA (PAFB)</t>
  </si>
  <si>
    <t>2. PROMEDIO FINAL:</t>
  </si>
  <si>
    <t>2DA COMPROBACION   -  PAFB</t>
  </si>
  <si>
    <r>
      <t xml:space="preserve">APROBO/         NO APROBO    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2DA COMPROBACION</t>
    </r>
  </si>
  <si>
    <t>NOTA FINAL           DACA</t>
  </si>
  <si>
    <t>CLASIFICACION   ANUAL</t>
  </si>
  <si>
    <t xml:space="preserve"> CARRERA</t>
  </si>
  <si>
    <t>PROM FINAL</t>
  </si>
  <si>
    <t>Pts 5</t>
  </si>
  <si>
    <t>Pts 6</t>
  </si>
  <si>
    <t>Cant 7</t>
  </si>
  <si>
    <t>Pts 7</t>
  </si>
  <si>
    <t>2da C</t>
  </si>
  <si>
    <t>A / NA2</t>
  </si>
  <si>
    <t>DACA</t>
  </si>
  <si>
    <t>A / NA3</t>
  </si>
  <si>
    <t>FECHA REF</t>
  </si>
  <si>
    <t>CI ART 11</t>
  </si>
  <si>
    <t>CI EC</t>
  </si>
  <si>
    <t>CB ART 11</t>
  </si>
  <si>
    <t>CB EC</t>
  </si>
  <si>
    <t>M</t>
  </si>
  <si>
    <t>F</t>
  </si>
  <si>
    <t>ARMA / ESPECIALIDAD</t>
  </si>
  <si>
    <t>Cant 4</t>
  </si>
  <si>
    <t>T' 5</t>
  </si>
  <si>
    <t>Dirección General de Organización Doctrina - EMGE</t>
  </si>
  <si>
    <t xml:space="preserve">                    EJERCITO ARGENTINO</t>
  </si>
  <si>
    <t>A / E / S</t>
  </si>
  <si>
    <t>NOMBRE Y APELLIDO</t>
  </si>
  <si>
    <t xml:space="preserve">Promedio </t>
  </si>
  <si>
    <t>Comp</t>
  </si>
  <si>
    <r>
      <t xml:space="preserve">APROBO/         NO APROBO    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COMPROBACION</t>
    </r>
  </si>
  <si>
    <t>TOME CONOCIMIENTO</t>
  </si>
  <si>
    <t>100"</t>
  </si>
  <si>
    <t>110"</t>
  </si>
  <si>
    <t>120"</t>
  </si>
  <si>
    <t>ABDOMINALES MASCULINO (PARA EL AÑO 2022)</t>
  </si>
  <si>
    <t>ABDOMINALES FEMENINO (PARA EL AÑO 2022)</t>
  </si>
  <si>
    <t>015"</t>
  </si>
  <si>
    <t>020"</t>
  </si>
  <si>
    <t>025"</t>
  </si>
  <si>
    <t>030"</t>
  </si>
  <si>
    <t>035"</t>
  </si>
  <si>
    <t>040"</t>
  </si>
  <si>
    <t>045"</t>
  </si>
  <si>
    <t>050"</t>
  </si>
  <si>
    <t>055"</t>
  </si>
  <si>
    <t>060"</t>
  </si>
  <si>
    <t>070"</t>
  </si>
  <si>
    <t>075"</t>
  </si>
  <si>
    <t>080"</t>
  </si>
  <si>
    <t>085"</t>
  </si>
  <si>
    <t>090"</t>
  </si>
  <si>
    <t>NOMBRE/S Y APELLIDO/S</t>
  </si>
  <si>
    <t>Jerarquia</t>
  </si>
  <si>
    <t>Cant6</t>
  </si>
  <si>
    <t>Cant 9</t>
  </si>
  <si>
    <t>Pts 9</t>
  </si>
  <si>
    <t>T' 10</t>
  </si>
  <si>
    <t>Pts 10</t>
  </si>
  <si>
    <t>BARRA</t>
  </si>
  <si>
    <t>PRIMERA COMPROBACION - AÑO 2025</t>
  </si>
  <si>
    <t>APENDICE 5 (Informe Estadístico de las PAFB) AL ANEXO 2 (Pruebas de Aptitud Física Básica - PAFB) a la DIRECTIVA DEL SUBJEFE DEL ESTADO MAYOR GENERAL DEL EJÉRCITO Nro 828/20 (Régimen Funcional y de Evaluación de la Educación Física Militar) - Actualizacion 2025.</t>
  </si>
  <si>
    <t>CIUDAD AUTÓNOMA DE BUENOS AIRES,         de                        de 2025.</t>
  </si>
  <si>
    <t xml:space="preserve"> Año 2025</t>
  </si>
  <si>
    <t>x</t>
  </si>
  <si>
    <t>AJM CIE: E66</t>
  </si>
  <si>
    <t>AJM CIE: M23,62</t>
  </si>
  <si>
    <t>AJM CIE: S 82</t>
  </si>
  <si>
    <t>LIC POR MATERNIDAD</t>
  </si>
  <si>
    <t>LACTANCIA</t>
  </si>
  <si>
    <t>EMBARAZO</t>
  </si>
  <si>
    <t>DAF CIE: 125-I21</t>
  </si>
  <si>
    <t>DAF CIE: I 10</t>
  </si>
  <si>
    <t>DAF 5% CIE: E66</t>
  </si>
  <si>
    <t xml:space="preserve">APTO B </t>
  </si>
  <si>
    <t xml:space="preserve">1RA COMPROBACION - PAFB  </t>
  </si>
  <si>
    <t xml:space="preserve">              Regimiento de Caballería de Tanques 11</t>
  </si>
  <si>
    <t xml:space="preserve">                      “Año de Reconstrucción de la Nación Argentina"</t>
  </si>
  <si>
    <t xml:space="preserve">                                                                                                                        PUERTO SANTA CRUZ,     de julio de 2025</t>
  </si>
  <si>
    <t xml:space="preserve">                                                                                        “Año de Reconstrucción de la Nación Argentina"</t>
  </si>
  <si>
    <t xml:space="preserve">         Regimiento de Caballería de Tanques 11</t>
  </si>
  <si>
    <t>AJM</t>
  </si>
  <si>
    <t>IJM</t>
  </si>
  <si>
    <t>No autorizado por la médica</t>
  </si>
  <si>
    <t>PARTE DE ENf CIE: M79.6 IJM</t>
  </si>
  <si>
    <t>AJM CIE: K 49.9 IJM</t>
  </si>
  <si>
    <t>PARTE DE ENF  CIE: M25,6</t>
  </si>
  <si>
    <t>COMISIÓN</t>
  </si>
  <si>
    <t xml:space="preserve">COMISIÓN </t>
  </si>
  <si>
    <t>GENERO</t>
  </si>
  <si>
    <t>PARTE DE ENFERMO RODILLA</t>
  </si>
  <si>
    <t>SIN ANEXO 27 1ER SEM</t>
  </si>
  <si>
    <t>Parte de Enfermo GONALGIA</t>
  </si>
  <si>
    <t>Parte de Enfermo Columna</t>
  </si>
  <si>
    <t>Parte de Enfermo Extraxión de Muela</t>
  </si>
  <si>
    <t>APTO B 1er Sem</t>
  </si>
  <si>
    <t>Parte de Enf esguinse de tobillo</t>
  </si>
  <si>
    <t>Parde de Enfermo GONALGIA</t>
  </si>
  <si>
    <t>Parte de Enf. CIE: M 51.1</t>
  </si>
  <si>
    <t>Apto B 2do Sem</t>
  </si>
  <si>
    <t>Parte de Enf CIE: J15.9</t>
  </si>
  <si>
    <t>Parte de Enf I10</t>
  </si>
  <si>
    <t>ESESC</t>
  </si>
  <si>
    <t>PARTE DE ENF GONALGIA</t>
  </si>
  <si>
    <t>Derivación Hija</t>
  </si>
  <si>
    <t>Part Enf GONALGIA</t>
  </si>
  <si>
    <t>Parte de Enf M54.5</t>
  </si>
  <si>
    <t>AJM CIE: S 900</t>
  </si>
  <si>
    <t>Parte de Enf CIE: J20</t>
  </si>
  <si>
    <t>Embarazo</t>
  </si>
  <si>
    <t xml:space="preserve">       PUERTO SANTA CRUZ,     de noviembre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</si>
</sst>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FF00"/>
      <name val="Arial"/>
      <family val="2"/>
    </font>
    <font>
      <u/>
      <sz val="14"/>
      <color rgb="FFFFFF00"/>
      <name val="Arial"/>
      <family val="2"/>
    </font>
    <font>
      <b/>
      <sz val="16"/>
      <name val="Arial"/>
      <family val="2"/>
    </font>
    <font>
      <sz val="14"/>
      <color rgb="FFFFFF00"/>
      <name val="Arial"/>
      <family val="2"/>
    </font>
    <font>
      <b/>
      <i/>
      <sz val="18"/>
      <name val="Arial"/>
      <family val="2"/>
    </font>
    <font>
      <b/>
      <sz val="15"/>
      <name val="Arial"/>
      <family val="2"/>
    </font>
    <font>
      <sz val="12"/>
      <color rgb="FFFF000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b/>
      <i/>
      <sz val="12"/>
      <name val="Arial"/>
      <family val="2"/>
    </font>
    <font>
      <i/>
      <sz val="14"/>
      <name val="Arial"/>
      <family val="2"/>
    </font>
    <font>
      <i/>
      <sz val="14"/>
      <name val="Times New Roman"/>
      <family val="1"/>
    </font>
    <font>
      <b/>
      <sz val="12"/>
      <name val="Arial Narrow"/>
      <family val="2"/>
    </font>
    <font>
      <u/>
      <sz val="14"/>
      <name val="Arial"/>
      <family val="2"/>
    </font>
    <font>
      <sz val="16"/>
      <color rgb="FFFFFF00"/>
      <name val="Arial"/>
      <family val="2"/>
    </font>
    <font>
      <sz val="18"/>
      <color rgb="FFFFFF0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5"/>
      <name val="Arial"/>
      <family val="2"/>
    </font>
    <font>
      <sz val="14"/>
      <name val="Times New Roman"/>
      <family val="1"/>
    </font>
    <font>
      <i/>
      <sz val="16"/>
      <name val="Times New Roman"/>
      <family val="1"/>
    </font>
    <font>
      <b/>
      <sz val="14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6"/>
      <color rgb="FFFF0000"/>
      <name val="Arial"/>
      <family val="2"/>
    </font>
    <font>
      <i/>
      <sz val="10"/>
      <name val="Times New Roman"/>
      <family val="1"/>
    </font>
    <font>
      <b/>
      <u/>
      <sz val="16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4"/>
      <color rgb="FF000000"/>
      <name val="Arial"/>
      <family val="2"/>
    </font>
    <font>
      <i/>
      <sz val="18"/>
      <name val="Times New Roman"/>
      <family val="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rgb="FFC00000"/>
      <name val="Arial"/>
      <family val="2"/>
    </font>
    <font>
      <sz val="12"/>
      <name val="Arial"/>
    </font>
    <font>
      <sz val="14"/>
      <name val="Arial"/>
    </font>
    <font>
      <sz val="1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</cellStyleXfs>
  <cellXfs count="311">
    <xf numFmtId="0" fontId="0" fillId="0" borderId="0" xfId="0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4" fillId="6" borderId="0" xfId="0" applyNumberFormat="1" applyFont="1" applyFill="1" applyAlignment="1">
      <alignment horizontal="center"/>
    </xf>
    <xf numFmtId="2" fontId="4" fillId="6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0" xfId="0" applyFont="1" applyFill="1"/>
    <xf numFmtId="0" fontId="4" fillId="2" borderId="8" xfId="0" applyFont="1" applyFill="1" applyBorder="1"/>
    <xf numFmtId="0" fontId="4" fillId="2" borderId="7" xfId="0" applyFont="1" applyFill="1" applyBorder="1"/>
    <xf numFmtId="0" fontId="4" fillId="2" borderId="1" xfId="0" applyFont="1" applyFill="1" applyBorder="1"/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16" fillId="0" borderId="0" xfId="0" applyFont="1"/>
    <xf numFmtId="0" fontId="17" fillId="6" borderId="0" xfId="0" applyFont="1" applyFill="1"/>
    <xf numFmtId="0" fontId="17" fillId="6" borderId="0" xfId="0" applyFont="1" applyFill="1" applyAlignment="1">
      <alignment horizontal="center"/>
    </xf>
    <xf numFmtId="0" fontId="17" fillId="6" borderId="0" xfId="0" applyFont="1" applyFill="1" applyAlignment="1">
      <alignment horizontal="center" vertical="center"/>
    </xf>
    <xf numFmtId="2" fontId="17" fillId="6" borderId="0" xfId="0" applyNumberFormat="1" applyFont="1" applyFill="1"/>
    <xf numFmtId="164" fontId="17" fillId="6" borderId="0" xfId="0" applyNumberFormat="1" applyFont="1" applyFill="1"/>
    <xf numFmtId="0" fontId="15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left"/>
    </xf>
    <xf numFmtId="0" fontId="15" fillId="6" borderId="0" xfId="0" applyFont="1" applyFill="1"/>
    <xf numFmtId="0" fontId="15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 vertical="center"/>
    </xf>
    <xf numFmtId="2" fontId="15" fillId="6" borderId="0" xfId="0" applyNumberFormat="1" applyFont="1" applyFill="1"/>
    <xf numFmtId="164" fontId="15" fillId="6" borderId="0" xfId="0" applyNumberFormat="1" applyFont="1" applyFill="1"/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9" fillId="0" borderId="0" xfId="0" applyFont="1"/>
    <xf numFmtId="0" fontId="13" fillId="0" borderId="0" xfId="0" applyFont="1" applyAlignment="1">
      <alignment horizontal="center" vertical="center"/>
    </xf>
    <xf numFmtId="0" fontId="20" fillId="0" borderId="0" xfId="0" applyFont="1" applyProtection="1">
      <protection locked="0"/>
    </xf>
    <xf numFmtId="0" fontId="25" fillId="6" borderId="0" xfId="0" applyFont="1" applyFill="1" applyAlignment="1">
      <alignment vertical="center"/>
    </xf>
    <xf numFmtId="0" fontId="25" fillId="6" borderId="0" xfId="0" applyFont="1" applyFill="1" applyAlignment="1">
      <alignment horizontal="center" vertical="center"/>
    </xf>
    <xf numFmtId="0" fontId="25" fillId="0" borderId="0" xfId="0" applyFont="1" applyAlignment="1" applyProtection="1">
      <alignment vertical="center"/>
      <protection locked="0"/>
    </xf>
    <xf numFmtId="0" fontId="26" fillId="6" borderId="0" xfId="0" applyFont="1" applyFill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25" fillId="6" borderId="0" xfId="0" applyFont="1" applyFill="1" applyAlignment="1" applyProtection="1">
      <alignment horizontal="center" vertical="center"/>
      <protection locked="0"/>
    </xf>
    <xf numFmtId="0" fontId="26" fillId="6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vertical="center"/>
      <protection locked="0"/>
    </xf>
    <xf numFmtId="0" fontId="10" fillId="6" borderId="0" xfId="0" applyFont="1" applyFill="1" applyAlignment="1" applyProtection="1">
      <alignment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2" fontId="4" fillId="3" borderId="6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vertical="center"/>
      <protection locked="0"/>
    </xf>
    <xf numFmtId="0" fontId="9" fillId="6" borderId="0" xfId="0" applyFont="1" applyFill="1" applyAlignment="1" applyProtection="1">
      <alignment horizontal="center" vertical="center"/>
      <protection locked="0"/>
    </xf>
    <xf numFmtId="0" fontId="9" fillId="6" borderId="0" xfId="0" applyFont="1" applyFill="1" applyAlignment="1" applyProtection="1">
      <alignment vertical="center"/>
      <protection locked="0"/>
    </xf>
    <xf numFmtId="0" fontId="11" fillId="6" borderId="0" xfId="0" applyFont="1" applyFill="1" applyAlignment="1" applyProtection="1">
      <alignment horizontal="center" vertical="center"/>
      <protection locked="0"/>
    </xf>
    <xf numFmtId="0" fontId="23" fillId="6" borderId="0" xfId="0" applyFont="1" applyFill="1" applyAlignment="1" applyProtection="1">
      <alignment vertical="center"/>
      <protection locked="0"/>
    </xf>
    <xf numFmtId="0" fontId="24" fillId="6" borderId="0" xfId="0" applyFont="1" applyFill="1" applyAlignment="1" applyProtection="1">
      <alignment vertical="center"/>
      <protection locked="0"/>
    </xf>
    <xf numFmtId="0" fontId="8" fillId="6" borderId="0" xfId="0" applyFont="1" applyFill="1" applyAlignment="1" applyProtection="1">
      <alignment vertical="center"/>
      <protection locked="0"/>
    </xf>
    <xf numFmtId="0" fontId="28" fillId="0" borderId="0" xfId="0" applyFont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2" fontId="15" fillId="0" borderId="0" xfId="0" applyNumberFormat="1" applyFont="1" applyProtection="1">
      <protection locked="0"/>
    </xf>
    <xf numFmtId="0" fontId="15" fillId="0" borderId="0" xfId="0" applyFont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0" fontId="4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1" fontId="14" fillId="10" borderId="0" xfId="0" applyNumberFormat="1" applyFont="1" applyFill="1" applyAlignment="1">
      <alignment horizontal="center"/>
    </xf>
    <xf numFmtId="1" fontId="4" fillId="10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1" fontId="14" fillId="9" borderId="0" xfId="0" applyNumberFormat="1" applyFont="1" applyFill="1" applyAlignment="1">
      <alignment horizontal="center"/>
    </xf>
    <xf numFmtId="1" fontId="4" fillId="9" borderId="0" xfId="0" applyNumberFormat="1" applyFont="1" applyFill="1" applyAlignment="1">
      <alignment horizontal="center"/>
    </xf>
    <xf numFmtId="0" fontId="4" fillId="9" borderId="0" xfId="0" applyFont="1" applyFill="1"/>
    <xf numFmtId="0" fontId="3" fillId="9" borderId="0" xfId="0" applyFont="1" applyFill="1"/>
    <xf numFmtId="2" fontId="4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left"/>
    </xf>
    <xf numFmtId="1" fontId="3" fillId="9" borderId="0" xfId="0" applyNumberFormat="1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left"/>
    </xf>
    <xf numFmtId="2" fontId="4" fillId="10" borderId="0" xfId="0" applyNumberFormat="1" applyFont="1" applyFill="1" applyAlignment="1">
      <alignment horizontal="center"/>
    </xf>
    <xf numFmtId="2" fontId="4" fillId="3" borderId="10" xfId="0" applyNumberFormat="1" applyFont="1" applyFill="1" applyBorder="1" applyAlignment="1">
      <alignment horizontal="center" vertical="center"/>
    </xf>
    <xf numFmtId="2" fontId="4" fillId="12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2" fontId="4" fillId="6" borderId="10" xfId="0" applyNumberFormat="1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textRotation="90" wrapText="1"/>
    </xf>
    <xf numFmtId="0" fontId="5" fillId="12" borderId="6" xfId="0" applyFont="1" applyFill="1" applyBorder="1" applyAlignment="1">
      <alignment horizontal="center" vertical="center" textRotation="90"/>
    </xf>
    <xf numFmtId="0" fontId="14" fillId="5" borderId="0" xfId="0" applyFont="1" applyFill="1" applyAlignment="1">
      <alignment horizont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4" fontId="33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6" fillId="0" borderId="0" xfId="0" applyFont="1" applyProtection="1">
      <protection locked="0"/>
    </xf>
    <xf numFmtId="0" fontId="34" fillId="0" borderId="0" xfId="0" applyFont="1" applyAlignment="1" applyProtection="1">
      <alignment horizontal="center"/>
      <protection locked="0"/>
    </xf>
    <xf numFmtId="2" fontId="16" fillId="0" borderId="0" xfId="0" applyNumberFormat="1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34" fillId="0" borderId="0" xfId="0" applyFont="1" applyProtection="1"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" fontId="3" fillId="0" borderId="6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2" fontId="4" fillId="0" borderId="6" xfId="0" applyNumberFormat="1" applyFont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horizontal="center" vertical="center"/>
      <protection locked="0"/>
    </xf>
    <xf numFmtId="0" fontId="7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37" fillId="0" borderId="6" xfId="0" applyFont="1" applyBorder="1" applyAlignment="1" applyProtection="1">
      <alignment horizontal="center" vertical="center"/>
      <protection locked="0"/>
    </xf>
    <xf numFmtId="0" fontId="37" fillId="0" borderId="6" xfId="0" applyFont="1" applyBorder="1" applyAlignment="1" applyProtection="1">
      <alignment horizontal="center" vertical="center" wrapText="1"/>
      <protection locked="0"/>
    </xf>
    <xf numFmtId="0" fontId="38" fillId="14" borderId="6" xfId="0" applyFont="1" applyFill="1" applyBorder="1" applyAlignment="1">
      <alignment horizontal="center" vertical="center"/>
    </xf>
    <xf numFmtId="1" fontId="14" fillId="15" borderId="0" xfId="0" applyNumberFormat="1" applyFont="1" applyFill="1" applyAlignment="1">
      <alignment horizontal="center"/>
    </xf>
    <xf numFmtId="1" fontId="4" fillId="15" borderId="0" xfId="0" applyNumberFormat="1" applyFont="1" applyFill="1" applyAlignment="1">
      <alignment horizontal="center"/>
    </xf>
    <xf numFmtId="0" fontId="36" fillId="0" borderId="6" xfId="0" applyFont="1" applyBorder="1" applyAlignment="1" applyProtection="1">
      <alignment horizontal="center" vertical="center"/>
      <protection locked="0"/>
    </xf>
    <xf numFmtId="1" fontId="0" fillId="0" borderId="6" xfId="0" applyNumberFormat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7" fillId="6" borderId="6" xfId="0" applyFont="1" applyFill="1" applyBorder="1" applyAlignment="1" applyProtection="1">
      <alignment horizontal="center" vertical="center"/>
      <protection locked="0"/>
    </xf>
    <xf numFmtId="1" fontId="5" fillId="6" borderId="6" xfId="0" applyNumberFormat="1" applyFont="1" applyFill="1" applyBorder="1" applyAlignment="1" applyProtection="1">
      <alignment horizontal="center" vertical="center"/>
      <protection locked="0"/>
    </xf>
    <xf numFmtId="1" fontId="7" fillId="6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" fontId="3" fillId="0" borderId="12" xfId="0" applyNumberFormat="1" applyFont="1" applyBorder="1" applyAlignment="1" applyProtection="1">
      <alignment horizontal="center" vertical="center"/>
      <protection locked="0"/>
    </xf>
    <xf numFmtId="0" fontId="4" fillId="6" borderId="6" xfId="0" applyFont="1" applyFill="1" applyBorder="1" applyAlignment="1">
      <alignment horizontal="center" vertical="center"/>
    </xf>
    <xf numFmtId="0" fontId="40" fillId="0" borderId="0" xfId="0" applyFont="1" applyProtection="1">
      <protection locked="0"/>
    </xf>
    <xf numFmtId="0" fontId="41" fillId="6" borderId="6" xfId="0" applyFont="1" applyFill="1" applyBorder="1" applyAlignment="1">
      <alignment horizontal="center" vertical="center"/>
    </xf>
    <xf numFmtId="0" fontId="42" fillId="6" borderId="6" xfId="0" applyFont="1" applyFill="1" applyBorder="1" applyAlignment="1">
      <alignment horizontal="center" vertical="center"/>
    </xf>
    <xf numFmtId="1" fontId="41" fillId="6" borderId="6" xfId="0" applyNumberFormat="1" applyFont="1" applyFill="1" applyBorder="1" applyAlignment="1">
      <alignment horizontal="center" vertical="center"/>
    </xf>
    <xf numFmtId="1" fontId="42" fillId="6" borderId="6" xfId="0" applyNumberFormat="1" applyFont="1" applyFill="1" applyBorder="1" applyAlignment="1">
      <alignment horizontal="center" vertical="center"/>
    </xf>
    <xf numFmtId="1" fontId="43" fillId="15" borderId="0" xfId="0" applyNumberFormat="1" applyFont="1" applyFill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3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left" vertical="center" wrapText="1"/>
      <protection locked="0"/>
    </xf>
    <xf numFmtId="3" fontId="5" fillId="0" borderId="6" xfId="0" applyNumberFormat="1" applyFont="1" applyBorder="1" applyAlignment="1" applyProtection="1">
      <alignment horizontal="center" wrapText="1"/>
      <protection locked="0"/>
    </xf>
    <xf numFmtId="165" fontId="5" fillId="0" borderId="6" xfId="0" applyNumberFormat="1" applyFont="1" applyBorder="1" applyAlignment="1" applyProtection="1">
      <alignment horizontal="center" wrapText="1"/>
      <protection locked="0"/>
    </xf>
    <xf numFmtId="0" fontId="39" fillId="0" borderId="6" xfId="0" applyFont="1" applyBorder="1" applyAlignment="1" applyProtection="1">
      <alignment horizontal="center" vertical="center" wrapText="1"/>
      <protection locked="0"/>
    </xf>
    <xf numFmtId="2" fontId="39" fillId="0" borderId="6" xfId="0" applyNumberFormat="1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3" fontId="39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2" fontId="5" fillId="0" borderId="6" xfId="0" applyNumberFormat="1" applyFont="1" applyBorder="1" applyAlignment="1" applyProtection="1">
      <alignment horizontal="center" vertical="center"/>
      <protection locked="0"/>
    </xf>
    <xf numFmtId="3" fontId="5" fillId="0" borderId="6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39" fillId="0" borderId="6" xfId="0" applyNumberFormat="1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horizontal="center" wrapText="1"/>
    </xf>
    <xf numFmtId="165" fontId="5" fillId="0" borderId="6" xfId="0" applyNumberFormat="1" applyFont="1" applyBorder="1" applyAlignment="1">
      <alignment horizontal="center" wrapText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45" fillId="6" borderId="6" xfId="0" applyFont="1" applyFill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center" vertical="center"/>
      <protection locked="0"/>
    </xf>
    <xf numFmtId="1" fontId="44" fillId="0" borderId="6" xfId="0" applyNumberFormat="1" applyFont="1" applyBorder="1" applyAlignment="1" applyProtection="1">
      <alignment horizontal="center" vertical="center"/>
      <protection locked="0"/>
    </xf>
    <xf numFmtId="1" fontId="45" fillId="6" borderId="6" xfId="0" applyNumberFormat="1" applyFont="1" applyFill="1" applyBorder="1" applyAlignment="1" applyProtection="1">
      <alignment horizontal="center" vertical="center"/>
      <protection locked="0"/>
    </xf>
    <xf numFmtId="2" fontId="44" fillId="0" borderId="6" xfId="0" applyNumberFormat="1" applyFont="1" applyBorder="1" applyAlignment="1" applyProtection="1">
      <alignment horizontal="center" vertical="center"/>
      <protection locked="0"/>
    </xf>
    <xf numFmtId="2" fontId="44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45" fillId="6" borderId="12" xfId="0" applyFont="1" applyFill="1" applyBorder="1" applyAlignment="1" applyProtection="1">
      <alignment horizontal="center" vertical="center"/>
      <protection locked="0"/>
    </xf>
    <xf numFmtId="0" fontId="44" fillId="0" borderId="12" xfId="0" applyFont="1" applyBorder="1" applyAlignment="1" applyProtection="1">
      <alignment horizontal="center" vertical="center"/>
      <protection locked="0"/>
    </xf>
    <xf numFmtId="1" fontId="44" fillId="0" borderId="12" xfId="0" applyNumberFormat="1" applyFont="1" applyBorder="1" applyAlignment="1" applyProtection="1">
      <alignment horizontal="center" vertical="center"/>
      <protection locked="0"/>
    </xf>
    <xf numFmtId="1" fontId="45" fillId="6" borderId="12" xfId="0" applyNumberFormat="1" applyFont="1" applyFill="1" applyBorder="1" applyAlignment="1" applyProtection="1">
      <alignment horizontal="center" vertical="center"/>
      <protection locked="0"/>
    </xf>
    <xf numFmtId="2" fontId="44" fillId="0" borderId="12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center"/>
    </xf>
    <xf numFmtId="3" fontId="41" fillId="18" borderId="6" xfId="8" applyNumberFormat="1" applyFont="1" applyBorder="1" applyAlignment="1" applyProtection="1">
      <alignment horizontal="center" wrapText="1"/>
      <protection locked="0"/>
    </xf>
    <xf numFmtId="3" fontId="41" fillId="17" borderId="6" xfId="7" applyNumberFormat="1" applyFont="1" applyBorder="1" applyAlignment="1" applyProtection="1">
      <alignment horizontal="center" wrapText="1"/>
      <protection locked="0"/>
    </xf>
    <xf numFmtId="0" fontId="41" fillId="18" borderId="6" xfId="8" applyFont="1" applyBorder="1" applyAlignment="1" applyProtection="1">
      <alignment horizontal="left" vertical="center" wrapText="1"/>
      <protection locked="0"/>
    </xf>
    <xf numFmtId="0" fontId="46" fillId="18" borderId="6" xfId="8" applyFont="1" applyBorder="1" applyAlignment="1" applyProtection="1">
      <alignment horizontal="center" vertical="center" wrapText="1"/>
      <protection locked="0"/>
    </xf>
    <xf numFmtId="2" fontId="46" fillId="18" borderId="6" xfId="8" applyNumberFormat="1" applyFont="1" applyBorder="1" applyAlignment="1" applyProtection="1">
      <alignment horizontal="center" vertical="center" wrapText="1"/>
      <protection locked="0"/>
    </xf>
    <xf numFmtId="165" fontId="41" fillId="18" borderId="6" xfId="8" applyNumberFormat="1" applyFont="1" applyBorder="1" applyAlignment="1" applyProtection="1">
      <alignment horizontal="center" wrapText="1"/>
      <protection locked="0"/>
    </xf>
    <xf numFmtId="0" fontId="41" fillId="17" borderId="6" xfId="7" applyFont="1" applyBorder="1" applyAlignment="1" applyProtection="1">
      <alignment horizontal="left" vertical="center" wrapText="1"/>
      <protection locked="0"/>
    </xf>
    <xf numFmtId="165" fontId="41" fillId="17" borderId="6" xfId="7" applyNumberFormat="1" applyFont="1" applyBorder="1" applyAlignment="1" applyProtection="1">
      <alignment horizontal="center" wrapText="1"/>
      <protection locked="0"/>
    </xf>
    <xf numFmtId="0" fontId="41" fillId="17" borderId="6" xfId="7" applyFont="1" applyBorder="1" applyAlignment="1" applyProtection="1">
      <alignment horizontal="center" vertical="center" wrapText="1"/>
      <protection locked="0"/>
    </xf>
    <xf numFmtId="2" fontId="41" fillId="17" borderId="6" xfId="7" applyNumberFormat="1" applyFont="1" applyBorder="1" applyAlignment="1" applyProtection="1">
      <alignment horizontal="center" vertical="center" wrapText="1"/>
      <protection locked="0"/>
    </xf>
    <xf numFmtId="0" fontId="41" fillId="18" borderId="6" xfId="8" applyFont="1" applyBorder="1" applyAlignment="1" applyProtection="1">
      <alignment horizontal="center" vertical="center" wrapText="1"/>
      <protection locked="0"/>
    </xf>
    <xf numFmtId="2" fontId="41" fillId="18" borderId="6" xfId="8" applyNumberFormat="1" applyFont="1" applyBorder="1" applyAlignment="1" applyProtection="1">
      <alignment horizontal="center" vertical="center" wrapText="1"/>
      <protection locked="0"/>
    </xf>
    <xf numFmtId="0" fontId="41" fillId="17" borderId="12" xfId="7" applyFont="1" applyBorder="1" applyAlignment="1" applyProtection="1">
      <alignment horizontal="left" vertical="center" wrapText="1"/>
      <protection locked="0"/>
    </xf>
    <xf numFmtId="3" fontId="41" fillId="17" borderId="12" xfId="7" applyNumberFormat="1" applyFont="1" applyBorder="1" applyAlignment="1" applyProtection="1">
      <alignment horizontal="center" wrapText="1"/>
      <protection locked="0"/>
    </xf>
    <xf numFmtId="165" fontId="41" fillId="17" borderId="12" xfId="7" applyNumberFormat="1" applyFont="1" applyBorder="1" applyAlignment="1" applyProtection="1">
      <alignment horizontal="center" wrapText="1"/>
      <protection locked="0"/>
    </xf>
    <xf numFmtId="0" fontId="41" fillId="17" borderId="12" xfId="7" applyFont="1" applyBorder="1" applyAlignment="1" applyProtection="1">
      <alignment horizontal="center" vertical="center" wrapText="1"/>
      <protection locked="0"/>
    </xf>
    <xf numFmtId="2" fontId="41" fillId="17" borderId="12" xfId="7" applyNumberFormat="1" applyFont="1" applyBorder="1" applyAlignment="1" applyProtection="1">
      <alignment horizontal="center" vertical="center" wrapText="1"/>
      <protection locked="0"/>
    </xf>
    <xf numFmtId="0" fontId="1" fillId="18" borderId="6" xfId="8" applyBorder="1" applyAlignment="1" applyProtection="1">
      <alignment horizontal="center" vertical="center"/>
      <protection locked="0"/>
    </xf>
    <xf numFmtId="2" fontId="1" fillId="17" borderId="6" xfId="7" applyNumberFormat="1" applyBorder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vertical="center"/>
      <protection locked="0"/>
    </xf>
    <xf numFmtId="1" fontId="41" fillId="3" borderId="6" xfId="0" applyNumberFormat="1" applyFont="1" applyFill="1" applyBorder="1" applyAlignment="1">
      <alignment horizontal="center" vertical="center"/>
    </xf>
    <xf numFmtId="0" fontId="41" fillId="19" borderId="6" xfId="0" applyFont="1" applyFill="1" applyBorder="1" applyAlignment="1">
      <alignment horizontal="center" vertical="center"/>
    </xf>
    <xf numFmtId="0" fontId="41" fillId="20" borderId="6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16" borderId="6" xfId="0" applyFont="1" applyFill="1" applyBorder="1" applyAlignment="1" applyProtection="1">
      <alignment horizontal="center" vertical="center"/>
      <protection locked="0"/>
    </xf>
    <xf numFmtId="0" fontId="5" fillId="21" borderId="6" xfId="0" applyFont="1" applyFill="1" applyBorder="1" applyAlignment="1" applyProtection="1">
      <alignment horizontal="left" vertical="center" wrapText="1"/>
      <protection locked="0"/>
    </xf>
    <xf numFmtId="0" fontId="5" fillId="22" borderId="6" xfId="0" applyFont="1" applyFill="1" applyBorder="1" applyAlignment="1" applyProtection="1">
      <alignment horizontal="left" vertical="center" wrapText="1"/>
      <protection locked="0"/>
    </xf>
    <xf numFmtId="0" fontId="4" fillId="0" borderId="6" xfId="0" applyNumberFormat="1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 applyProtection="1">
      <alignment horizontal="left" vertical="center" wrapText="1"/>
      <protection locked="0"/>
    </xf>
    <xf numFmtId="3" fontId="5" fillId="6" borderId="6" xfId="0" applyNumberFormat="1" applyFont="1" applyFill="1" applyBorder="1" applyAlignment="1" applyProtection="1">
      <alignment horizontal="center" wrapText="1"/>
      <protection locked="0"/>
    </xf>
    <xf numFmtId="165" fontId="5" fillId="6" borderId="6" xfId="0" applyNumberFormat="1" applyFont="1" applyFill="1" applyBorder="1" applyAlignment="1" applyProtection="1">
      <alignment horizontal="center" wrapText="1"/>
      <protection locked="0"/>
    </xf>
    <xf numFmtId="0" fontId="39" fillId="6" borderId="6" xfId="0" applyFont="1" applyFill="1" applyBorder="1" applyAlignment="1" applyProtection="1">
      <alignment horizontal="center" vertical="center" wrapText="1"/>
      <protection locked="0"/>
    </xf>
    <xf numFmtId="2" fontId="39" fillId="6" borderId="6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6" xfId="0" applyNumberFormat="1" applyFont="1" applyFill="1" applyBorder="1" applyAlignment="1" applyProtection="1">
      <alignment horizontal="center" vertical="center"/>
      <protection locked="0"/>
    </xf>
    <xf numFmtId="0" fontId="44" fillId="0" borderId="6" xfId="0" applyNumberFormat="1" applyFont="1" applyFill="1" applyBorder="1" applyAlignment="1" applyProtection="1">
      <alignment horizontal="center" vertical="center"/>
      <protection locked="0"/>
    </xf>
    <xf numFmtId="1" fontId="44" fillId="0" borderId="6" xfId="0" applyNumberFormat="1" applyFont="1" applyFill="1" applyBorder="1" applyAlignment="1" applyProtection="1">
      <alignment horizontal="center" vertical="center"/>
      <protection locked="0"/>
    </xf>
    <xf numFmtId="2" fontId="44" fillId="0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1" fontId="3" fillId="0" borderId="6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horizontal="center" vertical="center"/>
      <protection locked="0"/>
    </xf>
    <xf numFmtId="2" fontId="4" fillId="0" borderId="6" xfId="0" applyNumberFormat="1" applyFont="1" applyFill="1" applyBorder="1" applyAlignment="1" applyProtection="1">
      <alignment horizontal="center" vertical="center"/>
      <protection locked="0"/>
    </xf>
    <xf numFmtId="0" fontId="39" fillId="6" borderId="6" xfId="7" applyFont="1" applyFill="1" applyBorder="1" applyAlignment="1" applyProtection="1">
      <alignment horizontal="center" vertical="center" wrapText="1"/>
      <protection locked="0"/>
    </xf>
    <xf numFmtId="2" fontId="39" fillId="6" borderId="6" xfId="7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5" fillId="0" borderId="6" xfId="0" applyFont="1" applyFill="1" applyBorder="1" applyAlignment="1">
      <alignment vertical="center" wrapText="1"/>
    </xf>
    <xf numFmtId="0" fontId="5" fillId="0" borderId="6" xfId="0" applyFont="1" applyFill="1" applyBorder="1" applyAlignment="1" applyProtection="1">
      <alignment horizontal="left" vertical="center" wrapText="1"/>
      <protection locked="0"/>
    </xf>
    <xf numFmtId="0" fontId="41" fillId="0" borderId="6" xfId="0" applyFont="1" applyFill="1" applyBorder="1" applyAlignment="1">
      <alignment vertical="center" wrapText="1"/>
    </xf>
    <xf numFmtId="3" fontId="5" fillId="0" borderId="6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 applyProtection="1">
      <alignment horizontal="center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165" fontId="5" fillId="0" borderId="6" xfId="0" applyNumberFormat="1" applyFont="1" applyFill="1" applyBorder="1" applyAlignment="1" applyProtection="1">
      <alignment horizontal="center" wrapText="1"/>
      <protection locked="0"/>
    </xf>
    <xf numFmtId="0" fontId="39" fillId="0" borderId="6" xfId="7" applyFont="1" applyFill="1" applyBorder="1" applyAlignment="1" applyProtection="1">
      <alignment horizontal="center" vertical="center" wrapText="1"/>
      <protection locked="0"/>
    </xf>
    <xf numFmtId="2" fontId="39" fillId="0" borderId="6" xfId="7" applyNumberFormat="1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Fill="1" applyBorder="1" applyAlignment="1" applyProtection="1">
      <alignment horizontal="center" vertical="center"/>
      <protection locked="0"/>
    </xf>
    <xf numFmtId="0" fontId="41" fillId="0" borderId="6" xfId="0" applyFont="1" applyFill="1" applyBorder="1" applyAlignment="1">
      <alignment horizontal="center" vertical="center"/>
    </xf>
    <xf numFmtId="1" fontId="4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7" fillId="0" borderId="0" xfId="0" applyFont="1" applyFill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11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right"/>
    </xf>
    <xf numFmtId="0" fontId="35" fillId="0" borderId="0" xfId="0" applyFont="1" applyAlignment="1" applyProtection="1">
      <alignment horizontal="center" vertical="center"/>
      <protection locked="0"/>
    </xf>
    <xf numFmtId="0" fontId="7" fillId="12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 applyProtection="1">
      <alignment horizontal="center" vertical="center"/>
      <protection locked="0"/>
    </xf>
    <xf numFmtId="0" fontId="5" fillId="13" borderId="6" xfId="0" applyFont="1" applyFill="1" applyBorder="1" applyAlignment="1" applyProtection="1">
      <alignment horizontal="center" vertical="center" wrapText="1"/>
      <protection locked="0"/>
    </xf>
    <xf numFmtId="0" fontId="5" fillId="13" borderId="6" xfId="0" applyFont="1" applyFill="1" applyBorder="1" applyAlignment="1">
      <alignment horizontal="center" vertical="center"/>
    </xf>
    <xf numFmtId="0" fontId="27" fillId="0" borderId="0" xfId="0" applyFont="1" applyAlignment="1" applyProtection="1">
      <alignment horizontal="center" vertical="center"/>
      <protection locked="0"/>
    </xf>
    <xf numFmtId="0" fontId="5" fillId="13" borderId="11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 wrapText="1"/>
      <protection locked="0"/>
    </xf>
    <xf numFmtId="0" fontId="5" fillId="8" borderId="9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</cellXfs>
  <cellStyles count="9">
    <cellStyle name="20% - Énfasis1" xfId="7" builtinId="30"/>
    <cellStyle name="40% - Énfasis1" xfId="8" builtinId="31"/>
    <cellStyle name="Normal" xfId="0" builtinId="0"/>
    <cellStyle name="Normal 2" xfId="3"/>
    <cellStyle name="Normal 2 2" xfId="5"/>
    <cellStyle name="Normal 2 3" xfId="6"/>
    <cellStyle name="Normal 4" xfId="1"/>
    <cellStyle name="Normal 4 2" xfId="2"/>
    <cellStyle name="Normal 5" xfId="4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5" formatCode="dd/mm/yy;@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 tint="-0.3499862666707357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rgb="FFFF0000"/>
      </font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color rgb="FFFF000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fgColor theme="0"/>
          <bgColor theme="0"/>
        </patternFill>
      </fill>
    </dxf>
    <dxf>
      <font>
        <color rgb="FF9C0006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theme="1"/>
      </font>
      <fill>
        <patternFill>
          <bgColor rgb="FFFFC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  <color rgb="FF3399FF"/>
      <color rgb="FFE8B586"/>
      <color rgb="FFFFCC99"/>
      <color rgb="FFDDFBAB"/>
      <color rgb="FFFF9900"/>
      <color rgb="FF3587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PROMEDIO FINAL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2025</a:t>
            </a:r>
            <a:endParaRPr lang="es-ES"/>
          </a:p>
        </c:rich>
      </c:tx>
      <c:layout>
        <c:manualLayout>
          <c:xMode val="edge"/>
          <c:yMode val="edge"/>
          <c:x val="0.38345381526104416"/>
          <c:y val="3.796510730276362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2B6-4CAF-A8B1-75BA3D1185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2B6-4CAF-A8B1-75BA3D1185D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2B6-4CAF-A8B1-75BA3D1185D1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2B6-4CAF-A8B1-75BA3D1185D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2B6-4CAF-A8B1-75BA3D1185D1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2B6-4CAF-A8B1-75BA3D1185D1}"/>
              </c:ext>
            </c:extLst>
          </c:dPt>
          <c:dLbls>
            <c:dLbl>
              <c:idx val="0"/>
              <c:layout>
                <c:manualLayout>
                  <c:x val="-0.1204819277108434"/>
                  <c:y val="0.18064072873243786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E-82B6-4CAF-A8B1-75BA3D1185D1}"/>
                </c:ext>
              </c:extLst>
            </c:dLbl>
            <c:dLbl>
              <c:idx val="3"/>
              <c:layout>
                <c:manualLayout>
                  <c:x val="0.1178045515394912"/>
                  <c:y val="-5.267870927898808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2B6-4CAF-A8B1-75BA3D1185D1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1ER SEM'!$O$65:$T$65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2B6-4CAF-A8B1-75BA3D11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RESULTADO DE CARRERA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2025</a:t>
            </a:r>
            <a:endParaRPr lang="es-ES"/>
          </a:p>
        </c:rich>
      </c:tx>
      <c:layout>
        <c:manualLayout>
          <c:xMode val="edge"/>
          <c:yMode val="edge"/>
          <c:x val="0.32722891566265061"/>
          <c:y val="3.796372468366827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820-4BD6-9F2C-89DE5478CDA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820-4BD6-9F2C-89DE5478CDA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820-4BD6-9F2C-89DE5478CDA3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820-4BD6-9F2C-89DE5478CDA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820-4BD6-9F2C-89DE5478CDA3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820-4BD6-9F2C-89DE5478CDA3}"/>
              </c:ext>
            </c:extLst>
          </c:dPt>
          <c:dLbls>
            <c:dLbl>
              <c:idx val="0"/>
              <c:layout>
                <c:manualLayout>
                  <c:x val="-0.1499330655957162"/>
                  <c:y val="0.14925373134328357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E-8820-4BD6-9F2C-89DE5478CDA3}"/>
                </c:ext>
              </c:extLst>
            </c:dLbl>
            <c:dLbl>
              <c:idx val="3"/>
              <c:layout>
                <c:manualLayout>
                  <c:x val="0.13119143239625167"/>
                  <c:y val="-2.48756218905472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 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820-4BD6-9F2C-89DE5478CDA3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1ER SEM'!$O$53:$T$53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820-4BD6-9F2C-89DE5478C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RESULTADO DE FLEXIONES EN LA BARRA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2025</a:t>
            </a:r>
            <a:endParaRPr lang="es-ES"/>
          </a:p>
        </c:rich>
      </c:tx>
      <c:layout>
        <c:manualLayout>
          <c:xMode val="edge"/>
          <c:yMode val="edge"/>
          <c:x val="0.20139223560910305"/>
          <c:y val="8.771459123165160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977-48EC-A91C-598750EE5A3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977-48EC-A91C-598750EE5A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977-48EC-A91C-598750EE5A3F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B977-48EC-A91C-598750EE5A3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977-48EC-A91C-598750EE5A3F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977-48EC-A91C-598750EE5A3F}"/>
              </c:ext>
            </c:extLst>
          </c:dPt>
          <c:dLbls>
            <c:dLbl>
              <c:idx val="0"/>
              <c:layout>
                <c:manualLayout>
                  <c:x val="-7.4966532797858129E-2"/>
                  <c:y val="4.9382716049382672E-2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E-B977-48EC-A91C-598750EE5A3F}"/>
                </c:ext>
              </c:extLst>
            </c:dLbl>
            <c:dLbl>
              <c:idx val="3"/>
              <c:layout>
                <c:manualLayout>
                  <c:x val="5.8902275769745549E-2"/>
                  <c:y val="-9.0533933568142166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B977-48EC-A91C-598750EE5A3F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1ER SEM'!$O$40:$T$40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77-48EC-A91C-598750EE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s-ES"/>
              <a:t>RESULTADO DE ABDOMINALES</a:t>
            </a:r>
          </a:p>
          <a:p>
            <a:pPr>
              <a:defRPr/>
            </a:pPr>
            <a:r>
              <a:rPr lang="es-ES"/>
              <a:t>2025</a:t>
            </a:r>
          </a:p>
        </c:rich>
      </c:tx>
      <c:layout>
        <c:manualLayout>
          <c:xMode val="edge"/>
          <c:yMode val="edge"/>
          <c:x val="0.27368139223560911"/>
          <c:y val="3.833187518226888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92D05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E03-4641-9FA2-37641454FA4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E03-4641-9FA2-37641454FA42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E03-4641-9FA2-37641454FA42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E03-4641-9FA2-37641454FA42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E03-4641-9FA2-37641454FA42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E03-4641-9FA2-37641454FA42}"/>
              </c:ext>
            </c:extLst>
          </c:dPt>
          <c:dLbls>
            <c:dLbl>
              <c:idx val="0"/>
              <c:layout>
                <c:manualLayout>
                  <c:x val="-5.9085054127270234E-2"/>
                  <c:y val="4.6146398366870851E-2"/>
                </c:manualLayout>
              </c:layout>
              <c:tx>
                <c:rich>
                  <a:bodyPr/>
                  <a:lstStyle/>
                  <a:p>
                    <a:pPr>
                      <a:defRPr sz="2000"/>
                    </a:pPr>
                    <a:r>
                      <a:rPr lang="en-US" sz="2000"/>
                      <a:t>Aprobó</a:t>
                    </a:r>
                    <a:endParaRPr lang="en-US"/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E-1E03-4641-9FA2-37641454FA42}"/>
                </c:ext>
              </c:extLst>
            </c:dLbl>
            <c:dLbl>
              <c:idx val="3"/>
              <c:layout>
                <c:manualLayout>
                  <c:x val="4.0160642570281124E-2"/>
                  <c:y val="-9.0533933568142166E-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1E03-4641-9FA2-37641454FA42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1ER SEM'!$O$29:$T$29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E03-4641-9FA2-37641454F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s-ES"/>
              <a:t>RESULTADO FLEXO-EXTENSION DE BRAZOS</a:t>
            </a:r>
          </a:p>
          <a:p>
            <a:pPr>
              <a:defRPr/>
            </a:pPr>
            <a:r>
              <a:rPr lang="es-ES"/>
              <a:t>2025</a:t>
            </a:r>
          </a:p>
        </c:rich>
      </c:tx>
      <c:layout>
        <c:manualLayout>
          <c:xMode val="edge"/>
          <c:yMode val="edge"/>
          <c:x val="0.21385604354066898"/>
          <c:y val="2.350700356940142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92D05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4B-45CD-9838-B98C3228A3A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4B-45CD-9838-B98C3228A3AB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4B-45CD-9838-B98C3228A3AB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4B-45CD-9838-B98C3228A3AB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4B-45CD-9838-B98C3228A3AB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4B-45CD-9838-B98C3228A3AB}"/>
              </c:ext>
            </c:extLst>
          </c:dPt>
          <c:dLbls>
            <c:dLbl>
              <c:idx val="0"/>
              <c:layout>
                <c:manualLayout>
                  <c:x val="-0.15859110984620897"/>
                  <c:y val="0.18056107117045153"/>
                </c:manualLayout>
              </c:layout>
              <c:tx>
                <c:rich>
                  <a:bodyPr/>
                  <a:lstStyle/>
                  <a:p>
                    <a:pPr>
                      <a:defRPr sz="2000"/>
                    </a:pPr>
                    <a:r>
                      <a:rPr lang="en-US" sz="2000"/>
                      <a:t>Aprobó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88572"/>
                        <a:gd name="adj2" fmla="val 118215"/>
                        <a:gd name="adj3" fmla="val 27104"/>
                        <a:gd name="adj4" fmla="val 137614"/>
                      </a:avLst>
                    </a:prstGeom>
                  </c15:spPr>
                  <c15:layout>
                    <c:manualLayout>
                      <c:w val="0.23270954836256441"/>
                      <c:h val="0.3033907526742172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94B-45CD-9838-B98C3228A3AB}"/>
                </c:ext>
              </c:extLst>
            </c:dLbl>
            <c:dLbl>
              <c:idx val="3"/>
              <c:layout>
                <c:manualLayout>
                  <c:x val="0.13119143239625167"/>
                  <c:y val="-3.38164251207730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4B-45CD-9838-B98C3228A3AB}"/>
                </c:ext>
              </c:extLst>
            </c:dLbl>
            <c:numFmt formatCode="General" sourceLinked="0"/>
            <c:spPr>
              <a:noFill/>
              <a:ln>
                <a:solidFill>
                  <a:srgbClr val="4F81BD"/>
                </a:solidFill>
              </a:ln>
              <a:effectLst/>
            </c:spPr>
            <c:txPr>
              <a:bodyPr/>
              <a:lstStyle/>
              <a:p>
                <a:pPr>
                  <a:defRPr sz="200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1ER SEM'!$O$18:$T$18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4B-45CD-9838-B98C3228A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PROMEDIO FINAL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2022</a:t>
            </a:r>
            <a:endParaRPr lang="es-ES"/>
          </a:p>
        </c:rich>
      </c:tx>
      <c:layout>
        <c:manualLayout>
          <c:xMode val="edge"/>
          <c:yMode val="edge"/>
          <c:x val="0.38345381526104416"/>
          <c:y val="3.796510730276362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02-4447-A1A4-79627E5D2B5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02-4447-A1A4-79627E5D2B5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02-4447-A1A4-79627E5D2B5C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02-4447-A1A4-79627E5D2B5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02-4447-A1A4-79627E5D2B5C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02-4447-A1A4-79627E5D2B5C}"/>
              </c:ext>
            </c:extLst>
          </c:dPt>
          <c:dLbls>
            <c:dLbl>
              <c:idx val="0"/>
              <c:layout>
                <c:manualLayout>
                  <c:x val="-0.19548982880670934"/>
                  <c:y val="0.10712302116632422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1-3B02-4447-A1A4-79627E5D2B5C}"/>
                </c:ext>
              </c:extLst>
            </c:dLbl>
            <c:dLbl>
              <c:idx val="3"/>
              <c:layout>
                <c:manualLayout>
                  <c:x val="0.22763750727719129"/>
                  <c:y val="-4.479726851916866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B02-4447-A1A4-79627E5D2B5C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2DO SEM'!$O$66:$T$66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02-4447-A1A4-79627E5D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RESULTADO DE CARRERA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2022</a:t>
            </a:r>
            <a:endParaRPr lang="es-ES"/>
          </a:p>
        </c:rich>
      </c:tx>
      <c:layout>
        <c:manualLayout>
          <c:xMode val="edge"/>
          <c:yMode val="edge"/>
          <c:x val="0.32722891566265061"/>
          <c:y val="3.796372468366827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C-4160-B6D0-C90C599830D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C-4160-B6D0-C90C599830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7C-4160-B6D0-C90C599830D4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7C-4160-B6D0-C90C599830D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7C-4160-B6D0-C90C599830D4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7C-4160-B6D0-C90C599830D4}"/>
              </c:ext>
            </c:extLst>
          </c:dPt>
          <c:dLbls>
            <c:dLbl>
              <c:idx val="0"/>
              <c:layout>
                <c:manualLayout>
                  <c:x val="-0.20615796519410978"/>
                  <c:y val="0.16409527941224838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1-E07C-4160-B6D0-C90C599830D4}"/>
                </c:ext>
              </c:extLst>
            </c:dLbl>
            <c:dLbl>
              <c:idx val="3"/>
              <c:layout>
                <c:manualLayout>
                  <c:x val="0.20883534136546195"/>
                  <c:y val="-4.97258422461359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</a:p>
                  <a:p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07C-4160-B6D0-C90C599830D4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2DO SEM'!$O$54:$T$54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7C-4160-B6D0-C90C59983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RESULTADO DE FLEXIONES EN LA BARRA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2022</a:t>
            </a:r>
            <a:endParaRPr lang="es-ES"/>
          </a:p>
        </c:rich>
      </c:tx>
      <c:layout>
        <c:manualLayout>
          <c:xMode val="edge"/>
          <c:yMode val="edge"/>
          <c:x val="0.20139223560910305"/>
          <c:y val="8.771459123165160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66-4253-88F7-963F996E2E3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66-4253-88F7-963F996E2E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66-4253-88F7-963F996E2E34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66-4253-88F7-963F996E2E3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66-4253-88F7-963F996E2E34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66-4253-88F7-963F996E2E34}"/>
              </c:ext>
            </c:extLst>
          </c:dPt>
          <c:dLbls>
            <c:dLbl>
              <c:idx val="0"/>
              <c:layout>
                <c:manualLayout>
                  <c:x val="0.23025435073627845"/>
                  <c:y val="-0.19257304887109736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No 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1-0166-4253-88F7-963F996E2E34}"/>
                </c:ext>
              </c:extLst>
            </c:dLbl>
            <c:dLbl>
              <c:idx val="3"/>
              <c:layout>
                <c:manualLayout>
                  <c:x val="-0.40963855421686746"/>
                  <c:y val="-0.103698234572091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166-4253-88F7-963F996E2E34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2DO SEM'!$O$40:$T$40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66-4253-88F7-963F996E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RESULTADO DE ABDOMINALES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2022</a:t>
            </a:r>
            <a:endParaRPr lang="es-ES"/>
          </a:p>
        </c:rich>
      </c:tx>
      <c:layout>
        <c:manualLayout>
          <c:xMode val="edge"/>
          <c:yMode val="edge"/>
          <c:x val="0.27368139223560911"/>
          <c:y val="3.833187518226888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3-4216-9C56-FDA402C5BD7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83-4216-9C56-FDA402C5BD7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83-4216-9C56-FDA402C5BD73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83-4216-9C56-FDA402C5BD7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83-4216-9C56-FDA402C5BD73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83-4216-9C56-FDA402C5BD73}"/>
              </c:ext>
            </c:extLst>
          </c:dPt>
          <c:dLbls>
            <c:dLbl>
              <c:idx val="0"/>
              <c:layout>
                <c:manualLayout>
                  <c:x val="-0.47389558232931728"/>
                  <c:y val="-5.926893864264797E-2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Aprobó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01-6C83-4216-9C56-FDA402C5BD73}"/>
                </c:ext>
              </c:extLst>
            </c:dLbl>
            <c:dLbl>
              <c:idx val="3"/>
              <c:layout>
                <c:manualLayout>
                  <c:x val="0.45783132530120479"/>
                  <c:y val="4.93907822022066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 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83-4216-9C56-FDA402C5BD73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2DO SEM'!$O$29:$T$29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83-4216-9C56-FDA402C5B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RESULTADO FLEXO-EXTENSION DE BRAZOS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2022</a:t>
            </a:r>
            <a:endParaRPr lang="es-ES"/>
          </a:p>
        </c:rich>
      </c:tx>
      <c:layout>
        <c:manualLayout>
          <c:xMode val="edge"/>
          <c:yMode val="edge"/>
          <c:x val="0.18532797858099062"/>
          <c:y val="4.155350146449085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010709504685407"/>
          <c:y val="0.18265734265734265"/>
          <c:w val="0.43994645247657294"/>
          <c:h val="0.766060606060606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explosion val="2"/>
          <c:dPt>
            <c:idx val="0"/>
            <c:bubble3D val="0"/>
            <c:explosion val="4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92-40CA-B413-B049C1A6FB8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92-40CA-B413-B049C1A6FB8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92-40CA-B413-B049C1A6FB8D}"/>
              </c:ext>
            </c:extLst>
          </c:dPt>
          <c:dPt>
            <c:idx val="3"/>
            <c:bubble3D val="0"/>
            <c:explosion val="4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92-40CA-B413-B049C1A6FB8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92-40CA-B413-B049C1A6FB8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092-40CA-B413-B049C1A6FB8D}"/>
              </c:ext>
            </c:extLst>
          </c:dPt>
          <c:dLbls>
            <c:dLbl>
              <c:idx val="0"/>
              <c:layout>
                <c:manualLayout>
                  <c:x val="0.22222222222222232"/>
                  <c:y val="-4.894858730893932E-2"/>
                </c:manualLayout>
              </c:layout>
              <c:tx>
                <c:rich>
                  <a:bodyPr/>
                  <a:lstStyle/>
                  <a:p>
                    <a:pPr>
                      <a:defRPr sz="2000" baseline="0"/>
                    </a:pPr>
                    <a:r>
                      <a:rPr lang="en-US"/>
                      <a:t>No Aprobó</a:t>
                    </a:r>
                  </a:p>
                  <a:p>
                    <a:pPr>
                      <a:defRPr sz="2000" baseline="0"/>
                    </a:pPr>
                    <a:endParaRPr lang="en-US"/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65000"/>
                      <a:lumOff val="3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78936"/>
                        <a:gd name="adj2" fmla="val 103108"/>
                        <a:gd name="adj3" fmla="val 38117"/>
                        <a:gd name="adj4" fmla="val 107399"/>
                      </a:avLst>
                    </a:prstGeom>
                  </c15:spPr>
                </c:ext>
                <c:ext xmlns:c16="http://schemas.microsoft.com/office/drawing/2014/chart" uri="{C3380CC4-5D6E-409C-BE32-E72D297353CC}">
                  <c16:uniqueId val="{00000001-D092-40CA-B413-B049C1A6FB8D}"/>
                </c:ext>
              </c:extLst>
            </c:dLbl>
            <c:dLbl>
              <c:idx val="3"/>
              <c:layout>
                <c:manualLayout>
                  <c:x val="-0.26238307560952473"/>
                  <c:y val="0.1418727806083063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Aprobó</a:t>
                    </a:r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92-40CA-B413-B049C1A6FB8D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/>
              <a:lstStyle/>
              <a:p>
                <a:pPr>
                  <a:defRPr sz="2000" baseline="0"/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</c15:spPr>
              </c:ext>
            </c:extLst>
          </c:dLbls>
          <c:val>
            <c:numRef>
              <c:f>'APENDICE 5 INFO ESTADIS 2DO SEM'!$O$18:$T$18</c:f>
              <c:numCache>
                <c:formatCode>General</c:formatCode>
                <c:ptCount val="6"/>
                <c:pt idx="0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92-40CA-B413-B049C1A6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69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746125</xdr:colOff>
      <xdr:row>27</xdr:row>
      <xdr:rowOff>0</xdr:rowOff>
    </xdr:from>
    <xdr:ext cx="19050" cy="408215"/>
    <xdr:sp macro="" textlink="">
      <xdr:nvSpPr>
        <xdr:cNvPr id="2" name="Text Box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070350" y="8353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27</xdr:row>
      <xdr:rowOff>0</xdr:rowOff>
    </xdr:from>
    <xdr:ext cx="19050" cy="408215"/>
    <xdr:sp macro="" textlink="">
      <xdr:nvSpPr>
        <xdr:cNvPr id="3" name="Text Box 4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070350" y="8353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27</xdr:row>
      <xdr:rowOff>0</xdr:rowOff>
    </xdr:from>
    <xdr:ext cx="19050" cy="408215"/>
    <xdr:sp macro="" textlink="">
      <xdr:nvSpPr>
        <xdr:cNvPr id="4" name="Text Box 4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070350" y="8353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27</xdr:row>
      <xdr:rowOff>0</xdr:rowOff>
    </xdr:from>
    <xdr:ext cx="19050" cy="408215"/>
    <xdr:sp macro="" textlink="">
      <xdr:nvSpPr>
        <xdr:cNvPr id="5" name="Text Box 4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070350" y="8353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</xdr:row>
      <xdr:rowOff>0</xdr:rowOff>
    </xdr:from>
    <xdr:ext cx="19050" cy="408215"/>
    <xdr:sp macro="" textlink="">
      <xdr:nvSpPr>
        <xdr:cNvPr id="6" name="Text Box 42">
          <a:extLst>
            <a:ext uri="{FF2B5EF4-FFF2-40B4-BE49-F238E27FC236}">
              <a16:creationId xmlns:a16="http://schemas.microsoft.com/office/drawing/2014/main" id="{C3C3E811-147B-4369-AE0F-3223BAFE5AE9}"/>
            </a:ext>
          </a:extLst>
        </xdr:cNvPr>
        <xdr:cNvSpPr txBox="1">
          <a:spLocks noChangeArrowheads="1"/>
        </xdr:cNvSpPr>
      </xdr:nvSpPr>
      <xdr:spPr bwMode="auto">
        <a:xfrm>
          <a:off x="3146425" y="702945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</xdr:row>
      <xdr:rowOff>0</xdr:rowOff>
    </xdr:from>
    <xdr:ext cx="19050" cy="408215"/>
    <xdr:sp macro="" textlink="">
      <xdr:nvSpPr>
        <xdr:cNvPr id="7" name="Text Box 42">
          <a:extLst>
            <a:ext uri="{FF2B5EF4-FFF2-40B4-BE49-F238E27FC236}">
              <a16:creationId xmlns:a16="http://schemas.microsoft.com/office/drawing/2014/main" id="{88B28C44-1355-426D-BFA8-065561823735}"/>
            </a:ext>
          </a:extLst>
        </xdr:cNvPr>
        <xdr:cNvSpPr txBox="1">
          <a:spLocks noChangeArrowheads="1"/>
        </xdr:cNvSpPr>
      </xdr:nvSpPr>
      <xdr:spPr bwMode="auto">
        <a:xfrm>
          <a:off x="3146425" y="702945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</xdr:row>
      <xdr:rowOff>0</xdr:rowOff>
    </xdr:from>
    <xdr:ext cx="19050" cy="408215"/>
    <xdr:sp macro="" textlink="">
      <xdr:nvSpPr>
        <xdr:cNvPr id="8" name="Text Box 42">
          <a:extLst>
            <a:ext uri="{FF2B5EF4-FFF2-40B4-BE49-F238E27FC236}">
              <a16:creationId xmlns:a16="http://schemas.microsoft.com/office/drawing/2014/main" id="{ED596AF7-3085-4FE8-911F-B2F8EB902304}"/>
            </a:ext>
          </a:extLst>
        </xdr:cNvPr>
        <xdr:cNvSpPr txBox="1">
          <a:spLocks noChangeArrowheads="1"/>
        </xdr:cNvSpPr>
      </xdr:nvSpPr>
      <xdr:spPr bwMode="auto">
        <a:xfrm>
          <a:off x="3146425" y="702945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</xdr:row>
      <xdr:rowOff>0</xdr:rowOff>
    </xdr:from>
    <xdr:ext cx="19050" cy="408215"/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5E9BA840-AF9F-46D5-AF62-474A37E5AA7C}"/>
            </a:ext>
          </a:extLst>
        </xdr:cNvPr>
        <xdr:cNvSpPr txBox="1">
          <a:spLocks noChangeArrowheads="1"/>
        </xdr:cNvSpPr>
      </xdr:nvSpPr>
      <xdr:spPr bwMode="auto">
        <a:xfrm>
          <a:off x="3146425" y="702945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217</xdr:row>
      <xdr:rowOff>0</xdr:rowOff>
    </xdr:from>
    <xdr:ext cx="19050" cy="408215"/>
    <xdr:sp macro="" textlink="">
      <xdr:nvSpPr>
        <xdr:cNvPr id="10" name="Text Box 42">
          <a:extLst>
            <a:ext uri="{FF2B5EF4-FFF2-40B4-BE49-F238E27FC236}">
              <a16:creationId xmlns:a16="http://schemas.microsoft.com/office/drawing/2014/main" id="{C7FCC199-6195-4347-8ADD-DEA5223FF775}"/>
            </a:ext>
          </a:extLst>
        </xdr:cNvPr>
        <xdr:cNvSpPr txBox="1">
          <a:spLocks noChangeArrowheads="1"/>
        </xdr:cNvSpPr>
      </xdr:nvSpPr>
      <xdr:spPr bwMode="auto">
        <a:xfrm>
          <a:off x="3146425" y="4871085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217</xdr:row>
      <xdr:rowOff>0</xdr:rowOff>
    </xdr:from>
    <xdr:ext cx="19050" cy="408215"/>
    <xdr:sp macro="" textlink="">
      <xdr:nvSpPr>
        <xdr:cNvPr id="11" name="Text Box 42">
          <a:extLst>
            <a:ext uri="{FF2B5EF4-FFF2-40B4-BE49-F238E27FC236}">
              <a16:creationId xmlns:a16="http://schemas.microsoft.com/office/drawing/2014/main" id="{1369EE4D-8F34-49A9-AE07-44BB3631FE94}"/>
            </a:ext>
          </a:extLst>
        </xdr:cNvPr>
        <xdr:cNvSpPr txBox="1">
          <a:spLocks noChangeArrowheads="1"/>
        </xdr:cNvSpPr>
      </xdr:nvSpPr>
      <xdr:spPr bwMode="auto">
        <a:xfrm>
          <a:off x="3146425" y="4871085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216</xdr:row>
      <xdr:rowOff>193261</xdr:rowOff>
    </xdr:from>
    <xdr:ext cx="19050" cy="408215"/>
    <xdr:sp macro="" textlink="">
      <xdr:nvSpPr>
        <xdr:cNvPr id="12" name="Text Box 42">
          <a:extLst>
            <a:ext uri="{FF2B5EF4-FFF2-40B4-BE49-F238E27FC236}">
              <a16:creationId xmlns:a16="http://schemas.microsoft.com/office/drawing/2014/main" id="{7F010499-B477-4C42-8327-385EE5F0D218}"/>
            </a:ext>
          </a:extLst>
        </xdr:cNvPr>
        <xdr:cNvSpPr txBox="1">
          <a:spLocks noChangeArrowheads="1"/>
        </xdr:cNvSpPr>
      </xdr:nvSpPr>
      <xdr:spPr bwMode="auto">
        <a:xfrm>
          <a:off x="2957582" y="45813870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795847</xdr:colOff>
      <xdr:row>217</xdr:row>
      <xdr:rowOff>0</xdr:rowOff>
    </xdr:from>
    <xdr:ext cx="19050" cy="408215"/>
    <xdr:sp macro="" textlink="">
      <xdr:nvSpPr>
        <xdr:cNvPr id="13" name="Text Box 42">
          <a:extLst>
            <a:ext uri="{FF2B5EF4-FFF2-40B4-BE49-F238E27FC236}">
              <a16:creationId xmlns:a16="http://schemas.microsoft.com/office/drawing/2014/main" id="{29DBFDB3-AD48-4A31-8334-34A91B8F3C39}"/>
            </a:ext>
          </a:extLst>
        </xdr:cNvPr>
        <xdr:cNvSpPr txBox="1">
          <a:spLocks noChangeArrowheads="1"/>
        </xdr:cNvSpPr>
      </xdr:nvSpPr>
      <xdr:spPr bwMode="auto">
        <a:xfrm>
          <a:off x="3007304" y="45827674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0</xdr:colOff>
      <xdr:row>243</xdr:row>
      <xdr:rowOff>93382</xdr:rowOff>
    </xdr:from>
    <xdr:to>
      <xdr:col>2</xdr:col>
      <xdr:colOff>336176</xdr:colOff>
      <xdr:row>253</xdr:row>
      <xdr:rowOff>186764</xdr:rowOff>
    </xdr:to>
    <xdr:grpSp>
      <xdr:nvGrpSpPr>
        <xdr:cNvPr id="19" name="Group 15">
          <a:extLst>
            <a:ext uri="{FF2B5EF4-FFF2-40B4-BE49-F238E27FC236}">
              <a16:creationId xmlns:a16="http://schemas.microsoft.com/office/drawing/2014/main" id="{6972219B-804C-4B2A-915D-63096BDC6128}"/>
            </a:ext>
          </a:extLst>
        </xdr:cNvPr>
        <xdr:cNvGrpSpPr>
          <a:grpSpLocks/>
        </xdr:cNvGrpSpPr>
      </xdr:nvGrpSpPr>
      <xdr:grpSpPr bwMode="auto">
        <a:xfrm>
          <a:off x="492125" y="52576132"/>
          <a:ext cx="1082301" cy="2157132"/>
          <a:chOff x="868" y="7881"/>
          <a:chExt cx="851" cy="1808"/>
        </a:xfrm>
      </xdr:grpSpPr>
      <xdr:sp macro="" textlink="">
        <xdr:nvSpPr>
          <xdr:cNvPr id="20" name="Text Box 16">
            <a:extLst>
              <a:ext uri="{FF2B5EF4-FFF2-40B4-BE49-F238E27FC236}">
                <a16:creationId xmlns:a16="http://schemas.microsoft.com/office/drawing/2014/main" id="{56AB62AD-428C-CBE5-5172-96B53D2FEE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8" y="7881"/>
            <a:ext cx="850" cy="1808"/>
          </a:xfrm>
          <a:prstGeom prst="rect">
            <a:avLst/>
          </a:prstGeom>
          <a:noFill/>
          <a:ln w="285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180340" indent="-180340" algn="ctr">
              <a:spcBef>
                <a:spcPts val="600"/>
              </a:spcBef>
              <a:spcAft>
                <a:spcPts val="0"/>
              </a:spcAft>
            </a:pPr>
            <a:endParaRPr lang="en-US" sz="800" b="1">
              <a:effectLst/>
              <a:latin typeface="Arial" panose="020B0604020202020204" pitchFamily="34" charset="0"/>
              <a:ea typeface="Times New Roman" panose="02020603050405020304" pitchFamily="18" charset="0"/>
            </a:endParaRPr>
          </a:p>
          <a:p>
            <a:pPr marL="180340" indent="-180340" algn="ctr">
              <a:spcBef>
                <a:spcPts val="600"/>
              </a:spcBef>
              <a:spcAft>
                <a:spcPts val="0"/>
              </a:spcAft>
            </a:pPr>
            <a:r>
              <a:rPr lang="en-US" sz="12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RC Tan 11</a:t>
            </a:r>
            <a:endParaRPr lang="es-E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cxnSp macro="">
        <xdr:nvCxnSpPr>
          <xdr:cNvPr id="21" name="Line 17">
            <a:extLst>
              <a:ext uri="{FF2B5EF4-FFF2-40B4-BE49-F238E27FC236}">
                <a16:creationId xmlns:a16="http://schemas.microsoft.com/office/drawing/2014/main" id="{2CB73116-3358-F616-D810-3F97C805F0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9" y="8434"/>
            <a:ext cx="85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" name="Line 18">
            <a:extLst>
              <a:ext uri="{FF2B5EF4-FFF2-40B4-BE49-F238E27FC236}">
                <a16:creationId xmlns:a16="http://schemas.microsoft.com/office/drawing/2014/main" id="{D7E09ED8-0BAA-9067-2E69-BAEA796CC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9" y="8855"/>
            <a:ext cx="85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19">
            <a:extLst>
              <a:ext uri="{FF2B5EF4-FFF2-40B4-BE49-F238E27FC236}">
                <a16:creationId xmlns:a16="http://schemas.microsoft.com/office/drawing/2014/main" id="{189CC18A-151A-CFC7-82D3-F0CD1B0155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9" y="9269"/>
            <a:ext cx="850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oneCellAnchor>
    <xdr:from>
      <xdr:col>3</xdr:col>
      <xdr:colOff>746125</xdr:colOff>
      <xdr:row>230</xdr:row>
      <xdr:rowOff>0</xdr:rowOff>
    </xdr:from>
    <xdr:ext cx="19050" cy="408215"/>
    <xdr:sp macro="" textlink="">
      <xdr:nvSpPr>
        <xdr:cNvPr id="16" name="Text Box 42">
          <a:extLst>
            <a:ext uri="{FF2B5EF4-FFF2-40B4-BE49-F238E27FC236}">
              <a16:creationId xmlns:a16="http://schemas.microsoft.com/office/drawing/2014/main" id="{70AC28F5-5B3E-4D80-890D-EDAF71564749}"/>
            </a:ext>
          </a:extLst>
        </xdr:cNvPr>
        <xdr:cNvSpPr txBox="1">
          <a:spLocks noChangeArrowheads="1"/>
        </xdr:cNvSpPr>
      </xdr:nvSpPr>
      <xdr:spPr bwMode="auto">
        <a:xfrm>
          <a:off x="3146425" y="6829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230</xdr:row>
      <xdr:rowOff>0</xdr:rowOff>
    </xdr:from>
    <xdr:ext cx="19050" cy="408215"/>
    <xdr:sp macro="" textlink="">
      <xdr:nvSpPr>
        <xdr:cNvPr id="24" name="Text Box 42">
          <a:extLst>
            <a:ext uri="{FF2B5EF4-FFF2-40B4-BE49-F238E27FC236}">
              <a16:creationId xmlns:a16="http://schemas.microsoft.com/office/drawing/2014/main" id="{604327E4-2F03-40E0-8017-A0B177C256E7}"/>
            </a:ext>
          </a:extLst>
        </xdr:cNvPr>
        <xdr:cNvSpPr txBox="1">
          <a:spLocks noChangeArrowheads="1"/>
        </xdr:cNvSpPr>
      </xdr:nvSpPr>
      <xdr:spPr bwMode="auto">
        <a:xfrm>
          <a:off x="3146425" y="6829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230</xdr:row>
      <xdr:rowOff>0</xdr:rowOff>
    </xdr:from>
    <xdr:ext cx="19050" cy="408215"/>
    <xdr:sp macro="" textlink="">
      <xdr:nvSpPr>
        <xdr:cNvPr id="25" name="Text Box 42">
          <a:extLst>
            <a:ext uri="{FF2B5EF4-FFF2-40B4-BE49-F238E27FC236}">
              <a16:creationId xmlns:a16="http://schemas.microsoft.com/office/drawing/2014/main" id="{7C36FF6F-F240-4F0E-97CA-0606DD042FA2}"/>
            </a:ext>
          </a:extLst>
        </xdr:cNvPr>
        <xdr:cNvSpPr txBox="1">
          <a:spLocks noChangeArrowheads="1"/>
        </xdr:cNvSpPr>
      </xdr:nvSpPr>
      <xdr:spPr bwMode="auto">
        <a:xfrm>
          <a:off x="3146425" y="6829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746125</xdr:colOff>
      <xdr:row>230</xdr:row>
      <xdr:rowOff>0</xdr:rowOff>
    </xdr:from>
    <xdr:ext cx="19050" cy="408215"/>
    <xdr:sp macro="" textlink="">
      <xdr:nvSpPr>
        <xdr:cNvPr id="26" name="Text Box 42">
          <a:extLst>
            <a:ext uri="{FF2B5EF4-FFF2-40B4-BE49-F238E27FC236}">
              <a16:creationId xmlns:a16="http://schemas.microsoft.com/office/drawing/2014/main" id="{C87CACF2-B1DF-4323-8FEA-822023F2D669}"/>
            </a:ext>
          </a:extLst>
        </xdr:cNvPr>
        <xdr:cNvSpPr txBox="1">
          <a:spLocks noChangeArrowheads="1"/>
        </xdr:cNvSpPr>
      </xdr:nvSpPr>
      <xdr:spPr bwMode="auto">
        <a:xfrm>
          <a:off x="3146425" y="6829425"/>
          <a:ext cx="19050" cy="40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13607</xdr:colOff>
      <xdr:row>56</xdr:row>
      <xdr:rowOff>13607</xdr:rowOff>
    </xdr:from>
    <xdr:to>
      <xdr:col>30</xdr:col>
      <xdr:colOff>566057</xdr:colOff>
      <xdr:row>65</xdr:row>
      <xdr:rowOff>32657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5443</xdr:colOff>
      <xdr:row>43</xdr:row>
      <xdr:rowOff>277585</xdr:rowOff>
    </xdr:from>
    <xdr:to>
      <xdr:col>30</xdr:col>
      <xdr:colOff>557893</xdr:colOff>
      <xdr:row>52</xdr:row>
      <xdr:rowOff>258535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13607</xdr:colOff>
      <xdr:row>30</xdr:row>
      <xdr:rowOff>266700</xdr:rowOff>
    </xdr:from>
    <xdr:to>
      <xdr:col>30</xdr:col>
      <xdr:colOff>566057</xdr:colOff>
      <xdr:row>39</xdr:row>
      <xdr:rowOff>266700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20</xdr:row>
      <xdr:rowOff>5443</xdr:rowOff>
    </xdr:from>
    <xdr:to>
      <xdr:col>30</xdr:col>
      <xdr:colOff>552450</xdr:colOff>
      <xdr:row>29</xdr:row>
      <xdr:rowOff>5443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561975</xdr:colOff>
      <xdr:row>9</xdr:row>
      <xdr:rowOff>0</xdr:rowOff>
    </xdr:from>
    <xdr:to>
      <xdr:col>30</xdr:col>
      <xdr:colOff>542925</xdr:colOff>
      <xdr:row>18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134143</xdr:colOff>
      <xdr:row>69</xdr:row>
      <xdr:rowOff>228600</xdr:rowOff>
    </xdr:from>
    <xdr:to>
      <xdr:col>1</xdr:col>
      <xdr:colOff>481111</xdr:colOff>
      <xdr:row>78</xdr:row>
      <xdr:rowOff>38353</xdr:rowOff>
    </xdr:to>
    <xdr:grpSp>
      <xdr:nvGrpSpPr>
        <xdr:cNvPr id="2" name="Group 9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134143" y="20231100"/>
          <a:ext cx="1108968" cy="1984628"/>
          <a:chOff x="712" y="3024"/>
          <a:chExt cx="1016" cy="1876"/>
        </a:xfrm>
      </xdr:grpSpPr>
      <xdr:sp macro="" textlink="">
        <xdr:nvSpPr>
          <xdr:cNvPr id="3" name="Rectangle 99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720" y="3024"/>
            <a:ext cx="1008" cy="1876"/>
          </a:xfrm>
          <a:prstGeom prst="rect">
            <a:avLst/>
          </a:prstGeom>
          <a:solidFill>
            <a:srgbClr val="FFFFFF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100"/>
              </a:lnSpc>
              <a:defRPr sz="1000"/>
            </a:pPr>
            <a:endParaRPr lang="es-AR" sz="11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" name="Line 100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729" y="3607"/>
            <a:ext cx="994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0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712" y="4044"/>
            <a:ext cx="994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0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712" y="4464"/>
            <a:ext cx="994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571146</xdr:colOff>
      <xdr:row>56</xdr:row>
      <xdr:rowOff>274567</xdr:rowOff>
    </xdr:from>
    <xdr:to>
      <xdr:col>30</xdr:col>
      <xdr:colOff>549486</xdr:colOff>
      <xdr:row>65</xdr:row>
      <xdr:rowOff>266701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1920</xdr:colOff>
      <xdr:row>45</xdr:row>
      <xdr:rowOff>16627</xdr:rowOff>
    </xdr:from>
    <xdr:to>
      <xdr:col>30</xdr:col>
      <xdr:colOff>554370</xdr:colOff>
      <xdr:row>53</xdr:row>
      <xdr:rowOff>284631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10084</xdr:colOff>
      <xdr:row>31</xdr:row>
      <xdr:rowOff>18789</xdr:rowOff>
    </xdr:from>
    <xdr:to>
      <xdr:col>30</xdr:col>
      <xdr:colOff>562534</xdr:colOff>
      <xdr:row>40</xdr:row>
      <xdr:rowOff>19050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7242</xdr:colOff>
      <xdr:row>20</xdr:row>
      <xdr:rowOff>19471</xdr:rowOff>
    </xdr:from>
    <xdr:to>
      <xdr:col>30</xdr:col>
      <xdr:colOff>559692</xdr:colOff>
      <xdr:row>29</xdr:row>
      <xdr:rowOff>19051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10765</xdr:colOff>
      <xdr:row>9</xdr:row>
      <xdr:rowOff>0</xdr:rowOff>
    </xdr:from>
    <xdr:to>
      <xdr:col>30</xdr:col>
      <xdr:colOff>563215</xdr:colOff>
      <xdr:row>18</xdr:row>
      <xdr:rowOff>19050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a4" displayName="Tabla4" ref="A13:W240" totalsRowShown="0" headerRowDxfId="27" dataDxfId="25" headerRowBorderDxfId="26" tableBorderDxfId="24" totalsRowBorderDxfId="23">
  <tableColumns count="23">
    <tableColumn id="1" name="NRO" dataDxfId="22"/>
    <tableColumn id="2" name="GRADO" dataDxfId="21"/>
    <tableColumn id="22" name="A / E / S" dataDxfId="20"/>
    <tableColumn id="3" name="NOMBRE/S Y APELLIDO/S" dataDxfId="19"/>
    <tableColumn id="4" name="DNI" dataDxfId="18"/>
    <tableColumn id="5" name="FECHA NAC dd/mm/aa" dataDxfId="17"/>
    <tableColumn id="6" name="PESO" dataDxfId="16"/>
    <tableColumn id="7" name="TALLA" dataDxfId="15"/>
    <tableColumn id="8" name="IMC" dataDxfId="14">
      <calculatedColumnFormula>IF(OR(G14="",H14=""),"-",ROUND(G14/(H14^2),0))</calculatedColumnFormula>
    </tableColumn>
    <tableColumn id="9" name="SEXO (M/F)" dataDxfId="13"/>
    <tableColumn id="10" name="EDAD" dataDxfId="12">
      <calculatedColumnFormula>IF(F14&gt;0,DATEDIF(F14,$L$1,"Y"),"-")</calculatedColumnFormula>
    </tableColumn>
    <tableColumn id="11" name="CATEGORIA" dataDxfId="11">
      <calculatedColumnFormula>IF(F14="","-",IF(K14&lt;&gt;"",VLOOKUP(K14,T100Pts!CH$4:CI$59,(2))))</calculatedColumnFormula>
    </tableColumn>
    <tableColumn id="12" name="Cant 1" dataDxfId="10"/>
    <tableColumn id="13" name="Pts 1" dataDxfId="9">
      <calculatedColumnFormula>IF($L14="X","-",IF(M14="","-",IF(J14="M",VLOOKUP(M14,T100Pts!U$5:AC$86,(L14+1)),IF(J14="F",VLOOKUP(M14,T100Pts!AE$5:AM$86,(L14+1)),""))))</calculatedColumnFormula>
    </tableColumn>
    <tableColumn id="14" name="Cant 2" dataDxfId="8"/>
    <tableColumn id="15" name="Pts 2" dataDxfId="7">
      <calculatedColumnFormula>IF($L14="X","-",IF(O14="","-",IF(J14="M",VLOOKUP(O14,T100Pts!AO$5:AW$126,(L14+1)),IF(J14="F",VLOOKUP(O14,T100Pts!AY$5:BG$126,(L14+1)),""))))</calculatedColumnFormula>
    </tableColumn>
    <tableColumn id="21" name="Cant 4" dataDxfId="6"/>
    <tableColumn id="17" name="Pts 4" dataDxfId="5">
      <calculatedColumnFormula>IF(OR($L14="X",$L14=6,$L14=7),"-",IF(Q14="","-",IF(J14="M",VLOOKUP(Q14,T100Pts!BI$5:BN$44,(L14+1)),IF(J14="F",VLOOKUP(Q14,T100Pts!BU$5:BZ$44,(L14+1)),""))))</calculatedColumnFormula>
    </tableColumn>
    <tableColumn id="18" name="T' 5" dataDxfId="4"/>
    <tableColumn id="19" name="Pts 5" dataDxfId="3">
      <calculatedColumnFormula>IF($L14="X","-",IF(S14="","-",IF(J14="M",VLOOKUP(S14,T100Pts!A$5:I$1146,(L14+1)),IF(J14="F",VLOOKUP(S14,T100Pts!K$5:S$1147,(L14+1)),""))))</calculatedColumnFormula>
    </tableColumn>
    <tableColumn id="24" name="Comp" dataDxfId="2">
      <calculatedColumnFormula>IF(OR(N14="X",P14="X",R14="X",T14="X"),"NR",IF(AND(N14="-",P14="-",T14="-"),"-",IF(R14="-",AVERAGE(IF(ISNUMBER(N14),N14),IF(ISNUMBER(P14),P14),IF(ISNUMBER(T14),T14)),AVERAGE(IF(ISNUMBER(N14),N14),IF(ISNUMBER(P14),P14),IF(ISNUMBER(R14),R14),IF(ISNUMBER(T14),T14)))))</calculatedColumnFormula>
    </tableColumn>
    <tableColumn id="23" name="A / NA" dataDxfId="1">
      <calculatedColumnFormula>IF(NOT(ISNUMBER(U14)), "-", IF(U14 &lt; 70, "NA", "A"))</calculatedColumnFormula>
    </tableColumn>
    <tableColumn id="44" name="Cant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3" tint="0.59999389629810485"/>
    <pageSetUpPr fitToPage="1"/>
  </sheetPr>
  <dimension ref="A1:AK242"/>
  <sheetViews>
    <sheetView topLeftCell="H227" zoomScale="60" zoomScaleNormal="60" zoomScaleSheetLayoutView="72" workbookViewId="0">
      <selection activeCell="AC14" sqref="AC14:AC240"/>
    </sheetView>
  </sheetViews>
  <sheetFormatPr baseColWidth="10" defaultColWidth="11.42578125" defaultRowHeight="16.5" customHeight="1" x14ac:dyDescent="0.2"/>
  <cols>
    <col min="1" max="1" width="7.42578125" style="8" customWidth="1"/>
    <col min="2" max="2" width="11.28515625" style="10" bestFit="1" customWidth="1"/>
    <col min="3" max="3" width="14.42578125" style="8" customWidth="1"/>
    <col min="4" max="4" width="39.7109375" style="8" customWidth="1"/>
    <col min="5" max="5" width="21.7109375" style="10" customWidth="1"/>
    <col min="6" max="6" width="16.7109375" style="10" customWidth="1"/>
    <col min="7" max="7" width="6.42578125" style="8" customWidth="1"/>
    <col min="8" max="8" width="8" style="8" customWidth="1"/>
    <col min="9" max="9" width="7.42578125" style="8" customWidth="1"/>
    <col min="10" max="10" width="6.42578125" style="10" customWidth="1"/>
    <col min="11" max="11" width="6" style="10" customWidth="1"/>
    <col min="12" max="12" width="16.28515625" style="8" bestFit="1" customWidth="1"/>
    <col min="13" max="13" width="10.42578125" style="10" customWidth="1"/>
    <col min="14" max="20" width="10.42578125" style="8" customWidth="1"/>
    <col min="21" max="21" width="15.28515625" style="67" bestFit="1" customWidth="1"/>
    <col min="22" max="22" width="15.42578125" style="68" customWidth="1"/>
    <col min="23" max="25" width="10.28515625" style="8" customWidth="1"/>
    <col min="26" max="26" width="10.28515625" style="10" customWidth="1"/>
    <col min="27" max="30" width="10.28515625" style="9" customWidth="1"/>
    <col min="31" max="31" width="12.42578125" style="9" customWidth="1"/>
    <col min="32" max="32" width="15.7109375" style="9" customWidth="1"/>
    <col min="33" max="33" width="11.42578125" style="9" customWidth="1"/>
    <col min="34" max="34" width="21.28515625" style="9" customWidth="1"/>
    <col min="35" max="35" width="34.42578125" style="9" customWidth="1"/>
    <col min="36" max="16384" width="11.42578125" style="9"/>
  </cols>
  <sheetData>
    <row r="1" spans="1:36" s="87" customFormat="1" ht="21.75" customHeight="1" x14ac:dyDescent="0.2">
      <c r="A1" s="143"/>
      <c r="B1" s="144"/>
      <c r="C1" s="145"/>
      <c r="D1" s="146"/>
      <c r="E1" s="147"/>
      <c r="F1" s="147"/>
      <c r="G1" s="126"/>
      <c r="H1" s="126"/>
      <c r="I1" s="131"/>
      <c r="J1" s="128" t="s">
        <v>134</v>
      </c>
      <c r="K1" s="129"/>
      <c r="L1" s="130">
        <v>46022</v>
      </c>
      <c r="M1" s="127"/>
      <c r="N1" s="126"/>
      <c r="O1" s="81"/>
      <c r="P1" s="81"/>
      <c r="Q1" s="81"/>
      <c r="R1" s="81"/>
      <c r="S1" s="81"/>
      <c r="T1" s="81"/>
      <c r="U1" s="85"/>
      <c r="V1" s="86"/>
      <c r="W1" s="81">
        <f ca="1">+A:AI</f>
        <v>0</v>
      </c>
      <c r="X1" s="81"/>
      <c r="Y1" s="81"/>
      <c r="Z1" s="84"/>
    </row>
    <row r="2" spans="1:36" s="87" customFormat="1" ht="16.5" customHeight="1" x14ac:dyDescent="0.2">
      <c r="A2" s="81"/>
      <c r="B2" s="82"/>
      <c r="C2" s="83"/>
      <c r="D2" s="81"/>
      <c r="E2" s="84"/>
      <c r="F2" s="84"/>
      <c r="G2" s="81"/>
      <c r="H2" s="81"/>
      <c r="I2" s="81"/>
      <c r="J2" s="84"/>
      <c r="K2" s="84"/>
      <c r="L2" s="81"/>
      <c r="M2" s="84"/>
      <c r="N2" s="81"/>
      <c r="O2" s="81"/>
      <c r="P2" s="81"/>
      <c r="Q2" s="81"/>
      <c r="R2" s="81"/>
      <c r="S2" s="81"/>
      <c r="T2" s="81"/>
      <c r="U2" s="85"/>
      <c r="V2" s="86"/>
      <c r="W2" s="81"/>
      <c r="X2" s="81"/>
      <c r="Y2" s="81"/>
      <c r="Z2" s="84"/>
    </row>
    <row r="3" spans="1:36" s="136" customFormat="1" ht="25.5" customHeight="1" x14ac:dyDescent="0.35">
      <c r="A3" s="64" t="s">
        <v>145</v>
      </c>
      <c r="B3" s="64"/>
      <c r="C3" s="132"/>
      <c r="D3" s="132"/>
      <c r="E3" s="132"/>
      <c r="F3" s="133"/>
      <c r="G3" s="132"/>
      <c r="H3" s="134"/>
      <c r="I3" s="132"/>
      <c r="J3" s="135"/>
      <c r="K3" s="133"/>
      <c r="O3" s="132"/>
      <c r="Q3" s="275"/>
      <c r="R3" s="275"/>
      <c r="S3" s="275"/>
      <c r="T3" s="275"/>
      <c r="U3" s="275"/>
      <c r="V3" s="275"/>
      <c r="AB3" s="162"/>
    </row>
    <row r="4" spans="1:36" s="136" customFormat="1" ht="27" customHeight="1" x14ac:dyDescent="0.3">
      <c r="A4" s="132" t="s">
        <v>196</v>
      </c>
      <c r="C4" s="132"/>
      <c r="D4" s="132"/>
      <c r="E4" s="132"/>
      <c r="F4" s="135"/>
      <c r="G4" s="132"/>
      <c r="H4" s="134"/>
      <c r="I4" s="132"/>
      <c r="J4" s="135"/>
      <c r="K4" s="133"/>
      <c r="M4" s="135"/>
      <c r="O4" s="132"/>
      <c r="P4" s="132"/>
      <c r="R4" s="62"/>
      <c r="T4" s="132"/>
      <c r="U4" s="132" t="s">
        <v>197</v>
      </c>
      <c r="AA4" s="62"/>
      <c r="AB4" s="62"/>
    </row>
    <row r="5" spans="1:36" s="92" customFormat="1" ht="16.5" customHeight="1" x14ac:dyDescent="0.3">
      <c r="A5" s="88"/>
      <c r="C5" s="38"/>
      <c r="D5" s="38"/>
      <c r="E5" s="38"/>
      <c r="F5" s="91"/>
      <c r="G5" s="38"/>
      <c r="H5" s="90"/>
      <c r="I5" s="38"/>
      <c r="J5" s="91"/>
      <c r="K5" s="89"/>
      <c r="M5" s="91"/>
      <c r="O5" s="38"/>
      <c r="P5" s="38"/>
      <c r="R5" s="62"/>
      <c r="T5" s="38"/>
    </row>
    <row r="6" spans="1:36" ht="16.5" customHeight="1" x14ac:dyDescent="0.2">
      <c r="A6" s="51"/>
      <c r="B6" s="51"/>
      <c r="C6" s="51"/>
      <c r="D6" s="51"/>
    </row>
    <row r="7" spans="1:36" s="69" customFormat="1" ht="16.5" customHeight="1" x14ac:dyDescent="0.2">
      <c r="A7" s="276" t="s">
        <v>118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</row>
    <row r="8" spans="1:36" s="69" customFormat="1" ht="16.5" customHeight="1" x14ac:dyDescent="0.2">
      <c r="A8" s="276" t="s">
        <v>183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</row>
    <row r="9" spans="1:36" s="69" customFormat="1" ht="16.5" customHeight="1" x14ac:dyDescent="0.2">
      <c r="A9" s="282"/>
      <c r="B9" s="282"/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70"/>
      <c r="Y9" s="70"/>
      <c r="Z9" s="71"/>
    </row>
    <row r="10" spans="1:36" s="75" customFormat="1" ht="16.5" customHeight="1" x14ac:dyDescent="0.2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3"/>
      <c r="V10" s="74"/>
      <c r="W10" s="72"/>
      <c r="X10" s="72"/>
      <c r="Y10" s="72"/>
      <c r="Z10" s="72"/>
    </row>
    <row r="11" spans="1:36" s="76" customFormat="1" ht="53.25" customHeight="1" x14ac:dyDescent="0.2">
      <c r="A11" s="272"/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4"/>
      <c r="M11" s="267" t="s">
        <v>195</v>
      </c>
      <c r="N11" s="267"/>
      <c r="O11" s="267"/>
      <c r="P11" s="267"/>
      <c r="Q11" s="267"/>
      <c r="R11" s="267"/>
      <c r="S11" s="267"/>
      <c r="T11" s="267"/>
      <c r="U11" s="267"/>
      <c r="V11" s="271"/>
      <c r="W11" s="281" t="s">
        <v>120</v>
      </c>
      <c r="X11" s="281"/>
      <c r="Y11" s="281"/>
      <c r="Z11" s="281"/>
      <c r="AA11" s="281"/>
      <c r="AB11" s="281"/>
      <c r="AC11" s="281"/>
      <c r="AD11" s="281"/>
      <c r="AE11" s="281"/>
      <c r="AF11" s="281"/>
      <c r="AG11" s="277" t="s">
        <v>122</v>
      </c>
      <c r="AH11" s="277" t="s">
        <v>123</v>
      </c>
      <c r="AI11" s="278" t="s">
        <v>151</v>
      </c>
    </row>
    <row r="12" spans="1:36" s="78" customFormat="1" ht="111" customHeight="1" x14ac:dyDescent="0.2">
      <c r="A12" s="119" t="s">
        <v>3</v>
      </c>
      <c r="B12" s="119" t="s">
        <v>0</v>
      </c>
      <c r="C12" s="118" t="s">
        <v>141</v>
      </c>
      <c r="D12" s="119" t="s">
        <v>147</v>
      </c>
      <c r="E12" s="119" t="s">
        <v>19</v>
      </c>
      <c r="F12" s="118" t="s">
        <v>53</v>
      </c>
      <c r="G12" s="123" t="s">
        <v>1</v>
      </c>
      <c r="H12" s="124" t="s">
        <v>21</v>
      </c>
      <c r="I12" s="124" t="s">
        <v>45</v>
      </c>
      <c r="J12" s="124" t="s">
        <v>25</v>
      </c>
      <c r="K12" s="124" t="s">
        <v>22</v>
      </c>
      <c r="L12" s="123" t="s">
        <v>23</v>
      </c>
      <c r="M12" s="267" t="s">
        <v>24</v>
      </c>
      <c r="N12" s="267"/>
      <c r="O12" s="268" t="s">
        <v>89</v>
      </c>
      <c r="P12" s="268"/>
      <c r="Q12" s="269" t="s">
        <v>179</v>
      </c>
      <c r="R12" s="270"/>
      <c r="S12" s="267" t="s">
        <v>52</v>
      </c>
      <c r="T12" s="267"/>
      <c r="U12" s="120" t="s">
        <v>148</v>
      </c>
      <c r="V12" s="121" t="s">
        <v>150</v>
      </c>
      <c r="W12" s="279" t="s">
        <v>24</v>
      </c>
      <c r="X12" s="279"/>
      <c r="Y12" s="280" t="s">
        <v>89</v>
      </c>
      <c r="Z12" s="280"/>
      <c r="AA12" s="283" t="s">
        <v>179</v>
      </c>
      <c r="AB12" s="284"/>
      <c r="AC12" s="279" t="s">
        <v>124</v>
      </c>
      <c r="AD12" s="279"/>
      <c r="AE12" s="122" t="s">
        <v>125</v>
      </c>
      <c r="AF12" s="122" t="s">
        <v>121</v>
      </c>
      <c r="AG12" s="277"/>
      <c r="AH12" s="277"/>
      <c r="AI12" s="278"/>
    </row>
    <row r="13" spans="1:36" s="75" customFormat="1" ht="42.75" customHeight="1" x14ac:dyDescent="0.2">
      <c r="A13" s="148" t="s">
        <v>3</v>
      </c>
      <c r="B13" s="148" t="s">
        <v>0</v>
      </c>
      <c r="C13" s="148" t="s">
        <v>146</v>
      </c>
      <c r="D13" s="148" t="s">
        <v>172</v>
      </c>
      <c r="E13" s="148" t="s">
        <v>19</v>
      </c>
      <c r="F13" s="149" t="s">
        <v>53</v>
      </c>
      <c r="G13" s="148" t="s">
        <v>1</v>
      </c>
      <c r="H13" s="148" t="s">
        <v>21</v>
      </c>
      <c r="I13" s="148" t="s">
        <v>45</v>
      </c>
      <c r="J13" s="149" t="s">
        <v>25</v>
      </c>
      <c r="K13" s="148" t="s">
        <v>22</v>
      </c>
      <c r="L13" s="148" t="s">
        <v>23</v>
      </c>
      <c r="M13" s="148" t="s">
        <v>91</v>
      </c>
      <c r="N13" s="148" t="s">
        <v>92</v>
      </c>
      <c r="O13" s="148" t="s">
        <v>93</v>
      </c>
      <c r="P13" s="148" t="s">
        <v>94</v>
      </c>
      <c r="Q13" s="148" t="s">
        <v>142</v>
      </c>
      <c r="R13" s="148" t="s">
        <v>95</v>
      </c>
      <c r="S13" s="148" t="s">
        <v>143</v>
      </c>
      <c r="T13" s="148" t="s">
        <v>126</v>
      </c>
      <c r="U13" s="148" t="s">
        <v>149</v>
      </c>
      <c r="V13" s="148" t="s">
        <v>90</v>
      </c>
      <c r="W13" s="148" t="s">
        <v>174</v>
      </c>
      <c r="X13" s="150" t="s">
        <v>127</v>
      </c>
      <c r="Y13" s="150" t="s">
        <v>128</v>
      </c>
      <c r="Z13" s="150" t="s">
        <v>129</v>
      </c>
      <c r="AA13" s="150" t="s">
        <v>175</v>
      </c>
      <c r="AB13" s="150" t="s">
        <v>176</v>
      </c>
      <c r="AC13" s="150" t="s">
        <v>177</v>
      </c>
      <c r="AD13" s="150" t="s">
        <v>178</v>
      </c>
      <c r="AE13" s="150" t="s">
        <v>130</v>
      </c>
      <c r="AF13" s="150" t="s">
        <v>131</v>
      </c>
      <c r="AG13" s="150" t="s">
        <v>132</v>
      </c>
      <c r="AH13" s="150" t="s">
        <v>133</v>
      </c>
      <c r="AI13" s="150" t="s">
        <v>151</v>
      </c>
      <c r="AJ13" s="150" t="s">
        <v>173</v>
      </c>
    </row>
    <row r="14" spans="1:36" s="77" customFormat="1" ht="15.75" customHeight="1" x14ac:dyDescent="0.2">
      <c r="A14" s="138">
        <v>1</v>
      </c>
      <c r="B14" s="168"/>
      <c r="C14" s="137"/>
      <c r="D14" s="169"/>
      <c r="E14" s="170"/>
      <c r="F14" s="171"/>
      <c r="G14" s="172"/>
      <c r="H14" s="172"/>
      <c r="I14" s="139" t="str">
        <f t="shared" ref="I14:I25" si="0">IF(OR(G14="",H14=""),"-",ROUND(G14/(H14^2),0))</f>
        <v>-</v>
      </c>
      <c r="J14" s="203" t="s">
        <v>139</v>
      </c>
      <c r="K14" s="137" t="str">
        <f>IF(F14&gt;0,DATEDIF(F14,$L$1,"Y"),"-")</f>
        <v>-</v>
      </c>
      <c r="L14" s="137" t="str">
        <f>IF(F14="","-",IF(K14&lt;&gt;"",VLOOKUP(K14,T100Pts!CH$4:CI$59,(2))))</f>
        <v>-</v>
      </c>
      <c r="M14" s="155"/>
      <c r="N14" s="137" t="str">
        <f>IF($L14="X","-",IF(M14="","-",IF(J14="M",VLOOKUP(M14,T100Pts!U$5:AC$86,(L14+1)),IF(J14="F",VLOOKUP(M14,T100Pts!AE$5:AM$86,(L14+1)),""))))</f>
        <v>-</v>
      </c>
      <c r="O14" s="155"/>
      <c r="P14" s="140" t="str">
        <f>IF($L14="X","-",IF(O14="","-",IF(J14="M",VLOOKUP(O14,T100Pts!AO$5:AW$126,(L14+1)),IF(J14="F",VLOOKUP(O14,T100Pts!AY$5:BG$126,(L14+1)),""))))</f>
        <v>-</v>
      </c>
      <c r="Q14" s="157"/>
      <c r="R14" s="140" t="str">
        <f>IF(OR($L14="X",$L14=6,$L14=7),"-",IF(Q14="","-",IF(J14="M",VLOOKUP(Q14,T100Pts!BI$5:BN$44,(L14+1)),IF(J14="F",VLOOKUP(Q14,T100Pts!BU$5:BZ$44,(L14+1)),""))))</f>
        <v>-</v>
      </c>
      <c r="S14" s="155"/>
      <c r="T14" s="140" t="str">
        <f>IF($L14="X","-",IF(S14="","-",IF(J14="M",VLOOKUP(S14,T100Pts!A$5:I$1146,(L14+1)),IF(J14="F",VLOOKUP(S14,T100Pts!K$5:S$1147,(L14+1)),""))))</f>
        <v>-</v>
      </c>
      <c r="U14" s="141" t="str">
        <f>IF(OR(N14="X",P14="X",R14="X",T14="X"),"NR",IF(AND(N14="-",P14="-",T14="-"),"-",IF(R14="-",AVERAGE(IF(ISNUMBER(N14),N14),IF(ISNUMBER(P14),P14),IF(ISNUMBER(T14),T14)),AVERAGE(IF(ISNUMBER(N14),N14),IF(ISNUMBER(P14),P14),IF(ISNUMBER(R14),R14),IF(ISNUMBER(T14),T14)))))</f>
        <v>-</v>
      </c>
      <c r="V14" s="79" t="str">
        <f>IF(NOT(ISNUMBER(U14)), "-", IF(U14 &lt; 70, "NA", "A"))</f>
        <v>-</v>
      </c>
      <c r="W14" s="155"/>
      <c r="X14" s="116" t="str">
        <f>IF($L14="X","-",IF(W14="","-",IF(J14="M",VLOOKUP(W14,T100Pts!U$5:AC$86,(L14+1)),IF(J14="F",VLOOKUP(W14,T100Pts!AE$5:AM$86,(L14+1)),""))))</f>
        <v>-</v>
      </c>
      <c r="Y14" s="163"/>
      <c r="Z14" s="116" t="str">
        <f>IF($L14="X","-",IF(Y14="","-",IF(J14="M",VLOOKUP(Y14,T100Pts!AO$5:AW$126,(L14+1)),IF(J14="F",VLOOKUP(Y14,T100Pts!AY$5:BG$126,(L14+1)),""))))</f>
        <v>-</v>
      </c>
      <c r="AA14" s="165"/>
      <c r="AB14" s="116" t="str">
        <f>IF(OR($L14="X",$L14=6,$L14=7),"-",IF(AA14="","-",IF(J14="M",VLOOKUP(AA14,T100Pts!BI$5:BN$44,(L14+1)),IF(J14="F",VLOOKUP(AA14,T100Pts!BU$5:BZ$44,(L14+1)),""))))</f>
        <v>-</v>
      </c>
      <c r="AC14" s="228"/>
      <c r="AD14" s="116" t="str">
        <f>IF($L14="X","-",IF(AC14="","-",IF(J14="M",VLOOKUP(AC14,T100Pts!A$5:I$1146,(L14+1)),IF(J14="F",VLOOKUP(AC14,T100Pts!K$5:S$1146,(L14+1)),""))))</f>
        <v>-</v>
      </c>
      <c r="AE14" s="117" t="str">
        <f>IF(OR(X14="X",Z14="X",AB14="X",AD14="X"),"NR",IF(AND(X14="-",Z14="-",AD14="-"),"-",IF(AB14="-",AVERAGE(IF(ISNUMBER(X14),X14),IF(ISNUMBER(Z14),Z14),IF(ISNUMBER(AD14),AD14)),AVERAGE(IF(ISNUMBER(X14),X14),IF(ISNUMBER(Z14),Z14),IF(ISNUMBER(AB14),AB14),IF(ISNUMBER(AD14),AD14)))))</f>
        <v>-</v>
      </c>
      <c r="AF14" s="114" t="str">
        <f>IF(NOT(ISNUMBER(AE14)), "-", IF(AE14 &lt; 70, "NA", "A"))</f>
        <v>-</v>
      </c>
      <c r="AG14" s="115" t="e">
        <f>AVERAGE(U14,AE14)</f>
        <v>#DIV/0!</v>
      </c>
      <c r="AH14" s="114" t="str">
        <f t="shared" ref="AH14:AH76" si="1">IF(NOT(ISNUMBER(AG14)), "-", IF(AG14 &lt; 70, "NA", "A"))</f>
        <v>-</v>
      </c>
      <c r="AI14" s="161"/>
      <c r="AJ14" s="77" t="str">
        <f t="shared" ref="AJ14:AJ44" si="2">IF(OR(B14="TG",B14="GD",B14="GB",B14="CY",B14="CR",B14="TC",B14="MY",B14="CT",B14="TP",B14="TP EC",B14="TT",B14="TT EC",B14="ST",B14="ST EC"),"Oficial",IF(OR(B14="VP",B14="VS",B14="VS EC"),"Vol",IF(B14="","","Subof")))</f>
        <v/>
      </c>
    </row>
    <row r="15" spans="1:36" s="77" customFormat="1" ht="15.75" customHeight="1" x14ac:dyDescent="0.2">
      <c r="A15" s="138">
        <v>2</v>
      </c>
      <c r="B15" s="168"/>
      <c r="C15" s="137"/>
      <c r="D15" s="169"/>
      <c r="E15" s="170"/>
      <c r="F15" s="171"/>
      <c r="G15" s="168"/>
      <c r="H15" s="172"/>
      <c r="I15" s="139" t="str">
        <f t="shared" si="0"/>
        <v>-</v>
      </c>
      <c r="J15" s="203" t="s">
        <v>139</v>
      </c>
      <c r="K15" s="137" t="str">
        <f t="shared" ref="K15:K33" si="3">IF(F15&gt;0,DATEDIF(F15,$L$1,"Y"),"-")</f>
        <v>-</v>
      </c>
      <c r="L15" s="137" t="str">
        <f>IF(F15="","-",IF(K15&lt;&gt;"",VLOOKUP(K15,T100Pts!CH$4:CI$59,(2))))</f>
        <v>-</v>
      </c>
      <c r="M15" s="155"/>
      <c r="N15" s="137" t="str">
        <f>IF($L15="X","-",IF(M15="","-",IF(J15="M",VLOOKUP(M15,T100Pts!U$5:AC$86,(L15+1)),IF(J15="F",VLOOKUP(M15,T100Pts!AE$5:AM$86,(L15+1)),""))))</f>
        <v>-</v>
      </c>
      <c r="O15" s="155"/>
      <c r="P15" s="140" t="str">
        <f>IF($L15="X","-",IF(O15="","-",IF(J15="M",VLOOKUP(O15,T100Pts!AO$5:AW$126,(L15+1)),IF(J15="F",VLOOKUP(O15,T100Pts!AY$5:BG$126,(L15+1)),""))))</f>
        <v>-</v>
      </c>
      <c r="Q15" s="157"/>
      <c r="R15" s="140" t="str">
        <f>IF(OR($L15="X",O16=6,$L15=7),"-",IF(Q15="","-",IF(J15="M",VLOOKUP(Q15,T100Pts!BI$5:BN$44,(L15+1)),IF(J15="F",VLOOKUP(Q15,T100Pts!BU$5:BZ$44,(L15+1)),""))))</f>
        <v>-</v>
      </c>
      <c r="S15" s="155"/>
      <c r="T15" s="140" t="str">
        <f>IF($L15="X","-",IF(S15="","-",IF(J15="M",VLOOKUP(S15,T100Pts!A$5:I$1146,(L15+1)),IF(J15="F",VLOOKUP(S15,T100Pts!K$5:S$1147,(L15+1)),""))))</f>
        <v>-</v>
      </c>
      <c r="U15" s="141" t="str">
        <f t="shared" ref="U15:U77" si="4">IF(OR(N15="X",P15="X",R15="X",T15="X"),"NR",IF(AND(N15="-",P15="-",T15="-"),"-",IF(R15="-",AVERAGE(IF(ISNUMBER(N15),N15),IF(ISNUMBER(P15),P15),IF(ISNUMBER(T15),T15)),AVERAGE(IF(ISNUMBER(N15),N15),IF(ISNUMBER(P15),P15),IF(ISNUMBER(R15),R15),IF(ISNUMBER(T15),T15)))))</f>
        <v>-</v>
      </c>
      <c r="V15" s="79" t="str">
        <f t="shared" ref="V15:V77" si="5">IF(NOT(ISNUMBER(U15)), "-", IF(U15 &lt; 70, "NA", "A"))</f>
        <v>-</v>
      </c>
      <c r="W15" s="155"/>
      <c r="X15" s="116" t="str">
        <f>IF($L15="X","-",IF(W15="","-",IF(J15="M",VLOOKUP(W15,T100Pts!U$5:AC$86,(L15+1)),IF(J15="F",VLOOKUP(W15,T100Pts!AE$5:AM$86,(L15+1)),""))))</f>
        <v>-</v>
      </c>
      <c r="Y15" s="163"/>
      <c r="Z15" s="116" t="str">
        <f>IF($L15="X","-",IF(Y15="","-",IF(J15="M",VLOOKUP(Y15,T100Pts!AO$5:AW$126,(L15+1)),IF(J15="F",VLOOKUP(Y15,T100Pts!AY$5:BG$126,(L15+1)),""))))</f>
        <v>-</v>
      </c>
      <c r="AA15" s="165"/>
      <c r="AB15" s="116" t="str">
        <f>IF(OR($L15="X",$L15=6,$L15=7),"-",IF(AA15="","-",IF(J15="M",VLOOKUP(AA15,T100Pts!BI$5:BN$44,(L15+1)),IF(J15="F",VLOOKUP(AA15,T100Pts!BU$5:BZ$44,(L15+1)),""))))</f>
        <v>-</v>
      </c>
      <c r="AC15" s="229"/>
      <c r="AD15" s="116" t="str">
        <f>IF($L15="X","-",IF(AC15="","-",IF(J15="M",VLOOKUP(AC15,T100Pts!A$5:I$1146,(L15+1)),IF(J15="F",VLOOKUP(AC15,T100Pts!K$5:S$1146,(L15+1)),""))))</f>
        <v>-</v>
      </c>
      <c r="AE15" s="117" t="str">
        <f t="shared" ref="AE15:AE77" si="6">IF(OR(X15="X",Z15="X",AB15="X",AD15="X"),"NR",IF(AND(X15="-",Z15="-",AD15="-"),"-",IF(AB15="-",AVERAGE(IF(ISNUMBER(X15),X15),IF(ISNUMBER(Z15),Z15),IF(ISNUMBER(AD15),AD15)),AVERAGE(IF(ISNUMBER(X15),X15),IF(ISNUMBER(Z15),Z15),IF(ISNUMBER(AB15),AB15),IF(ISNUMBER(AD15),AD15)))))</f>
        <v>-</v>
      </c>
      <c r="AF15" s="114" t="str">
        <f t="shared" ref="AF15:AF77" si="7">IF(NOT(ISNUMBER(AE15)), "-", IF(AE15 &lt; 70, "NA", "A"))</f>
        <v>-</v>
      </c>
      <c r="AG15" s="115" t="e">
        <f>AVERAGE(U15,AE15)</f>
        <v>#DIV/0!</v>
      </c>
      <c r="AH15" s="114" t="str">
        <f t="shared" si="1"/>
        <v>-</v>
      </c>
      <c r="AI15" s="161"/>
      <c r="AJ15" s="77" t="str">
        <f t="shared" si="2"/>
        <v/>
      </c>
    </row>
    <row r="16" spans="1:36" s="77" customFormat="1" ht="15.75" customHeight="1" x14ac:dyDescent="0.2">
      <c r="A16" s="138">
        <v>3</v>
      </c>
      <c r="B16" s="168"/>
      <c r="C16" s="137"/>
      <c r="D16" s="169"/>
      <c r="E16" s="170"/>
      <c r="F16" s="173"/>
      <c r="G16" s="168"/>
      <c r="H16" s="168"/>
      <c r="I16" s="139" t="str">
        <f>IF(OR(G16="",H16=""),"-",ROUND(G16/(H16^2),0))</f>
        <v>-</v>
      </c>
      <c r="J16" s="203" t="s">
        <v>139</v>
      </c>
      <c r="K16" s="137" t="str">
        <f>IF(F16&gt;0,DATEDIF(F16,$L$1,"Y"),"-")</f>
        <v>-</v>
      </c>
      <c r="L16" s="137" t="str">
        <f>IF(F16="","-",IF(K16&lt;&gt;"",VLOOKUP(K16,T100Pts!CH$4:CI$59,(2))))</f>
        <v>-</v>
      </c>
      <c r="M16" s="155"/>
      <c r="N16" s="137" t="str">
        <f>IF($L16="X","-",IF(M16="","-",IF(J16="M",VLOOKUP(M16,T100Pts!U$5:AC$86,(L16+1)),IF(J16="F",VLOOKUP(M16,T100Pts!AE$5:AM$86,(L16+1)),""))))</f>
        <v>-</v>
      </c>
      <c r="O16" s="155"/>
      <c r="P16" s="140" t="str">
        <f>IF($L16="X","-",IF(O16="","-",IF(J16="M",VLOOKUP(O16,T100Pts!AO$5:AW$126,(L16+1)),IF(J16="F",VLOOKUP(O16,T100Pts!AY$5:BG$126,(L16+1)),""))))</f>
        <v>-</v>
      </c>
      <c r="Q16" s="157"/>
      <c r="R16" s="140" t="str">
        <f>IF(OR($L16="X",$L16=6,$L16=7),"-",IF(Q16="","-",IF(J16="M",VLOOKUP(Q16,T100Pts!BI$5:BN$44,(L16+1)),IF(J16="F",VLOOKUP(Q16,T100Pts!BU$5:BZ$44,(L16+1)),""))))</f>
        <v>-</v>
      </c>
      <c r="S16" s="155"/>
      <c r="T16" s="140" t="str">
        <f>IF($L16="X","-",IF(S16="","-",IF(J16="M",VLOOKUP(S16,T100Pts!A$5:I$1146,(L16+1)),IF(J16="F",VLOOKUP(S16,T100Pts!K$5:S$1147,(L16+1)),""))))</f>
        <v>-</v>
      </c>
      <c r="U16" s="141" t="str">
        <f t="shared" si="4"/>
        <v>-</v>
      </c>
      <c r="V16" s="79" t="str">
        <f t="shared" si="5"/>
        <v>-</v>
      </c>
      <c r="W16" s="155"/>
      <c r="X16" s="116" t="str">
        <f>IF($L16="X","-",IF(W16="","-",IF(J16="M",VLOOKUP(W16,T100Pts!U$5:AC$86,(L16+1)),IF(J16="F",VLOOKUP(W16,T100Pts!AE$5:AM$86,(L16+1)),""))))</f>
        <v>-</v>
      </c>
      <c r="Y16" s="163"/>
      <c r="Z16" s="116" t="str">
        <f>IF($L16="X","-",IF(Y16="","-",IF(J16="M",VLOOKUP(Y16,T100Pts!AO$5:AW$126,(L16+1)),IF(J16="F",VLOOKUP(Y16,T100Pts!AY$5:BG$126,(L16+1)),""))))</f>
        <v>-</v>
      </c>
      <c r="AA16" s="165"/>
      <c r="AB16" s="116" t="str">
        <f>IF(OR($L16="X",$L16=6,$L16=7),"-",IF(AA16="","-",IF(J16="M",VLOOKUP(AA16,T100Pts!BI$5:BN$44,(L16+1)),IF(J16="F",VLOOKUP(AA16,T100Pts!BU$5:BZ$44,(L16+1)),""))))</f>
        <v>-</v>
      </c>
      <c r="AC16" s="228"/>
      <c r="AD16" s="116" t="str">
        <f>IF($L16="X","-",IF(AC16="","-",IF(J16="M",VLOOKUP(AC16,T100Pts!A$5:I$1146,(L16+1)),IF(J16="F",VLOOKUP(AC16,T100Pts!K$5:S$1146,(L16+1)),""))))</f>
        <v>-</v>
      </c>
      <c r="AE16" s="117" t="str">
        <f t="shared" si="6"/>
        <v>-</v>
      </c>
      <c r="AF16" s="114" t="str">
        <f t="shared" si="7"/>
        <v>-</v>
      </c>
      <c r="AG16" s="115" t="e">
        <f t="shared" ref="AG16:AG78" si="8">AVERAGE(U16,AE16)</f>
        <v>#DIV/0!</v>
      </c>
      <c r="AH16" s="114" t="str">
        <f t="shared" si="1"/>
        <v>-</v>
      </c>
      <c r="AI16" s="161"/>
      <c r="AJ16" s="77" t="str">
        <f t="shared" si="2"/>
        <v/>
      </c>
    </row>
    <row r="17" spans="1:36" s="77" customFormat="1" ht="15.75" customHeight="1" x14ac:dyDescent="0.2">
      <c r="A17" s="138">
        <v>4</v>
      </c>
      <c r="B17" s="168"/>
      <c r="C17" s="137"/>
      <c r="D17" s="169"/>
      <c r="E17" s="170"/>
      <c r="F17" s="171"/>
      <c r="G17" s="172"/>
      <c r="H17" s="172"/>
      <c r="I17" s="139" t="str">
        <f>IF(OR(G17="",H17=""),"-",ROUND(G17/(H17^2),0))</f>
        <v>-</v>
      </c>
      <c r="J17" s="203" t="s">
        <v>140</v>
      </c>
      <c r="K17" s="137" t="str">
        <f>IF(F17&gt;0,DATEDIF(F17,$L$1,"Y"),"-")</f>
        <v>-</v>
      </c>
      <c r="L17" s="137" t="str">
        <f>IF(F17="","-",IF(K17&lt;&gt;"",VLOOKUP(K17,T100Pts!CH$4:CI$59,(2))))</f>
        <v>-</v>
      </c>
      <c r="M17" s="155"/>
      <c r="N17" s="137" t="str">
        <f>IF($L17="X","-",IF(M17="","-",IF(J17="M",VLOOKUP(M17,T100Pts!U$5:AC$86,(L17+1)),IF(J17="F",VLOOKUP(M17,T100Pts!AE$5:AM$86,(L17+1)),""))))</f>
        <v>-</v>
      </c>
      <c r="O17" s="156"/>
      <c r="P17" s="140" t="str">
        <f>IF($L17="X","-",IF(O17="","-",IF(J17="M",VLOOKUP(O17,T100Pts!AO$5:AW$126,(L17+1)),IF(J17="F",VLOOKUP(O17,T100Pts!AY$5:BG$126,(L17+1)),""))))</f>
        <v>-</v>
      </c>
      <c r="Q17" s="158"/>
      <c r="R17" s="140" t="str">
        <f>IF(OR($L17="X",$L17=6,$L17=7),"-",IF(Q17="","-",IF(J17="M",VLOOKUP(Q17,T100Pts!BI$5:BN$44,(L17+1)),IF(J17="F",VLOOKUP(Q17,T100Pts!BU$5:BZ$44,(L17+1)),""))))</f>
        <v>-</v>
      </c>
      <c r="S17" s="156"/>
      <c r="T17" s="140" t="str">
        <f>IF($L17="X","-",IF(S17="","-",IF(J17="M",VLOOKUP(S17,T100Pts!A$5:I$1146,(L17+1)),IF(J17="F",VLOOKUP(S17,T100Pts!K$5:S$1147,(L17+1)),""))))</f>
        <v>-</v>
      </c>
      <c r="U17" s="141" t="str">
        <f t="shared" si="4"/>
        <v>-</v>
      </c>
      <c r="V17" s="79" t="str">
        <f t="shared" si="5"/>
        <v>-</v>
      </c>
      <c r="W17" s="155"/>
      <c r="X17" s="116" t="str">
        <f>IF($L17="X","-",IF(W17="","-",IF(J17="M",VLOOKUP(W17,T100Pts!U$5:AC$86,(L17+1)),IF(J17="F",VLOOKUP(W17,T100Pts!AE$5:AM$86,(L17+1)),""))))</f>
        <v>-</v>
      </c>
      <c r="Y17" s="164"/>
      <c r="Z17" s="116" t="str">
        <f>IF($L17="X","-",IF(Y17="","-",IF(J17="M",VLOOKUP(Y17,T100Pts!AO$5:AW$126,(L17+1)),IF(J17="F",VLOOKUP(Y17,T100Pts!AY$5:BG$126,(L17+1)),""))))</f>
        <v>-</v>
      </c>
      <c r="AA17" s="166"/>
      <c r="AB17" s="116" t="str">
        <f>IF(OR($L17="X",$L17=6,$L17=7),"-",IF(AA17="","-",IF(J17="M",VLOOKUP(AA17,T100Pts!BI$5:BN$44,(L17+1)),IF(J17="F",VLOOKUP(AA17,T100Pts!BU$5:BZ$44,(L17+1)),""))))</f>
        <v>-</v>
      </c>
      <c r="AC17" s="164"/>
      <c r="AD17" s="116" t="str">
        <f>IF($L17="X","-",IF(AC17="","-",IF(J17="M",VLOOKUP(AC17,T100Pts!A$5:I$1146,(L17+1)),IF(J17="F",VLOOKUP(AC17,T100Pts!K$5:S$1146,(L17+1)),""))))</f>
        <v>-</v>
      </c>
      <c r="AE17" s="117" t="str">
        <f t="shared" si="6"/>
        <v>-</v>
      </c>
      <c r="AF17" s="114" t="str">
        <f t="shared" si="7"/>
        <v>-</v>
      </c>
      <c r="AG17" s="115" t="e">
        <f t="shared" si="8"/>
        <v>#DIV/0!</v>
      </c>
      <c r="AH17" s="114" t="str">
        <f t="shared" si="1"/>
        <v>-</v>
      </c>
      <c r="AI17" s="161" t="s">
        <v>194</v>
      </c>
      <c r="AJ17" s="77" t="str">
        <f t="shared" si="2"/>
        <v/>
      </c>
    </row>
    <row r="18" spans="1:36" s="77" customFormat="1" ht="15.75" customHeight="1" x14ac:dyDescent="0.2">
      <c r="A18" s="138">
        <v>5</v>
      </c>
      <c r="B18" s="168"/>
      <c r="C18" s="137"/>
      <c r="D18" s="169"/>
      <c r="E18" s="170"/>
      <c r="F18" s="171"/>
      <c r="G18" s="168"/>
      <c r="H18" s="168"/>
      <c r="I18" s="139" t="str">
        <f>IF(OR(G18="",H18=""),"-",ROUND(G18/(H18^2),0))</f>
        <v>-</v>
      </c>
      <c r="J18" s="203" t="s">
        <v>139</v>
      </c>
      <c r="K18" s="137" t="str">
        <f>IF(F18&gt;0,DATEDIF(F18,$L$1,"Y"),"-")</f>
        <v>-</v>
      </c>
      <c r="L18" s="137" t="str">
        <f>IF(F18="","-",IF(K18&lt;&gt;"",VLOOKUP(K18,T100Pts!CH$4:CI$59,(2))))</f>
        <v>-</v>
      </c>
      <c r="M18" s="155"/>
      <c r="N18" s="137" t="str">
        <f>IF($L18="X","-",IF(M18="","-",IF(J18="M",VLOOKUP(M18,T100Pts!U$5:AC$86,(L18+1)),IF(J18="F",VLOOKUP(M18,T100Pts!AE$5:AM$86,(L18+1)),""))))</f>
        <v>-</v>
      </c>
      <c r="O18" s="155"/>
      <c r="P18" s="140" t="str">
        <f>IF($L18="X","-",IF(O18="","-",IF(J18="M",VLOOKUP(O18,T100Pts!AO$5:AW$126,(L18+1)),IF(J18="F",VLOOKUP(O18,T100Pts!AY$5:BG$126,(L18+1)),""))))</f>
        <v>-</v>
      </c>
      <c r="Q18" s="157"/>
      <c r="R18" s="140" t="str">
        <f>IF(OR($L18="X",$L18=6,$L18=7),"-",IF(Q18="","-",IF(J18="M",VLOOKUP(Q18,T100Pts!BI$5:BN$44,(L18+1)),IF(J18="F",VLOOKUP(Q18,T100Pts!BU$5:BZ$44,(L18+1)),""))))</f>
        <v>-</v>
      </c>
      <c r="S18" s="155"/>
      <c r="T18" s="140" t="str">
        <f>IF($L18="X","-",IF(S18="","-",IF(J18="M",VLOOKUP(S18,T100Pts!A$5:I$1146,(L18+1)),IF(J18="F",VLOOKUP(S18,T100Pts!K$5:S$1147,(L18+1)),""))))</f>
        <v>-</v>
      </c>
      <c r="U18" s="141" t="str">
        <f t="shared" si="4"/>
        <v>-</v>
      </c>
      <c r="V18" s="79" t="str">
        <f t="shared" si="5"/>
        <v>-</v>
      </c>
      <c r="W18" s="155"/>
      <c r="X18" s="116" t="str">
        <f>IF($L18="X","-",IF(W18="","-",IF(J18="M",VLOOKUP(W18,T100Pts!U$5:AC$86,(L18+1)),IF(J18="F",VLOOKUP(W18,T100Pts!AE$5:AM$86,(L18+1)),""))))</f>
        <v>-</v>
      </c>
      <c r="Y18" s="163"/>
      <c r="Z18" s="116" t="str">
        <f>IF($L18="X","-",IF(Y18="","-",IF(J18="M",VLOOKUP(Y18,T100Pts!AO$5:AW$126,(L18+1)),IF(J18="F",VLOOKUP(Y18,T100Pts!AY$5:BG$126,(L18+1)),""))))</f>
        <v>-</v>
      </c>
      <c r="AA18" s="226"/>
      <c r="AB18" s="116" t="str">
        <f>IF(OR($L18="X",$L18=6,$L18=7),"-",IF(AA18="","-",IF(J18="M",VLOOKUP(AA18,T100Pts!BI$5:BN$44,(L18+1)),IF(J18="F",VLOOKUP(AA18,T100Pts!BU$5:BZ$44,(L18+1)),""))))</f>
        <v>-</v>
      </c>
      <c r="AC18" s="228"/>
      <c r="AD18" s="116" t="str">
        <f>IF($L18="X","-",IF(AC18="","-",IF(J18="M",VLOOKUP(AC18,T100Pts!A$5:I$1146,(L18+1)),IF(J18="F",VLOOKUP(AC18,T100Pts!K$5:S$1146,(L18+1)),""))))</f>
        <v>-</v>
      </c>
      <c r="AE18" s="117" t="str">
        <f t="shared" si="6"/>
        <v>-</v>
      </c>
      <c r="AF18" s="114" t="str">
        <f t="shared" si="7"/>
        <v>-</v>
      </c>
      <c r="AG18" s="115" t="e">
        <f t="shared" si="8"/>
        <v>#DIV/0!</v>
      </c>
      <c r="AH18" s="114" t="str">
        <f t="shared" si="1"/>
        <v>-</v>
      </c>
      <c r="AI18" s="161"/>
      <c r="AJ18" s="77" t="str">
        <f t="shared" si="2"/>
        <v/>
      </c>
    </row>
    <row r="19" spans="1:36" s="77" customFormat="1" ht="15.75" customHeight="1" x14ac:dyDescent="0.2">
      <c r="A19" s="138">
        <v>6</v>
      </c>
      <c r="B19" s="168"/>
      <c r="C19" s="137"/>
      <c r="D19" s="169"/>
      <c r="E19" s="170"/>
      <c r="F19" s="171"/>
      <c r="G19" s="172"/>
      <c r="H19" s="172"/>
      <c r="I19" s="139" t="str">
        <f>IF(OR(G19="",H19=""),"-",ROUND(G19/(H19^2),0))</f>
        <v>-</v>
      </c>
      <c r="J19" s="203" t="s">
        <v>139</v>
      </c>
      <c r="K19" s="153" t="str">
        <f>IF(F19&gt;0,DATEDIF(F19,$L$1,"Y"),"-")</f>
        <v>-</v>
      </c>
      <c r="L19" s="153" t="str">
        <f>IF(F19="","-",IF(K19&lt;&gt;"",VLOOKUP(K19,T100Pts!CH$4:CI$59,(2))))</f>
        <v>-</v>
      </c>
      <c r="M19" s="155"/>
      <c r="N19" s="153" t="str">
        <f>IF($L19="X","-",IF(M19="","-",IF(J19="M",VLOOKUP(M19,T100Pts!U$5:AC$86,(L19+1)),IF(J19="F",VLOOKUP(M19,T100Pts!AE$5:AM$86,(L19+1)),""))))</f>
        <v>-</v>
      </c>
      <c r="O19" s="155"/>
      <c r="P19" s="140" t="str">
        <f>IF($L19="X","-",IF(O19="","-",IF(J19="M",VLOOKUP(O19,T100Pts!AO$5:AW$126,(L19+1)),IF(J19="F",VLOOKUP(O19,T100Pts!AY$5:BG$126,(L19+1)),""))))</f>
        <v>-</v>
      </c>
      <c r="Q19" s="157"/>
      <c r="R19" s="140" t="str">
        <f>IF(OR($L19="X",$L19=6,$L19=7),"-",IF(Q19="","-",IF(J19="M",VLOOKUP(Q19,T100Pts!BI$5:BN$44,(L19+1)),IF(J19="F",VLOOKUP(Q19,T100Pts!BU$5:BZ$44,(L19+1)),""))))</f>
        <v>-</v>
      </c>
      <c r="S19" s="155"/>
      <c r="T19" s="140" t="str">
        <f>IF($L19="X","-",IF(S19="","-",IF(J19="M",VLOOKUP(S19,T100Pts!A$5:I$1146,(L19+1)),IF(J19="F",VLOOKUP(S19,T100Pts!K$5:S$1147,(L19+1)),""))))</f>
        <v>-</v>
      </c>
      <c r="U19" s="141" t="str">
        <f t="shared" si="4"/>
        <v>-</v>
      </c>
      <c r="V19" s="79" t="str">
        <f t="shared" si="5"/>
        <v>-</v>
      </c>
      <c r="W19" s="155"/>
      <c r="X19" s="116" t="str">
        <f>IF($L19="X","-",IF(W19="","-",IF(J19="M",VLOOKUP(W19,T100Pts!U$5:AC$86,(L19+1)),IF(J19="F",VLOOKUP(W19,T100Pts!AE$5:AM$86,(L19+1)),""))))</f>
        <v>-</v>
      </c>
      <c r="Y19" s="163"/>
      <c r="Z19" s="116" t="str">
        <f>IF($L19="X","-",IF(Y19="","-",IF(J19="M",VLOOKUP(Y19,T100Pts!AO$5:AW$126,(L19+1)),IF(J19="F",VLOOKUP(Y19,T100Pts!AY$5:BG$126,(L19+1)),""))))</f>
        <v>-</v>
      </c>
      <c r="AA19" s="165"/>
      <c r="AB19" s="116" t="str">
        <f>IF(OR($L19="X",$L19=6,$L19=7),"-",IF(AA19="","-",IF(J19="M",VLOOKUP(AA19,T100Pts!BI$5:BN$44,(L19+1)),IF(J19="F",VLOOKUP(AA19,T100Pts!BU$5:BZ$44,(L19+1)),""))))</f>
        <v>-</v>
      </c>
      <c r="AC19" s="228"/>
      <c r="AD19" s="116" t="str">
        <f>IF($L19="X","-",IF(AC19="","-",IF(J19="M",VLOOKUP(AC19,T100Pts!A$5:I$1146,(L19+1)),IF(J19="F",VLOOKUP(AC19,T100Pts!K$5:S$1146,(L19+1)),""))))</f>
        <v>-</v>
      </c>
      <c r="AE19" s="117" t="str">
        <f t="shared" si="6"/>
        <v>-</v>
      </c>
      <c r="AF19" s="114" t="str">
        <f t="shared" si="7"/>
        <v>-</v>
      </c>
      <c r="AG19" s="115" t="e">
        <f t="shared" si="8"/>
        <v>#DIV/0!</v>
      </c>
      <c r="AH19" s="114" t="str">
        <f t="shared" si="1"/>
        <v>-</v>
      </c>
      <c r="AI19" s="161"/>
      <c r="AJ19" s="77" t="str">
        <f t="shared" si="2"/>
        <v/>
      </c>
    </row>
    <row r="20" spans="1:36" s="77" customFormat="1" ht="15.75" customHeight="1" x14ac:dyDescent="0.2">
      <c r="A20" s="138">
        <v>7</v>
      </c>
      <c r="B20" s="168"/>
      <c r="C20" s="137"/>
      <c r="D20" s="169"/>
      <c r="E20" s="170"/>
      <c r="F20" s="171"/>
      <c r="G20" s="172"/>
      <c r="H20" s="172"/>
      <c r="I20" s="139" t="str">
        <f t="shared" si="0"/>
        <v>-</v>
      </c>
      <c r="J20" s="203" t="s">
        <v>139</v>
      </c>
      <c r="K20" s="137" t="str">
        <f t="shared" si="3"/>
        <v>-</v>
      </c>
      <c r="L20" s="137" t="str">
        <f>IF(F20="","-",IF(K20&lt;&gt;"",VLOOKUP(K20,T100Pts!CH$4:CI$59,(2))))</f>
        <v>-</v>
      </c>
      <c r="M20" s="155"/>
      <c r="N20" s="137" t="str">
        <f>IF($L20="X","-",IF(M20="","-",IF(J20="M",VLOOKUP(M20,T100Pts!U$5:AC$86,(L20+1)),IF(J20="F",VLOOKUP(M20,T100Pts!AE$5:AM$86,(L20+1)),""))))</f>
        <v>-</v>
      </c>
      <c r="O20" s="155"/>
      <c r="P20" s="140" t="str">
        <f>IF($L20="X","-",IF(O20="","-",IF(J20="M",VLOOKUP(O20,T100Pts!AO$5:AW$126,(L20+1)),IF(J20="F",VLOOKUP(O20,T100Pts!AY$5:BG$126,(L20+1)),""))))</f>
        <v>-</v>
      </c>
      <c r="Q20" s="157"/>
      <c r="R20" s="140" t="str">
        <f>IF(OR($L20="X",$L20=6,$L20=7),"-",IF(Q20="","-",IF(J20="M",VLOOKUP(Q20,T100Pts!BI$5:BN$44,(L20+1)),IF(J20="F",VLOOKUP(Q20,T100Pts!BU$5:BZ$44,(L20+1)),""))))</f>
        <v>-</v>
      </c>
      <c r="S20" s="155"/>
      <c r="T20" s="140" t="str">
        <f>IF($L20="X","-",IF(S20="","-",IF(J20="M",VLOOKUP(S20,T100Pts!A$5:I$1146,(L20+1)),IF(J20="F",VLOOKUP(S20,T100Pts!K$5:S$1147,(L20+1)),""))))</f>
        <v>-</v>
      </c>
      <c r="U20" s="141" t="str">
        <f t="shared" si="4"/>
        <v>-</v>
      </c>
      <c r="V20" s="79" t="str">
        <f t="shared" si="5"/>
        <v>-</v>
      </c>
      <c r="W20" s="155"/>
      <c r="X20" s="116" t="str">
        <f>IF($L20="X","-",IF(W20="","-",IF(J20="M",VLOOKUP(W20,T100Pts!U$5:AC$86,(L20+1)),IF(J20="F",VLOOKUP(W20,T100Pts!AE$5:AM$86,(L20+1)),""))))</f>
        <v>-</v>
      </c>
      <c r="Y20" s="163"/>
      <c r="Z20" s="116" t="str">
        <f>IF($L20="X","-",IF(Y20="","-",IF(J20="M",VLOOKUP(Y20,T100Pts!AO$5:AW$126,(L20+1)),IF(J20="F",VLOOKUP(Y20,T100Pts!AY$5:BG$126,(L20+1)),""))))</f>
        <v>-</v>
      </c>
      <c r="AA20" s="165"/>
      <c r="AB20" s="116" t="str">
        <f>IF(OR($L20="X",$L20=6,$L20=7),"-",IF(AA20="","-",IF(J20="M",VLOOKUP(AA20,T100Pts!BI$5:BN$44,(L20+1)),IF(J20="F",VLOOKUP(AA20,T100Pts!BU$5:BZ$44,(L20+1)),""))))</f>
        <v>-</v>
      </c>
      <c r="AC20" s="227"/>
      <c r="AD20" s="116" t="str">
        <f>IF($L20="X","-",IF(AC20="","-",IF(J20="M",VLOOKUP(AC20,T100Pts!A$5:I$1146,(L20+1)),IF(J20="F",VLOOKUP(AC20,T100Pts!K$5:S$1146,(L20+1)),""))))</f>
        <v>-</v>
      </c>
      <c r="AE20" s="117" t="str">
        <f t="shared" si="6"/>
        <v>-</v>
      </c>
      <c r="AF20" s="114" t="str">
        <f t="shared" si="7"/>
        <v>-</v>
      </c>
      <c r="AG20" s="115" t="e">
        <f t="shared" si="8"/>
        <v>#DIV/0!</v>
      </c>
      <c r="AH20" s="114" t="str">
        <f t="shared" si="1"/>
        <v>-</v>
      </c>
      <c r="AI20" s="161"/>
      <c r="AJ20" s="77" t="str">
        <f t="shared" si="2"/>
        <v/>
      </c>
    </row>
    <row r="21" spans="1:36" s="77" customFormat="1" ht="15.75" customHeight="1" x14ac:dyDescent="0.25">
      <c r="A21" s="138">
        <v>8</v>
      </c>
      <c r="B21" s="137"/>
      <c r="C21" s="137"/>
      <c r="D21" s="174"/>
      <c r="E21" s="175"/>
      <c r="F21" s="176"/>
      <c r="G21" s="177"/>
      <c r="H21" s="178"/>
      <c r="I21" s="139" t="str">
        <f t="shared" si="0"/>
        <v>-</v>
      </c>
      <c r="J21" s="181" t="s">
        <v>139</v>
      </c>
      <c r="K21" s="137" t="str">
        <f t="shared" si="3"/>
        <v>-</v>
      </c>
      <c r="L21" s="137" t="str">
        <f>IF(F21="","-",IF(K21&lt;&gt;"",VLOOKUP(K21,T100Pts!CH$4:CI$59,(2))))</f>
        <v>-</v>
      </c>
      <c r="M21" s="155"/>
      <c r="N21" s="137" t="str">
        <f>IF($L21="X","-",IF(M21="","-",IF(J21="M",VLOOKUP(M21,T100Pts!U$5:AC$86,(L21+1)),IF(J21="F",VLOOKUP(M21,T100Pts!AE$5:AM$86,(L21+1)),""))))</f>
        <v>-</v>
      </c>
      <c r="O21" s="155"/>
      <c r="P21" s="140" t="str">
        <f>IF($L21="X","-",IF(O21="","-",IF(J21="M",VLOOKUP(O21,T100Pts!AO$5:AW$126,(L21+1)),IF(J21="F",VLOOKUP(O21,T100Pts!AY$5:BG$126,(L21+1)),""))))</f>
        <v>-</v>
      </c>
      <c r="Q21" s="157"/>
      <c r="R21" s="140" t="str">
        <f>IF(OR($L21="X",$L21=6,$L21=7),"-",IF(Q21="","-",IF(J21="M",VLOOKUP(Q21,T100Pts!BI$5:BN$44,(L21+1)),IF(J21="F",VLOOKUP(Q21,T100Pts!BU$5:BZ$44,(L21+1)),""))))</f>
        <v>-</v>
      </c>
      <c r="S21" s="155"/>
      <c r="T21" s="140" t="str">
        <f>IF($L21="X","-",IF(S21="","-",IF(J21="M",VLOOKUP(S21,T100Pts!A$5:I$1146,(L21+1)),IF(J21="F",VLOOKUP(S21,T100Pts!K$5:S$1147,(L21+1)),""))))</f>
        <v>-</v>
      </c>
      <c r="U21" s="141" t="str">
        <f t="shared" si="4"/>
        <v>-</v>
      </c>
      <c r="V21" s="79" t="str">
        <f t="shared" si="5"/>
        <v>-</v>
      </c>
      <c r="W21" s="155"/>
      <c r="X21" s="116" t="str">
        <f>IF($L21="X","-",IF(W21="","-",IF(J21="M",VLOOKUP(W21,T100Pts!U$5:AC$86,(L21+1)),IF(J21="F",VLOOKUP(W21,T100Pts!AE$5:AM$86,(L21+1)),""))))</f>
        <v>-</v>
      </c>
      <c r="Y21" s="163"/>
      <c r="Z21" s="116" t="str">
        <f>IF($L21="X","-",IF(Y21="","-",IF(J21="M",VLOOKUP(Y21,T100Pts!AO$5:AW$126,(L21+1)),IF(J21="F",VLOOKUP(Y21,T100Pts!AY$5:BG$126,(L21+1)),""))))</f>
        <v>-</v>
      </c>
      <c r="AA21" s="165"/>
      <c r="AB21" s="116" t="str">
        <f>IF(OR($L21="X",$L21=6,$L21=7),"-",IF(AA21="","-",IF(J21="M",VLOOKUP(AA21,T100Pts!BI$5:BN$44,(L21+1)),IF(J21="F",VLOOKUP(AA21,T100Pts!BU$5:BZ$44,(L21+1)),""))))</f>
        <v>-</v>
      </c>
      <c r="AC21" s="163"/>
      <c r="AD21" s="116" t="str">
        <f>IF($L21="X","-",IF(AC21="","-",IF(J21="M",VLOOKUP(AC21,T100Pts!A$5:I$1146,(L21+1)),IF(J21="F",VLOOKUP(AC21,T100Pts!K$5:S$1146,(L21+1)),""))))</f>
        <v>-</v>
      </c>
      <c r="AE21" s="117" t="str">
        <f t="shared" si="6"/>
        <v>-</v>
      </c>
      <c r="AF21" s="114" t="str">
        <f t="shared" si="7"/>
        <v>-</v>
      </c>
      <c r="AG21" s="115" t="e">
        <f t="shared" si="8"/>
        <v>#DIV/0!</v>
      </c>
      <c r="AH21" s="114" t="str">
        <f t="shared" si="1"/>
        <v>-</v>
      </c>
      <c r="AI21" s="161" t="s">
        <v>206</v>
      </c>
      <c r="AJ21" s="77" t="str">
        <f t="shared" si="2"/>
        <v/>
      </c>
    </row>
    <row r="22" spans="1:36" s="77" customFormat="1" ht="15.75" customHeight="1" x14ac:dyDescent="0.25">
      <c r="A22" s="138">
        <v>9</v>
      </c>
      <c r="B22" s="137"/>
      <c r="C22" s="137"/>
      <c r="D22" s="174"/>
      <c r="E22" s="175"/>
      <c r="F22" s="176"/>
      <c r="G22" s="177"/>
      <c r="H22" s="178"/>
      <c r="I22" s="139" t="str">
        <f>IF(OR(G22="",H22=""),"-",ROUND(G22/(H22^2),0))</f>
        <v>-</v>
      </c>
      <c r="J22" s="181" t="s">
        <v>139</v>
      </c>
      <c r="K22" s="137" t="str">
        <f t="shared" si="3"/>
        <v>-</v>
      </c>
      <c r="L22" s="137" t="str">
        <f>IF(F22="","-",IF(K22&lt;&gt;"",VLOOKUP(K22,T100Pts!CH$4:CI$59,(2))))</f>
        <v>-</v>
      </c>
      <c r="M22" s="155"/>
      <c r="N22" s="137" t="str">
        <f>IF($L22="X","-",IF(M22="","-",IF(J22="M",VLOOKUP(M22,T100Pts!U$5:AC$86,(L22+1)),IF(J22="F",VLOOKUP(M22,T100Pts!AE$5:AM$86,(L22+1)),""))))</f>
        <v>-</v>
      </c>
      <c r="O22" s="155"/>
      <c r="P22" s="140" t="str">
        <f>IF($L22="X","-",IF(O22="","-",IF(J22="M",VLOOKUP(O22,T100Pts!AO$5:AW$126,(L22+1)),IF(J22="F",VLOOKUP(O22,T100Pts!AY$5:BG$126,(L22+1)),""))))</f>
        <v>-</v>
      </c>
      <c r="Q22" s="157"/>
      <c r="R22" s="140" t="str">
        <f>IF(OR($L22="X",$L22=6,$L22=7),"-",IF(Q22="","-",IF(J22="M",VLOOKUP(Q22,T100Pts!BI$5:BN$44,(L22+1)),IF(J22="F",VLOOKUP(Q22,T100Pts!BU$5:BZ$44,(L22+1)),""))))</f>
        <v>-</v>
      </c>
      <c r="S22" s="155"/>
      <c r="T22" s="140" t="str">
        <f>IF($L22="X","-",IF(S22="","-",IF(J22="M",VLOOKUP(S22,T100Pts!A$5:I$1146,(L22+1)),IF(J22="F",VLOOKUP(S22,T100Pts!K$5:S$1147,(L22+1)),""))))</f>
        <v>-</v>
      </c>
      <c r="U22" s="141" t="str">
        <f t="shared" si="4"/>
        <v>-</v>
      </c>
      <c r="V22" s="79" t="str">
        <f t="shared" si="5"/>
        <v>-</v>
      </c>
      <c r="W22" s="155"/>
      <c r="X22" s="116" t="str">
        <f>IF($L22="X","-",IF(W22="","-",IF(J22="M",VLOOKUP(W22,T100Pts!U$5:AC$86,(L22+1)),IF(J22="F",VLOOKUP(W22,T100Pts!AE$5:AM$86,(L22+1)),""))))</f>
        <v>-</v>
      </c>
      <c r="Y22" s="163"/>
      <c r="Z22" s="116" t="str">
        <f>IF($L22="X","-",IF(Y22="","-",IF(J22="M",VLOOKUP(Y22,T100Pts!AO$5:AW$126,(L22+1)),IF(J22="F",VLOOKUP(Y22,T100Pts!AY$5:BG$126,(L22+1)),""))))</f>
        <v>-</v>
      </c>
      <c r="AA22" s="165"/>
      <c r="AB22" s="116" t="str">
        <f>IF(OR($L22="X",$L22=6,$L22=7),"-",IF(AA22="","-",IF(J22="M",VLOOKUP(AA22,T100Pts!BI$5:BN$44,(L22+1)),IF(J22="F",VLOOKUP(AA22,T100Pts!BU$5:BZ$44,(L22+1)),""))))</f>
        <v>-</v>
      </c>
      <c r="AC22" s="227"/>
      <c r="AD22" s="116" t="str">
        <f>IF($L22="X","-",IF(AC22="","-",IF(J22="M",VLOOKUP(AC22,T100Pts!A$5:I$1146,(L22+1)),IF(J22="F",VLOOKUP(AC22,T100Pts!K$5:S$1146,(L22+1)),""))))</f>
        <v>-</v>
      </c>
      <c r="AE22" s="117" t="str">
        <f t="shared" si="6"/>
        <v>-</v>
      </c>
      <c r="AF22" s="114" t="str">
        <f t="shared" si="7"/>
        <v>-</v>
      </c>
      <c r="AG22" s="115" t="e">
        <f t="shared" si="8"/>
        <v>#DIV/0!</v>
      </c>
      <c r="AH22" s="114" t="str">
        <f t="shared" si="1"/>
        <v>-</v>
      </c>
      <c r="AI22" s="161"/>
      <c r="AJ22" s="77" t="str">
        <f t="shared" si="2"/>
        <v/>
      </c>
    </row>
    <row r="23" spans="1:36" s="77" customFormat="1" ht="15.75" customHeight="1" x14ac:dyDescent="0.2">
      <c r="A23" s="138">
        <v>10</v>
      </c>
      <c r="B23" s="137"/>
      <c r="C23" s="137"/>
      <c r="D23" s="169"/>
      <c r="E23" s="170"/>
      <c r="F23" s="171"/>
      <c r="G23" s="172"/>
      <c r="H23" s="172"/>
      <c r="I23" s="139" t="str">
        <f t="shared" si="0"/>
        <v>-</v>
      </c>
      <c r="J23" s="203" t="s">
        <v>140</v>
      </c>
      <c r="K23" s="137" t="str">
        <f t="shared" si="3"/>
        <v>-</v>
      </c>
      <c r="L23" s="137" t="str">
        <f>IF(F23="","-",IF(K23&lt;&gt;"",VLOOKUP(K23,T100Pts!CH$4:CI$59,(2))))</f>
        <v>-</v>
      </c>
      <c r="M23" s="155"/>
      <c r="N23" s="137" t="str">
        <f>IF($L23="X","-",IF(M23="","-",IF(J23="M",VLOOKUP(M23,T100Pts!U$5:AC$86,(L23+1)),IF(J23="F",VLOOKUP(M23,T100Pts!AE$5:AM$86,(L23+1)),""))))</f>
        <v>-</v>
      </c>
      <c r="O23" s="155"/>
      <c r="P23" s="140" t="str">
        <f>IF($L23="X","-",IF(O23="","-",IF(J23="M",VLOOKUP(O23,T100Pts!AO$5:AW$126,(L23+1)),IF(J23="F",VLOOKUP(O23,T100Pts!AY$5:BG$126,(L23+1)),""))))</f>
        <v>-</v>
      </c>
      <c r="Q23" s="157"/>
      <c r="R23" s="140" t="str">
        <f>IF(OR($L23="X",$L23=6,$L23=7),"-",IF(Q23="","-",IF(J23="M",VLOOKUP(Q23,T100Pts!BI$5:BN$44,(L23+1)),IF(J23="F",VLOOKUP(Q23,T100Pts!BU$5:BZ$44,(L23+1)),""))))</f>
        <v>-</v>
      </c>
      <c r="S23" s="155"/>
      <c r="T23" s="140" t="str">
        <f>IF($L23="X","-",IF(S23="","-",IF(J23="M",VLOOKUP(S23,T100Pts!A$5:I$1146,(L23+1)),IF(J23="F",VLOOKUP(S23,T100Pts!K$5:S$1147,(L23+1)),""))))</f>
        <v>-</v>
      </c>
      <c r="U23" s="141" t="str">
        <f t="shared" si="4"/>
        <v>-</v>
      </c>
      <c r="V23" s="79" t="str">
        <f t="shared" si="5"/>
        <v>-</v>
      </c>
      <c r="W23" s="155"/>
      <c r="X23" s="116" t="str">
        <f>IF($L23="X","-",IF(W23="","-",IF(J23="M",VLOOKUP(W23,T100Pts!U$5:AC$86,(L23+1)),IF(J23="F",VLOOKUP(W23,T100Pts!AE$5:AM$86,(L23+1)),""))))</f>
        <v>-</v>
      </c>
      <c r="Y23" s="163"/>
      <c r="Z23" s="116" t="str">
        <f>IF($L23="X","-",IF(Y23="","-",IF(J23="M",VLOOKUP(Y23,T100Pts!AO$5:AW$126,(L23+1)),IF(J23="F",VLOOKUP(Y23,T100Pts!AY$5:BG$126,(L23+1)),""))))</f>
        <v>-</v>
      </c>
      <c r="AA23" s="165"/>
      <c r="AB23" s="116" t="str">
        <f>IF(OR($L23="X",$L23=6,$L23=7),"-",IF(AA23="","-",IF(J23="M",VLOOKUP(AA23,T100Pts!BI$5:BN$44,(L23+1)),IF(J23="F",VLOOKUP(AA23,T100Pts!BU$5:BZ$44,(L23+1)),""))))</f>
        <v>-</v>
      </c>
      <c r="AC23" s="227"/>
      <c r="AD23" s="116" t="str">
        <f>IF($L23="X","-",IF(AC23="","-",IF(J23="M",VLOOKUP(AC23,T100Pts!A$5:I$1146,(L23+1)),IF(J23="F",VLOOKUP(AC23,T100Pts!K$5:S$1146,(L23+1)),""))))</f>
        <v>-</v>
      </c>
      <c r="AE23" s="117" t="str">
        <f t="shared" si="6"/>
        <v>-</v>
      </c>
      <c r="AF23" s="114" t="str">
        <f t="shared" si="7"/>
        <v>-</v>
      </c>
      <c r="AG23" s="115" t="e">
        <f t="shared" si="8"/>
        <v>#DIV/0!</v>
      </c>
      <c r="AH23" s="114" t="str">
        <f t="shared" si="1"/>
        <v>-</v>
      </c>
      <c r="AI23" s="161"/>
      <c r="AJ23" s="77" t="str">
        <f t="shared" si="2"/>
        <v/>
      </c>
    </row>
    <row r="24" spans="1:36" s="77" customFormat="1" ht="15.75" customHeight="1" x14ac:dyDescent="0.2">
      <c r="A24" s="138">
        <v>11</v>
      </c>
      <c r="B24" s="137"/>
      <c r="C24" s="137"/>
      <c r="D24" s="169"/>
      <c r="E24" s="170"/>
      <c r="F24" s="171"/>
      <c r="G24" s="172"/>
      <c r="H24" s="172"/>
      <c r="I24" s="139" t="str">
        <f t="shared" si="0"/>
        <v>-</v>
      </c>
      <c r="J24" s="203" t="s">
        <v>139</v>
      </c>
      <c r="K24" s="137" t="str">
        <f t="shared" si="3"/>
        <v>-</v>
      </c>
      <c r="L24" s="137" t="str">
        <f>IF(F24="","-",IF(K24&lt;&gt;"",VLOOKUP(K24,T100Pts!CH$4:CI$59,(2))))</f>
        <v>-</v>
      </c>
      <c r="M24" s="155"/>
      <c r="N24" s="137" t="str">
        <f>IF($L24="X","-",IF(M24="","-",IF(J24="M",VLOOKUP(M24,T100Pts!U$5:AC$86,(L24+1)),IF(J24="F",VLOOKUP(M24,T100Pts!AE$5:AM$86,(L24+1)),""))))</f>
        <v>-</v>
      </c>
      <c r="O24" s="155"/>
      <c r="P24" s="140" t="str">
        <f>IF($L24="X","-",IF(O24="","-",IF(J24="M",VLOOKUP(O24,T100Pts!AO$5:AW$126,(L24+1)),IF(J24="F",VLOOKUP(O24,T100Pts!AY$5:BG$126,(L24+1)),""))))</f>
        <v>-</v>
      </c>
      <c r="Q24" s="157"/>
      <c r="R24" s="140" t="str">
        <f>IF(OR($L24="X",$L24=6,$L24=7),"-",IF(Q24="","-",IF(J24="M",VLOOKUP(Q24,T100Pts!BI$5:BN$44,(L24+1)),IF(J24="F",VLOOKUP(Q24,T100Pts!BU$5:BZ$44,(L24+1)),""))))</f>
        <v>-</v>
      </c>
      <c r="S24" s="155"/>
      <c r="T24" s="140" t="str">
        <f>IF($L24="X","-",IF(S24="","-",IF(J24="M",VLOOKUP(S24,T100Pts!A$5:I$1146,(L24+1)),IF(J24="F",VLOOKUP(S24,T100Pts!K$5:S$1147,(L24+1)),""))))</f>
        <v>-</v>
      </c>
      <c r="U24" s="141" t="str">
        <f t="shared" si="4"/>
        <v>-</v>
      </c>
      <c r="V24" s="79" t="str">
        <f t="shared" si="5"/>
        <v>-</v>
      </c>
      <c r="W24" s="155"/>
      <c r="X24" s="116" t="str">
        <f>IF($L24="X","-",IF(W24="","-",IF(J24="M",VLOOKUP(W24,T100Pts!U$5:AC$86,(L24+1)),IF(J24="F",VLOOKUP(W24,T100Pts!AE$5:AM$86,(L24+1)),""))))</f>
        <v>-</v>
      </c>
      <c r="Y24" s="163"/>
      <c r="Z24" s="116" t="str">
        <f>IF($L24="X","-",IF(Y24="","-",IF(J24="M",VLOOKUP(Y24,T100Pts!AO$5:AW$126,(L24+1)),IF(J24="F",VLOOKUP(Y24,T100Pts!AY$5:BG$126,(L24+1)),""))))</f>
        <v>-</v>
      </c>
      <c r="AA24" s="165"/>
      <c r="AB24" s="116" t="str">
        <f>IF(OR($L24="X",$L24=6,$L24=7),"-",IF(AA24="","-",IF(J24="M",VLOOKUP(AA24,T100Pts!BI$5:BN$44,(L24+1)),IF(J24="F",VLOOKUP(AA24,T100Pts!BU$5:BZ$44,(L24+1)),""))))</f>
        <v>-</v>
      </c>
      <c r="AC24" s="163"/>
      <c r="AD24" s="116" t="str">
        <f>IF($L24="X","-",IF(AC24="","-",IF(J24="M",VLOOKUP(AC24,T100Pts!A$5:I$1146,(L24+1)),IF(J24="F",VLOOKUP(AC24,T100Pts!K$5:S$1146,(L24+1)),""))))</f>
        <v>-</v>
      </c>
      <c r="AE24" s="117" t="str">
        <f t="shared" si="6"/>
        <v>-</v>
      </c>
      <c r="AF24" s="114" t="str">
        <f t="shared" si="7"/>
        <v>-</v>
      </c>
      <c r="AG24" s="115" t="e">
        <f t="shared" si="8"/>
        <v>#DIV/0!</v>
      </c>
      <c r="AH24" s="114" t="str">
        <f t="shared" si="1"/>
        <v>-</v>
      </c>
      <c r="AI24" s="161"/>
      <c r="AJ24" s="77" t="str">
        <f t="shared" si="2"/>
        <v/>
      </c>
    </row>
    <row r="25" spans="1:36" s="77" customFormat="1" ht="15.75" customHeight="1" x14ac:dyDescent="0.2">
      <c r="A25" s="138">
        <v>12</v>
      </c>
      <c r="B25" s="137"/>
      <c r="C25" s="137"/>
      <c r="D25" s="169"/>
      <c r="E25" s="170"/>
      <c r="F25" s="171"/>
      <c r="G25" s="172"/>
      <c r="H25" s="172"/>
      <c r="I25" s="139" t="str">
        <f t="shared" si="0"/>
        <v>-</v>
      </c>
      <c r="J25" s="203" t="s">
        <v>139</v>
      </c>
      <c r="K25" s="137" t="str">
        <f t="shared" si="3"/>
        <v>-</v>
      </c>
      <c r="L25" s="137" t="str">
        <f>IF(F25="","-",IF(K25&lt;&gt;"",VLOOKUP(K25,T100Pts!CH$4:CI$59,(2))))</f>
        <v>-</v>
      </c>
      <c r="M25" s="155"/>
      <c r="N25" s="137" t="str">
        <f>IF($L25="X","-",IF(M25="","-",IF(J25="M",VLOOKUP(M25,T100Pts!U$5:AC$86,(L25+1)),IF(J25="F",VLOOKUP(M25,T100Pts!AE$5:AM$86,(L25+1)),""))))</f>
        <v>-</v>
      </c>
      <c r="O25" s="155"/>
      <c r="P25" s="140" t="str">
        <f>IF($L25="X","-",IF(O25="","-",IF(J25="M",VLOOKUP(O25,T100Pts!AO$5:AW$126,(L25+1)),IF(J25="F",VLOOKUP(O25,T100Pts!AY$5:BG$126,(L25+1)),""))))</f>
        <v>-</v>
      </c>
      <c r="Q25" s="157"/>
      <c r="R25" s="140" t="str">
        <f>IF(OR($L25="X",$L25=6,$L25=7),"-",IF(Q25="","-",IF(J25="M",VLOOKUP(Q25,T100Pts!BI$5:BN$44,(L25+1)),IF(J25="F",VLOOKUP(Q25,T100Pts!BU$5:BZ$44,(L25+1)),""))))</f>
        <v>-</v>
      </c>
      <c r="S25" s="155"/>
      <c r="T25" s="140" t="str">
        <f>IF($L25="X","-",IF(S25="","-",IF(J25="M",VLOOKUP(S25,T100Pts!A$5:I$1146,(L25+1)),IF(J25="F",VLOOKUP(S25,T100Pts!K$5:S$1147,(L25+1)),""))))</f>
        <v>-</v>
      </c>
      <c r="U25" s="141" t="str">
        <f t="shared" si="4"/>
        <v>-</v>
      </c>
      <c r="V25" s="79" t="str">
        <f t="shared" si="5"/>
        <v>-</v>
      </c>
      <c r="W25" s="155"/>
      <c r="X25" s="116" t="str">
        <f>IF($L25="X","-",IF(W25="","-",IF(J25="M",VLOOKUP(W25,T100Pts!U$5:AC$86,(L25+1)),IF(J25="F",VLOOKUP(W25,T100Pts!AE$5:AM$86,(L25+1)),""))))</f>
        <v>-</v>
      </c>
      <c r="Y25" s="163"/>
      <c r="Z25" s="116" t="str">
        <f>IF($L25="X","-",IF(Y25="","-",IF(J25="M",VLOOKUP(Y25,T100Pts!AO$5:AW$126,(L25+1)),IF(J25="F",VLOOKUP(Y25,T100Pts!AY$5:BG$126,(L25+1)),""))))</f>
        <v>-</v>
      </c>
      <c r="AA25" s="165"/>
      <c r="AB25" s="116" t="str">
        <f>IF(OR($L25="X",$L25=6,$L25=7),"-",IF(AA25="","-",IF(J25="M",VLOOKUP(AA25,T100Pts!BI$5:BN$44,(L25+1)),IF(J25="F",VLOOKUP(AA25,T100Pts!BU$5:BZ$44,(L25+1)),""))))</f>
        <v>-</v>
      </c>
      <c r="AC25" s="163"/>
      <c r="AD25" s="116" t="str">
        <f>IF($L25="X","-",IF(AC25="","-",IF(J25="M",VLOOKUP(AC25,T100Pts!A$5:I$1146,(L25+1)),IF(J25="F",VLOOKUP(AC25,T100Pts!K$5:S$1146,(L25+1)),""))))</f>
        <v>-</v>
      </c>
      <c r="AE25" s="117" t="str">
        <f t="shared" si="6"/>
        <v>-</v>
      </c>
      <c r="AF25" s="114" t="str">
        <f t="shared" si="7"/>
        <v>-</v>
      </c>
      <c r="AG25" s="115" t="e">
        <f t="shared" si="8"/>
        <v>#DIV/0!</v>
      </c>
      <c r="AH25" s="114" t="str">
        <f t="shared" si="1"/>
        <v>-</v>
      </c>
      <c r="AI25" s="161" t="s">
        <v>207</v>
      </c>
      <c r="AJ25" s="77" t="str">
        <f t="shared" si="2"/>
        <v/>
      </c>
    </row>
    <row r="26" spans="1:36" s="77" customFormat="1" ht="15.75" customHeight="1" x14ac:dyDescent="0.2">
      <c r="A26" s="138">
        <v>13</v>
      </c>
      <c r="B26" s="168"/>
      <c r="C26" s="137"/>
      <c r="D26" s="169"/>
      <c r="E26" s="170"/>
      <c r="F26" s="171"/>
      <c r="G26" s="172"/>
      <c r="H26" s="172"/>
      <c r="I26" s="139" t="str">
        <f t="shared" ref="I26:I33" si="9">IF(OR(G26="",H26=""),"-",ROUND(G26/(H26^2),0))</f>
        <v>-</v>
      </c>
      <c r="J26" s="203" t="s">
        <v>139</v>
      </c>
      <c r="K26" s="137" t="str">
        <f t="shared" si="3"/>
        <v>-</v>
      </c>
      <c r="L26" s="137" t="str">
        <f>IF(F26="","-",IF(K26&lt;&gt;"",VLOOKUP(K26,T100Pts!CH$4:CI$59,(2))))</f>
        <v>-</v>
      </c>
      <c r="M26" s="155"/>
      <c r="N26" s="137" t="str">
        <f>IF($L26="X","-",IF(M26="","-",IF(J26="M",VLOOKUP(M26,T100Pts!U$5:AC$86,(L26+1)),IF(J26="F",VLOOKUP(M26,T100Pts!AE$5:AM$86,(L26+1)),""))))</f>
        <v>-</v>
      </c>
      <c r="O26" s="155"/>
      <c r="P26" s="140" t="str">
        <f>IF($L26="X","-",IF(O26="","-",IF(J26="M",VLOOKUP(O26,T100Pts!AO$5:AW$126,(L26+1)),IF(J26="F",VLOOKUP(O26,T100Pts!AY$5:BG$126,(L26+1)),""))))</f>
        <v>-</v>
      </c>
      <c r="Q26" s="157"/>
      <c r="R26" s="140" t="str">
        <f>IF(OR($L26="X",$L26=6,$L26=7),"-",IF(Q26="","-",IF(J26="M",VLOOKUP(Q26,T100Pts!BI$5:BN$44,(L26+1)),IF(J26="F",VLOOKUP(Q26,T100Pts!BU$5:BZ$44,(L26+1)),""))))</f>
        <v>-</v>
      </c>
      <c r="S26" s="155"/>
      <c r="T26" s="140" t="str">
        <f>IF($L26="X","-",IF(S26="","-",IF(J26="M",VLOOKUP(S26,T100Pts!A$5:I$1146,(L26+1)),IF(J26="F",VLOOKUP(S26,T100Pts!K$5:S$1147,(L26+1)),""))))</f>
        <v>-</v>
      </c>
      <c r="U26" s="141" t="str">
        <f t="shared" si="4"/>
        <v>-</v>
      </c>
      <c r="V26" s="79" t="str">
        <f t="shared" si="5"/>
        <v>-</v>
      </c>
      <c r="W26" s="155"/>
      <c r="X26" s="116" t="str">
        <f>IF($L26="X","-",IF(W26="","-",IF(J26="M",VLOOKUP(W26,T100Pts!U$5:AC$86,(L26+1)),IF(J26="F",VLOOKUP(W26,T100Pts!AE$5:AM$86,(L26+1)),""))))</f>
        <v>-</v>
      </c>
      <c r="Y26" s="164"/>
      <c r="Z26" s="116" t="str">
        <f>IF($L26="X","-",IF(Y26="","-",IF(J26="M",VLOOKUP(Y26,T100Pts!AO$5:AW$126,(L26+1)),IF(J26="F",VLOOKUP(Y26,T100Pts!AY$5:BG$126,(L26+1)),""))))</f>
        <v>-</v>
      </c>
      <c r="AA26" s="166"/>
      <c r="AB26" s="116" t="str">
        <f>IF(OR($L26="X",$L26=6,$L26=7),"-",IF(AA26="","-",IF(J26="M",VLOOKUP(AA26,T100Pts!BI$5:BN$44,(L26+1)),IF(J26="F",VLOOKUP(AA26,T100Pts!BU$5:BZ$44,(L26+1)),""))))</f>
        <v>-</v>
      </c>
      <c r="AC26" s="164"/>
      <c r="AD26" s="116" t="str">
        <f>IF($L26="X","-",IF(AC26="","-",IF(J26="M",VLOOKUP(AC26,T100Pts!A$5:I$1146,(L26+1)),IF(J26="F",VLOOKUP(AC26,T100Pts!K$5:S$1146,(L26+1)),""))))</f>
        <v>-</v>
      </c>
      <c r="AE26" s="117" t="str">
        <f t="shared" si="6"/>
        <v>-</v>
      </c>
      <c r="AF26" s="114" t="str">
        <f t="shared" si="7"/>
        <v>-</v>
      </c>
      <c r="AG26" s="115" t="e">
        <f t="shared" si="8"/>
        <v>#DIV/0!</v>
      </c>
      <c r="AH26" s="114" t="str">
        <f t="shared" si="1"/>
        <v>-</v>
      </c>
      <c r="AI26" s="161" t="s">
        <v>208</v>
      </c>
      <c r="AJ26" s="77" t="str">
        <f t="shared" si="2"/>
        <v/>
      </c>
    </row>
    <row r="27" spans="1:36" s="77" customFormat="1" ht="15.75" customHeight="1" x14ac:dyDescent="0.2">
      <c r="A27" s="138">
        <v>14</v>
      </c>
      <c r="B27" s="168"/>
      <c r="C27" s="137"/>
      <c r="D27" s="169"/>
      <c r="E27" s="170"/>
      <c r="F27" s="171"/>
      <c r="G27" s="172"/>
      <c r="H27" s="172"/>
      <c r="I27" s="139" t="str">
        <f t="shared" si="9"/>
        <v>-</v>
      </c>
      <c r="J27" s="203" t="s">
        <v>139</v>
      </c>
      <c r="K27" s="137" t="str">
        <f t="shared" si="3"/>
        <v>-</v>
      </c>
      <c r="L27" s="137" t="str">
        <f>IF(F27="","-",IF(K27&lt;&gt;"",VLOOKUP(K27,T100Pts!CH$4:CI$59,(2))))</f>
        <v>-</v>
      </c>
      <c r="M27" s="155"/>
      <c r="N27" s="137" t="str">
        <f>IF($L27="X","-",IF(M27="","-",IF(J27="M",VLOOKUP(M27,T100Pts!U$5:AC$86,(L27+1)),IF(J27="F",VLOOKUP(M27,T100Pts!AE$5:AM$86,(L27+1)),""))))</f>
        <v>-</v>
      </c>
      <c r="O27" s="155"/>
      <c r="P27" s="140" t="str">
        <f>IF($L27="X","-",IF(O27="","-",IF(J27="M",VLOOKUP(O27,T100Pts!AO$5:AW$126,(L27+1)),IF(J27="F",VLOOKUP(O27,T100Pts!AY$5:BG$126,(L27+1)),""))))</f>
        <v>-</v>
      </c>
      <c r="Q27" s="157"/>
      <c r="R27" s="140" t="str">
        <f>IF(OR($L27="X",$L27=6,$L27=7),"-",IF(Q27="","-",IF(J27="M",VLOOKUP(Q27,T100Pts!BI$5:BN$44,(L27+1)),IF(J27="F",VLOOKUP(Q27,T100Pts!BU$5:BZ$44,(L27+1)),""))))</f>
        <v>-</v>
      </c>
      <c r="S27" s="155"/>
      <c r="T27" s="140" t="str">
        <f>IF($L27="X","-",IF(S27="","-",IF(J27="M",VLOOKUP(S27,T100Pts!A$5:I$1146,(L27+1)),IF(J27="F",VLOOKUP(S27,T100Pts!K$5:S$1147,(L27+1)),""))))</f>
        <v>-</v>
      </c>
      <c r="U27" s="141" t="str">
        <f t="shared" si="4"/>
        <v>-</v>
      </c>
      <c r="V27" s="79" t="str">
        <f t="shared" si="5"/>
        <v>-</v>
      </c>
      <c r="W27" s="155"/>
      <c r="X27" s="116" t="str">
        <f>IF($L27="X","-",IF(W27="","-",IF(J27="M",VLOOKUP(W27,T100Pts!U$5:AC$86,(L27+1)),IF(J27="F",VLOOKUP(W27,T100Pts!AE$5:AM$86,(L27+1)),""))))</f>
        <v>-</v>
      </c>
      <c r="Y27" s="163"/>
      <c r="Z27" s="116" t="str">
        <f>IF($L27="X","-",IF(Y27="","-",IF(J27="M",VLOOKUP(Y27,T100Pts!AO$5:AW$126,(L27+1)),IF(J27="F",VLOOKUP(Y27,T100Pts!AY$5:BG$126,(L27+1)),""))))</f>
        <v>-</v>
      </c>
      <c r="AA27" s="165"/>
      <c r="AB27" s="116" t="str">
        <f>IF(OR($L27="X",$L27=6,$L27=7),"-",IF(AA27="","-",IF(J27="M",VLOOKUP(AA27,T100Pts!BI$5:BN$44,(L27+1)),IF(J27="F",VLOOKUP(AA27,T100Pts!BU$5:BZ$44,(L27+1)),""))))</f>
        <v>-</v>
      </c>
      <c r="AC27" s="228"/>
      <c r="AD27" s="116" t="str">
        <f>IF($L27="X","-",IF(AC27="","-",IF(J27="M",VLOOKUP(AC27,T100Pts!A$5:I$1146,(L27+1)),IF(J27="F",VLOOKUP(AC27,T100Pts!K$5:S$1146,(L27+1)),""))))</f>
        <v>-</v>
      </c>
      <c r="AE27" s="117" t="str">
        <f t="shared" si="6"/>
        <v>-</v>
      </c>
      <c r="AF27" s="114" t="str">
        <f t="shared" si="7"/>
        <v>-</v>
      </c>
      <c r="AG27" s="115" t="e">
        <f t="shared" si="8"/>
        <v>#DIV/0!</v>
      </c>
      <c r="AH27" s="114" t="str">
        <f t="shared" si="1"/>
        <v>-</v>
      </c>
      <c r="AI27" s="161"/>
      <c r="AJ27" s="77" t="str">
        <f t="shared" si="2"/>
        <v/>
      </c>
    </row>
    <row r="28" spans="1:36" s="77" customFormat="1" ht="15.75" customHeight="1" x14ac:dyDescent="0.25">
      <c r="A28" s="138">
        <v>15</v>
      </c>
      <c r="B28" s="168"/>
      <c r="C28" s="159"/>
      <c r="D28" s="179"/>
      <c r="E28" s="175"/>
      <c r="F28" s="176"/>
      <c r="G28" s="177"/>
      <c r="H28" s="178"/>
      <c r="I28" s="139" t="str">
        <f>IF(OR(G28="",H28=""),"-",ROUND(G28/(H28^2),0))</f>
        <v>-</v>
      </c>
      <c r="J28" s="203" t="s">
        <v>139</v>
      </c>
      <c r="K28" s="137" t="str">
        <f>IF(F28&gt;0,DATEDIF(F28,$L$1,"Y"),"-")</f>
        <v>-</v>
      </c>
      <c r="L28" s="137" t="str">
        <f>IF(F28="","-",IF(K28&lt;&gt;"",VLOOKUP(K28,T100Pts!CH$4:CI$59,(2))))</f>
        <v>-</v>
      </c>
      <c r="M28" s="155"/>
      <c r="N28" s="137" t="str">
        <f>IF($L28="X","-",IF(M28="","-",IF(J28="M",VLOOKUP(M28,T100Pts!U$5:AC$86,(L28+1)),IF(J28="F",VLOOKUP(M28,T100Pts!AE$5:AM$86,(L28+1)),""))))</f>
        <v>-</v>
      </c>
      <c r="O28" s="155"/>
      <c r="P28" s="140" t="str">
        <f>IF($L28="X","-",IF(O28="","-",IF(J28="M",VLOOKUP(O28,T100Pts!AO$5:AW$126,(L28+1)),IF(J28="F",VLOOKUP(O28,T100Pts!AY$5:BG$126,(L28+1)),""))))</f>
        <v>-</v>
      </c>
      <c r="Q28" s="157"/>
      <c r="R28" s="140" t="str">
        <f>IF(OR($L28="X",$L28=6,$L28=7),"-",IF(Q28="","-",IF(J28="M",VLOOKUP(Q28,T100Pts!BI$5:BN$44,(L28+1)),IF(J28="F",VLOOKUP(Q28,T100Pts!BU$5:BZ$44,(L28+1)),""))))</f>
        <v>-</v>
      </c>
      <c r="S28" s="155"/>
      <c r="T28" s="140" t="str">
        <f>IF($L28="X","-",IF(S28="","-",IF(J28="M",VLOOKUP(S28,T100Pts!A$5:I$1146,(L28+1)),IF(J28="F",VLOOKUP(S28,T100Pts!K$5:S$1147,(L28+1)),""))))</f>
        <v>-</v>
      </c>
      <c r="U28" s="141" t="str">
        <f t="shared" si="4"/>
        <v>-</v>
      </c>
      <c r="V28" s="79" t="str">
        <f t="shared" si="5"/>
        <v>-</v>
      </c>
      <c r="W28" s="155"/>
      <c r="X28" s="116" t="str">
        <f>IF($L28="X","-",IF(W28="","-",IF(J28="M",VLOOKUP(W28,T100Pts!U$5:AC$86,(L28+1)),IF(J28="F",VLOOKUP(W28,T100Pts!AE$5:AM$86,(L28+1)),""))))</f>
        <v>-</v>
      </c>
      <c r="Y28" s="163"/>
      <c r="Z28" s="116" t="str">
        <f>IF($L28="X","-",IF(Y28="","-",IF(J28="M",VLOOKUP(Y28,T100Pts!AO$5:AW$126,(L28+1)),IF(J28="F",VLOOKUP(Y28,T100Pts!AY$5:BG$126,(L28+1)),""))))</f>
        <v>-</v>
      </c>
      <c r="AA28" s="165"/>
      <c r="AB28" s="116" t="str">
        <f>IF(OR($L28="X",$L28=6,$L28=7),"-",IF(AA28="","-",IF(J28="M",VLOOKUP(AA28,T100Pts!BI$5:BN$44,(L28+1)),IF(J28="F",VLOOKUP(AA28,T100Pts!BU$5:BZ$44,(L28+1)),""))))</f>
        <v>-</v>
      </c>
      <c r="AC28" s="227"/>
      <c r="AD28" s="116" t="str">
        <f>IF($L28="X","-",IF(AC28="","-",IF(J28="M",VLOOKUP(AC28,T100Pts!A$5:I$1146,(L28+1)),IF(J28="F",VLOOKUP(AC28,T100Pts!K$5:S$1146,(L28+1)),""))))</f>
        <v>-</v>
      </c>
      <c r="AE28" s="117" t="str">
        <f t="shared" si="6"/>
        <v>-</v>
      </c>
      <c r="AF28" s="114" t="str">
        <f t="shared" si="7"/>
        <v>-</v>
      </c>
      <c r="AG28" s="115" t="e">
        <f t="shared" si="8"/>
        <v>#DIV/0!</v>
      </c>
      <c r="AH28" s="114" t="str">
        <f t="shared" si="1"/>
        <v>-</v>
      </c>
      <c r="AI28" s="161"/>
      <c r="AJ28" s="77" t="str">
        <f t="shared" si="2"/>
        <v/>
      </c>
    </row>
    <row r="29" spans="1:36" s="77" customFormat="1" ht="15.75" customHeight="1" x14ac:dyDescent="0.25">
      <c r="A29" s="138">
        <v>16</v>
      </c>
      <c r="B29" s="168"/>
      <c r="C29" s="159"/>
      <c r="D29" s="174"/>
      <c r="E29" s="175"/>
      <c r="F29" s="176"/>
      <c r="G29" s="177"/>
      <c r="H29" s="178"/>
      <c r="I29" s="139" t="str">
        <f t="shared" si="9"/>
        <v>-</v>
      </c>
      <c r="J29" s="203" t="s">
        <v>139</v>
      </c>
      <c r="K29" s="137" t="str">
        <f t="shared" si="3"/>
        <v>-</v>
      </c>
      <c r="L29" s="137" t="str">
        <f>IF(F29="","-",IF(K29&lt;&gt;"",VLOOKUP(K29,T100Pts!CH$4:CI$59,(2))))</f>
        <v>-</v>
      </c>
      <c r="M29" s="155"/>
      <c r="N29" s="137" t="str">
        <f>IF($L29="X","-",IF(M29="","-",IF(J29="M",VLOOKUP(M29,T100Pts!U$5:AC$86,(L29+1)),IF(J29="F",VLOOKUP(M29,T100Pts!AE$5:AM$86,(L29+1)),""))))</f>
        <v>-</v>
      </c>
      <c r="O29" s="155"/>
      <c r="P29" s="140" t="str">
        <f>IF($L29="X","-",IF(O29="","-",IF(J29="M",VLOOKUP(O29,T100Pts!AO$5:AW$126,(L29+1)),IF(J29="F",VLOOKUP(O29,T100Pts!AY$5:BG$126,(L29+1)),""))))</f>
        <v>-</v>
      </c>
      <c r="Q29" s="157"/>
      <c r="R29" s="140" t="str">
        <f>IF(OR($L29="X",$L29=6,$L29=7),"-",IF(Q29="","-",IF(J29="M",VLOOKUP(Q29,T100Pts!BI$5:BN$44,(L29+1)),IF(J29="F",VLOOKUP(Q29,T100Pts!BU$5:BZ$44,(L29+1)),""))))</f>
        <v>-</v>
      </c>
      <c r="S29" s="155"/>
      <c r="T29" s="140" t="str">
        <f>IF($L29="X","-",IF(S29="","-",IF(J29="M",VLOOKUP(S29,T100Pts!A$5:I$1146,(L29+1)),IF(J29="F",VLOOKUP(S29,T100Pts!K$5:S$1147,(L29+1)),""))))</f>
        <v>-</v>
      </c>
      <c r="U29" s="141" t="str">
        <f t="shared" si="4"/>
        <v>-</v>
      </c>
      <c r="V29" s="79" t="str">
        <f t="shared" si="5"/>
        <v>-</v>
      </c>
      <c r="W29" s="155"/>
      <c r="X29" s="116" t="str">
        <f>IF($L29="X","-",IF(W29="","-",IF(J29="M",VLOOKUP(W29,T100Pts!U$5:AC$86,(L29+1)),IF(J29="F",VLOOKUP(W29,T100Pts!AE$5:AM$86,(L29+1)),""))))</f>
        <v>-</v>
      </c>
      <c r="Y29" s="163"/>
      <c r="Z29" s="116" t="str">
        <f>IF($L29="X","-",IF(Y29="","-",IF(J29="M",VLOOKUP(Y29,T100Pts!AO$5:AW$126,(L29+1)),IF(J29="F",VLOOKUP(Y29,T100Pts!AY$5:BG$126,(L29+1)),""))))</f>
        <v>-</v>
      </c>
      <c r="AA29" s="165"/>
      <c r="AB29" s="116" t="str">
        <f>IF(OR($L29="X",$L29=6,$L29=7),"-",IF(AA29="","-",IF(J29="M",VLOOKUP(AA29,T100Pts!BI$5:BN$44,(L29+1)),IF(J29="F",VLOOKUP(AA29,T100Pts!BU$5:BZ$44,(L29+1)),""))))</f>
        <v>-</v>
      </c>
      <c r="AC29" s="227"/>
      <c r="AD29" s="116" t="str">
        <f>IF($L29="X","-",IF(AC29="","-",IF(J29="M",VLOOKUP(AC29,T100Pts!A$5:I$1146,(L29+1)),IF(J29="F",VLOOKUP(AC29,T100Pts!K$5:S$1146,(L29+1)),""))))</f>
        <v>-</v>
      </c>
      <c r="AE29" s="117" t="str">
        <f t="shared" si="6"/>
        <v>-</v>
      </c>
      <c r="AF29" s="114" t="str">
        <f t="shared" si="7"/>
        <v>-</v>
      </c>
      <c r="AG29" s="115" t="e">
        <f t="shared" si="8"/>
        <v>#DIV/0!</v>
      </c>
      <c r="AH29" s="114" t="str">
        <f t="shared" si="1"/>
        <v>-</v>
      </c>
      <c r="AI29" s="161"/>
      <c r="AJ29" s="77" t="str">
        <f t="shared" si="2"/>
        <v/>
      </c>
    </row>
    <row r="30" spans="1:36" s="77" customFormat="1" ht="15.75" customHeight="1" x14ac:dyDescent="0.25">
      <c r="A30" s="138">
        <v>17</v>
      </c>
      <c r="B30" s="168"/>
      <c r="C30" s="159"/>
      <c r="D30" s="174"/>
      <c r="E30" s="175"/>
      <c r="F30" s="176"/>
      <c r="G30" s="177"/>
      <c r="H30" s="178"/>
      <c r="I30" s="139" t="str">
        <f t="shared" si="9"/>
        <v>-</v>
      </c>
      <c r="J30" s="203" t="s">
        <v>139</v>
      </c>
      <c r="K30" s="137" t="str">
        <f t="shared" si="3"/>
        <v>-</v>
      </c>
      <c r="L30" s="137" t="str">
        <f>IF(F30="","-",IF(K30&lt;&gt;"",VLOOKUP(K30,T100Pts!CH$4:CI$59,(2))))</f>
        <v>-</v>
      </c>
      <c r="M30" s="155"/>
      <c r="N30" s="137" t="str">
        <f>IF($L30="X","-",IF(M30="","-",IF(J30="M",VLOOKUP(M30,T100Pts!U$5:AC$86,(L30+1)),IF(J30="F",VLOOKUP(M30,T100Pts!AE$5:AM$86,(L30+1)),""))))</f>
        <v>-</v>
      </c>
      <c r="O30" s="155"/>
      <c r="P30" s="140" t="str">
        <f>IF($L30="X","-",IF(O30="","-",IF(J30="M",VLOOKUP(O30,T100Pts!AO$5:AW$126,(L30+1)),IF(J30="F",VLOOKUP(O30,T100Pts!AY$5:BG$126,(L30+1)),""))))</f>
        <v>-</v>
      </c>
      <c r="Q30" s="157"/>
      <c r="R30" s="140" t="str">
        <f>IF(OR($L30="X",$L30=6,$L30=7),"-",IF(Q30="","-",IF(J30="M",VLOOKUP(Q30,T100Pts!BI$5:BN$44,(L30+1)),IF(J30="F",VLOOKUP(Q30,T100Pts!BU$5:BZ$44,(L30+1)),""))))</f>
        <v>-</v>
      </c>
      <c r="S30" s="155"/>
      <c r="T30" s="140" t="str">
        <f>IF($L30="X","-",IF(S30="","-",IF(J30="M",VLOOKUP(S30,T100Pts!A$5:I$1146,(L30+1)),IF(J30="F",VLOOKUP(S30,T100Pts!K$5:S$1147,(L30+1)),""))))</f>
        <v>-</v>
      </c>
      <c r="U30" s="141" t="str">
        <f t="shared" si="4"/>
        <v>-</v>
      </c>
      <c r="V30" s="79" t="str">
        <f t="shared" si="5"/>
        <v>-</v>
      </c>
      <c r="W30" s="156"/>
      <c r="X30" s="116" t="str">
        <f>IF($L30="X","-",IF(W30="","-",IF(J30="M",VLOOKUP(W30,T100Pts!U$5:AC$86,(L30+1)),IF(J30="F",VLOOKUP(W30,T100Pts!AE$5:AM$86,(L30+1)),""))))</f>
        <v>-</v>
      </c>
      <c r="Y30" s="164"/>
      <c r="Z30" s="116" t="str">
        <f>IF($L30="X","-",IF(Y30="","-",IF(J30="M",VLOOKUP(Y30,T100Pts!AO$5:AW$126,(L30+1)),IF(J30="F",VLOOKUP(Y30,T100Pts!AY$5:BG$126,(L30+1)),""))))</f>
        <v>-</v>
      </c>
      <c r="AA30" s="166"/>
      <c r="AB30" s="116" t="str">
        <f>IF(OR($L30="X",$L30=6,$L30=7),"-",IF(AA30="","-",IF(J30="M",VLOOKUP(AA30,T100Pts!BI$5:BN$44,(L30+1)),IF(J30="F",VLOOKUP(AA30,T100Pts!BU$5:BZ$44,(L30+1)),""))))</f>
        <v>-</v>
      </c>
      <c r="AC30" s="164"/>
      <c r="AD30" s="116" t="str">
        <f>IF($L30="X","-",IF(AC30="","-",IF(J30="M",VLOOKUP(AC30,T100Pts!A$5:I$1146,(L30+1)),IF(J30="F",VLOOKUP(AC30,T100Pts!K$5:S$1146,(L30+1)),""))))</f>
        <v>-</v>
      </c>
      <c r="AE30" s="117" t="str">
        <f t="shared" si="6"/>
        <v>-</v>
      </c>
      <c r="AF30" s="114" t="str">
        <f t="shared" si="7"/>
        <v>-</v>
      </c>
      <c r="AG30" s="115" t="e">
        <f t="shared" si="8"/>
        <v>#DIV/0!</v>
      </c>
      <c r="AH30" s="114" t="str">
        <f t="shared" si="1"/>
        <v>-</v>
      </c>
      <c r="AI30" s="265" t="s">
        <v>209</v>
      </c>
      <c r="AJ30" s="77" t="str">
        <f t="shared" si="2"/>
        <v/>
      </c>
    </row>
    <row r="31" spans="1:36" s="77" customFormat="1" ht="15.75" customHeight="1" x14ac:dyDescent="0.25">
      <c r="A31" s="138">
        <v>18</v>
      </c>
      <c r="B31" s="168"/>
      <c r="C31" s="159"/>
      <c r="D31" s="174"/>
      <c r="E31" s="175"/>
      <c r="F31" s="176"/>
      <c r="G31" s="177"/>
      <c r="H31" s="178"/>
      <c r="I31" s="139" t="str">
        <f t="shared" si="9"/>
        <v>-</v>
      </c>
      <c r="J31" s="203" t="s">
        <v>139</v>
      </c>
      <c r="K31" s="137" t="str">
        <f t="shared" si="3"/>
        <v>-</v>
      </c>
      <c r="L31" s="137" t="str">
        <f>IF(F31="","-",IF(K31&lt;&gt;"",VLOOKUP(K31,T100Pts!CH$4:CI$59,(2))))</f>
        <v>-</v>
      </c>
      <c r="M31" s="155"/>
      <c r="N31" s="137" t="str">
        <f>IF($L31="X","-",IF(M31="","-",IF(J31="M",VLOOKUP(M31,T100Pts!U$5:AC$86,(L31+1)),IF(J31="F",VLOOKUP(M31,T100Pts!AE$5:AM$86,(L31+1)),""))))</f>
        <v>-</v>
      </c>
      <c r="O31" s="155"/>
      <c r="P31" s="140" t="str">
        <f>IF($L31="X","-",IF(O31="","-",IF(J31="M",VLOOKUP(O31,T100Pts!AO$5:AW$126,(L31+1)),IF(J31="F",VLOOKUP(O31,T100Pts!AY$5:BG$126,(L31+1)),""))))</f>
        <v>-</v>
      </c>
      <c r="Q31" s="157"/>
      <c r="R31" s="140" t="str">
        <f>IF(OR($L31="X",$L31=6,$L31=7),"-",IF(Q31="","-",IF(J31="M",VLOOKUP(Q31,T100Pts!BI$5:BN$44,(L31+1)),IF(J31="F",VLOOKUP(Q31,T100Pts!BU$5:BZ$44,(L31+1)),""))))</f>
        <v>-</v>
      </c>
      <c r="S31" s="155"/>
      <c r="T31" s="140" t="str">
        <f>IF($L31="X","-",IF(S31="","-",IF(J31="M",VLOOKUP(S31,T100Pts!A$5:I$1146,(L31+1)),IF(J31="F",VLOOKUP(S31,T100Pts!K$5:S$1147,(L31+1)),""))))</f>
        <v>-</v>
      </c>
      <c r="U31" s="141" t="str">
        <f t="shared" si="4"/>
        <v>-</v>
      </c>
      <c r="V31" s="79" t="str">
        <f t="shared" si="5"/>
        <v>-</v>
      </c>
      <c r="W31" s="155"/>
      <c r="X31" s="116" t="str">
        <f>IF($L31="X","-",IF(W31="","-",IF(J31="M",VLOOKUP(W31,T100Pts!U$5:AC$86,(L31+1)),IF(J31="F",VLOOKUP(W31,T100Pts!AE$5:AM$86,(L31+1)),""))))</f>
        <v>-</v>
      </c>
      <c r="Y31" s="163"/>
      <c r="Z31" s="116" t="str">
        <f>IF($L31="X","-",IF(Y31="","-",IF(J31="M",VLOOKUP(Y31,T100Pts!AO$5:AW$126,(L31+1)),IF(J31="F",VLOOKUP(Y31,T100Pts!AY$5:BG$126,(L31+1)),""))))</f>
        <v>-</v>
      </c>
      <c r="AA31" s="165"/>
      <c r="AB31" s="116" t="str">
        <f>IF(OR($L31="X",$L31=6,$L31=7),"-",IF(AA31="","-",IF(J31="M",VLOOKUP(AA31,T100Pts!BI$5:BN$44,(L31+1)),IF(J31="F",VLOOKUP(AA31,T100Pts!BU$5:BZ$44,(L31+1)),""))))</f>
        <v>-</v>
      </c>
      <c r="AC31" s="163"/>
      <c r="AD31" s="116" t="str">
        <f>IF($L31="X","-",IF(AC31="","-",IF(J31="M",VLOOKUP(AC31,T100Pts!A$5:I$1146,(L31+1)),IF(J31="F",VLOOKUP(AC31,T100Pts!K$5:S$1146,(L31+1)),""))))</f>
        <v>-</v>
      </c>
      <c r="AE31" s="117" t="str">
        <f t="shared" si="6"/>
        <v>-</v>
      </c>
      <c r="AF31" s="114" t="str">
        <f t="shared" si="7"/>
        <v>-</v>
      </c>
      <c r="AG31" s="115" t="e">
        <f t="shared" si="8"/>
        <v>#DIV/0!</v>
      </c>
      <c r="AH31" s="114" t="str">
        <f t="shared" si="1"/>
        <v>-</v>
      </c>
      <c r="AI31" s="161" t="s">
        <v>210</v>
      </c>
      <c r="AJ31" s="77" t="str">
        <f t="shared" si="2"/>
        <v/>
      </c>
    </row>
    <row r="32" spans="1:36" s="77" customFormat="1" ht="15.75" customHeight="1" x14ac:dyDescent="0.25">
      <c r="A32" s="138">
        <v>19</v>
      </c>
      <c r="B32" s="168"/>
      <c r="C32" s="159"/>
      <c r="D32" s="208"/>
      <c r="E32" s="206"/>
      <c r="F32" s="211"/>
      <c r="G32" s="209"/>
      <c r="H32" s="210"/>
      <c r="I32" s="139" t="str">
        <f>IF(OR(G32="",H32=""),"-",ROUND(G32/(H32^2),0))</f>
        <v>-</v>
      </c>
      <c r="J32" s="223" t="s">
        <v>139</v>
      </c>
      <c r="K32" s="137" t="str">
        <f>IF(F32&gt;0,DATEDIF(F32,$L$1,"Y"),"-")</f>
        <v>-</v>
      </c>
      <c r="L32" s="137" t="str">
        <f>IF(F32="","-",IF(K32&lt;&gt;"",VLOOKUP(K32,T100Pts!CH$4:CI$59,(2))))</f>
        <v>-</v>
      </c>
      <c r="M32" s="155"/>
      <c r="N32" s="137" t="str">
        <f>IF($L32="X","-",IF(M32="","-",IF(J32="M",VLOOKUP(M32,T100Pts!U$5:AC$86,(L32+1)),IF(J32="F",VLOOKUP(M32,T100Pts!AE$5:AM$86,(L32+1)),""))))</f>
        <v>-</v>
      </c>
      <c r="O32" s="155"/>
      <c r="P32" s="140" t="str">
        <f>IF($L32="X","-",IF(O32="","-",IF(J32="M",VLOOKUP(O32,T100Pts!AO$5:AW$126,(L32+1)),IF(J32="F",VLOOKUP(O32,T100Pts!AY$5:BG$126,(L32+1)),""))))</f>
        <v>-</v>
      </c>
      <c r="Q32" s="157"/>
      <c r="R32" s="140" t="str">
        <f>IF(OR($L32="X",$L32=6,$L32=7),"-",IF(Q32="","-",IF(J32="M",VLOOKUP(Q32,T100Pts!BI$5:BN$44,(L32+1)),IF(J32="F",VLOOKUP(Q32,T100Pts!BU$5:BZ$44,(L32+1)),""))))</f>
        <v>-</v>
      </c>
      <c r="S32" s="155"/>
      <c r="T32" s="140" t="str">
        <f>IF($L32="X","-",IF(S32="","-",IF(J32="M",VLOOKUP(S32,T100Pts!A$5:I$1146,(L32+1)),IF(J32="F",VLOOKUP(S32,T100Pts!K$5:S$1147,(L32+1)),""))))</f>
        <v>-</v>
      </c>
      <c r="U32" s="141" t="str">
        <f>IF(OR(N32="X",P32="X",R32="X",T32="X"),"NR",IF(AND(N32="-",P32="-",T32="-"),"-",IF(R32="-",AVERAGE(IF(ISNUMBER(N32),N32),IF(ISNUMBER(P32),P32),IF(ISNUMBER(T32),T32)),AVERAGE(IF(ISNUMBER(N32),N32),IF(ISNUMBER(P32),P32),IF(ISNUMBER(R32),R32),IF(ISNUMBER(T32),T32)))))</f>
        <v>-</v>
      </c>
      <c r="V32" s="79" t="str">
        <f>IF(NOT(ISNUMBER(U32)), "-", IF(U32 &lt; 70, "NA", "A"))</f>
        <v>-</v>
      </c>
      <c r="W32" s="155"/>
      <c r="X32" s="116" t="str">
        <f>IF($L32="X","-",IF(W32="","-",IF(J32="M",VLOOKUP(W32,T100Pts!U$5:AC$86,(L32+1)),IF(J32="F",VLOOKUP(W32,T100Pts!AE$5:AM$86,(L32+1)),""))))</f>
        <v>-</v>
      </c>
      <c r="Y32" s="163"/>
      <c r="Z32" s="116" t="str">
        <f>IF($L32="X","-",IF(Y32="","-",IF(J32="M",VLOOKUP(Y32,T100Pts!AO$5:AW$126,(L32+1)),IF(J32="F",VLOOKUP(Y32,T100Pts!AY$5:BG$126,(L32+1)),""))))</f>
        <v>-</v>
      </c>
      <c r="AA32" s="165"/>
      <c r="AB32" s="116" t="str">
        <f>IF(OR($L32="X",$L32=6,$L32=7),"-",IF(AA32="","-",IF(J32="M",VLOOKUP(AA32,T100Pts!BI$5:BN$44,(L32+1)),IF(J32="F",VLOOKUP(AA32,T100Pts!BU$5:BZ$44,(L32+1)),""))))</f>
        <v>-</v>
      </c>
      <c r="AC32" s="228"/>
      <c r="AD32" s="116" t="str">
        <f>IF($L32="X","-",IF(AC32="","-",IF(J32="M",VLOOKUP(AC32,T100Pts!A$5:I$1146,(L32+1)),IF(J32="F",VLOOKUP(AC32,T100Pts!K$5:S$1146,(L32+1)),""))))</f>
        <v>-</v>
      </c>
      <c r="AE32" s="117" t="str">
        <f t="shared" si="6"/>
        <v>-</v>
      </c>
      <c r="AF32" s="114" t="str">
        <f t="shared" si="7"/>
        <v>-</v>
      </c>
      <c r="AG32" s="115" t="e">
        <f t="shared" si="8"/>
        <v>#DIV/0!</v>
      </c>
      <c r="AH32" s="114" t="str">
        <f t="shared" si="1"/>
        <v>-</v>
      </c>
      <c r="AI32" s="161" t="s">
        <v>211</v>
      </c>
      <c r="AJ32" s="77" t="str">
        <f t="shared" si="2"/>
        <v/>
      </c>
    </row>
    <row r="33" spans="1:36" s="77" customFormat="1" ht="15.75" customHeight="1" x14ac:dyDescent="0.25">
      <c r="A33" s="138">
        <v>20</v>
      </c>
      <c r="B33" s="168"/>
      <c r="C33" s="137"/>
      <c r="D33" s="174"/>
      <c r="E33" s="175"/>
      <c r="F33" s="176"/>
      <c r="G33" s="177"/>
      <c r="H33" s="178"/>
      <c r="I33" s="139" t="str">
        <f t="shared" si="9"/>
        <v>-</v>
      </c>
      <c r="J33" s="181" t="s">
        <v>139</v>
      </c>
      <c r="K33" s="137" t="str">
        <f t="shared" si="3"/>
        <v>-</v>
      </c>
      <c r="L33" s="137" t="str">
        <f>IF(F33="","-",IF(K33&lt;&gt;"",VLOOKUP(K33,T100Pts!CH$4:CI$59,(2))))</f>
        <v>-</v>
      </c>
      <c r="M33" s="155"/>
      <c r="N33" s="137" t="str">
        <f>IF($L33="X","-",IF(M33="","-",IF(J33="M",VLOOKUP(M33,T100Pts!U$5:AC$86,(L33+1)),IF(J33="F",VLOOKUP(M33,T100Pts!AE$5:AM$86,(L33+1)),""))))</f>
        <v>-</v>
      </c>
      <c r="O33" s="155"/>
      <c r="P33" s="140" t="str">
        <f>IF($L33="X","-",IF(O33="","-",IF(J33="M",VLOOKUP(O33,T100Pts!AO$5:AW$126,(L33+1)),IF(J33="F",VLOOKUP(O33,T100Pts!AY$5:BG$126,(L33+1)),""))))</f>
        <v>-</v>
      </c>
      <c r="Q33" s="157"/>
      <c r="R33" s="140" t="str">
        <f>IF(OR($L33="X",$L33=6,$L33=7),"-",IF(Q33="","-",IF(J33="M",VLOOKUP(Q33,T100Pts!BI$5:BN$44,(L33+1)),IF(J33="F",VLOOKUP(Q33,T100Pts!BU$5:BZ$44,(L33+1)),""))))</f>
        <v>-</v>
      </c>
      <c r="S33" s="155"/>
      <c r="T33" s="140" t="str">
        <f>IF($L33="X","-",IF(S33="","-",IF(J33="M",VLOOKUP(S33,T100Pts!A$5:I$1146,(L33+1)),IF(J33="F",VLOOKUP(S33,T100Pts!K$5:S$1147,(L33+1)),""))))</f>
        <v>-</v>
      </c>
      <c r="U33" s="141" t="str">
        <f t="shared" si="4"/>
        <v>-</v>
      </c>
      <c r="V33" s="79" t="str">
        <f t="shared" si="5"/>
        <v>-</v>
      </c>
      <c r="W33" s="155"/>
      <c r="X33" s="116" t="str">
        <f>IF($L33="X","-",IF(W33="","-",IF(J33="M",VLOOKUP(W33,T100Pts!U$5:AC$86,(L33+1)),IF(J33="F",VLOOKUP(W33,T100Pts!AE$5:AM$86,(L33+1)),""))))</f>
        <v>-</v>
      </c>
      <c r="Y33" s="163"/>
      <c r="Z33" s="116" t="str">
        <f>IF($L33="X","-",IF(Y33="","-",IF(J33="M",VLOOKUP(Y33,T100Pts!AO$5:AW$126,(L33+1)),IF(J33="F",VLOOKUP(Y33,T100Pts!AY$5:BG$126,(L33+1)),""))))</f>
        <v>-</v>
      </c>
      <c r="AA33" s="165"/>
      <c r="AB33" s="116" t="str">
        <f>IF(OR($L33="X",$L33=6,$L33=7),"-",IF(AA33="","-",IF(J33="M",VLOOKUP(AA33,T100Pts!BI$5:BN$44,(L33+1)),IF(J33="F",VLOOKUP(AA33,T100Pts!BU$5:BZ$44,(L33+1)),""))))</f>
        <v>-</v>
      </c>
      <c r="AC33" s="228"/>
      <c r="AD33" s="116" t="str">
        <f>IF($L33="X","-",IF(AC33="","-",IF(J33="M",VLOOKUP(AC33,T100Pts!A$5:I$1146,(L33+1)),IF(J33="F",VLOOKUP(AC33,T100Pts!K$5:S$1146,(L33+1)),""))))</f>
        <v>-</v>
      </c>
      <c r="AE33" s="117" t="str">
        <f t="shared" si="6"/>
        <v>-</v>
      </c>
      <c r="AF33" s="114" t="str">
        <f t="shared" si="7"/>
        <v>-</v>
      </c>
      <c r="AG33" s="115" t="e">
        <f t="shared" si="8"/>
        <v>#DIV/0!</v>
      </c>
      <c r="AH33" s="114" t="str">
        <f t="shared" si="1"/>
        <v>-</v>
      </c>
      <c r="AI33" s="161"/>
      <c r="AJ33" s="77" t="str">
        <f t="shared" si="2"/>
        <v/>
      </c>
    </row>
    <row r="34" spans="1:36" ht="15.75" customHeight="1" x14ac:dyDescent="0.25">
      <c r="A34" s="138">
        <v>21</v>
      </c>
      <c r="B34" s="168"/>
      <c r="C34" s="159"/>
      <c r="D34" s="174"/>
      <c r="E34" s="175"/>
      <c r="F34" s="176"/>
      <c r="G34" s="177"/>
      <c r="H34" s="178"/>
      <c r="I34" s="160" t="str">
        <f>IF(OR(G34="",H34=""),"-",ROUND(G34/(H34^2),0))</f>
        <v>-</v>
      </c>
      <c r="J34" s="181" t="s">
        <v>139</v>
      </c>
      <c r="K34" s="142" t="str">
        <f>IF(F34&gt;0,DATEDIF(F34,$L$1,"Y"),"-")</f>
        <v>-</v>
      </c>
      <c r="L34" s="142" t="str">
        <f>IF(F34="","-",IF(K34&lt;&gt;"",VLOOKUP(K34,T100Pts!CH$4:CI$59,(2))))</f>
        <v>-</v>
      </c>
      <c r="M34" s="155"/>
      <c r="N34" s="137" t="str">
        <f>IF($L34="X","-",IF(M34="","-",IF(J34="M",VLOOKUP(M34,T100Pts!U$5:AC$86,(L34+1)),IF(J34="F",VLOOKUP(M34,T100Pts!AE$5:AM$86,(L34+1)),""))))</f>
        <v>-</v>
      </c>
      <c r="O34" s="155"/>
      <c r="P34" s="140" t="str">
        <f>IF($L34="X","-",IF(O34="","-",IF(J34="M",VLOOKUP(O34,T100Pts!AO$5:AW$126,(L34+1)),IF(J34="F",VLOOKUP(O34,T100Pts!AY$5:BG$126,(L34+1)),""))))</f>
        <v>-</v>
      </c>
      <c r="Q34" s="157"/>
      <c r="R34" s="140" t="str">
        <f>IF(OR($L34="X",$L34=6,$L34=7),"-",IF(Q34="","-",IF(J34="M",VLOOKUP(Q34,T100Pts!BI$5:BN$44,(L34+1)),IF(J34="F",VLOOKUP(Q34,T100Pts!BU$5:BZ$44,(L34+1)),""))))</f>
        <v>-</v>
      </c>
      <c r="S34" s="155"/>
      <c r="T34" s="140" t="str">
        <f>IF($L34="X","-",IF(S34="","-",IF(J34="M",VLOOKUP(S34,T100Pts!A$5:I$1146,(L34+1)),IF(J34="F",VLOOKUP(S34,T100Pts!K$5:S$1147,(L34+1)),""))))</f>
        <v>-</v>
      </c>
      <c r="U34" s="141" t="str">
        <f t="shared" si="4"/>
        <v>-</v>
      </c>
      <c r="V34" s="79" t="str">
        <f t="shared" si="5"/>
        <v>-</v>
      </c>
      <c r="W34" s="155"/>
      <c r="X34" s="116" t="str">
        <f>IF($L34="X","-",IF(W34="","-",IF(J34="M",VLOOKUP(W34,T100Pts!U$5:AC$86,(L34+1)),IF(J34="F",VLOOKUP(W34,T100Pts!AE$5:AM$86,(L34+1)),""))))</f>
        <v>-</v>
      </c>
      <c r="Y34" s="163"/>
      <c r="Z34" s="116" t="str">
        <f>IF($L34="X","-",IF(Y34="","-",IF(J34="M",VLOOKUP(Y34,T100Pts!AO$5:AW$126,(L34+1)),IF(J34="F",VLOOKUP(Y34,T100Pts!AY$5:BG$126,(L34+1)),""))))</f>
        <v>-</v>
      </c>
      <c r="AA34" s="165"/>
      <c r="AB34" s="116" t="str">
        <f>IF(OR($L34="X",$L34=6,$L34=7),"-",IF(AA34="","-",IF(J34="M",VLOOKUP(AA34,T100Pts!BI$5:BN$44,(L34+1)),IF(J34="F",VLOOKUP(AA34,T100Pts!BU$5:BZ$44,(L34+1)),""))))</f>
        <v>-</v>
      </c>
      <c r="AC34" s="163"/>
      <c r="AD34" s="116" t="str">
        <f>IF($L34="X","-",IF(AC34="","-",IF(J34="M",VLOOKUP(AC34,T100Pts!A$5:I$1146,(L34+1)),IF(J34="F",VLOOKUP(AC34,T100Pts!K$5:S$1146,(L34+1)),""))))</f>
        <v>-</v>
      </c>
      <c r="AE34" s="117" t="str">
        <f t="shared" si="6"/>
        <v>-</v>
      </c>
      <c r="AF34" s="114" t="str">
        <f t="shared" si="7"/>
        <v>-</v>
      </c>
      <c r="AG34" s="115" t="e">
        <f t="shared" si="8"/>
        <v>#DIV/0!</v>
      </c>
      <c r="AH34" s="114" t="str">
        <f t="shared" si="1"/>
        <v>-</v>
      </c>
      <c r="AI34" s="161"/>
      <c r="AJ34" s="77" t="str">
        <f t="shared" si="2"/>
        <v/>
      </c>
    </row>
    <row r="35" spans="1:36" s="77" customFormat="1" ht="15.75" customHeight="1" x14ac:dyDescent="0.2">
      <c r="A35" s="138">
        <v>22</v>
      </c>
      <c r="B35" s="168"/>
      <c r="C35" s="137"/>
      <c r="D35" s="169"/>
      <c r="E35" s="170"/>
      <c r="F35" s="171"/>
      <c r="G35" s="168"/>
      <c r="H35" s="168"/>
      <c r="I35" s="139" t="str">
        <f t="shared" ref="I35:I64" si="10">IF(OR(G35="",H35=""),"-",ROUND(G35/(H35^2),0))</f>
        <v>-</v>
      </c>
      <c r="J35" s="203" t="s">
        <v>139</v>
      </c>
      <c r="K35" s="153" t="str">
        <f t="shared" ref="K35:K64" si="11">IF(F35&gt;0,DATEDIF(F35,$L$1,"Y"),"-")</f>
        <v>-</v>
      </c>
      <c r="L35" s="153" t="str">
        <f>IF(F35="","-",IF(K35&lt;&gt;"",VLOOKUP(K35,T100Pts!CH$4:CI$59,(2))))</f>
        <v>-</v>
      </c>
      <c r="M35" s="155"/>
      <c r="N35" s="153" t="str">
        <f>IF($L35="X","-",IF(M35="","-",IF(J35="M",VLOOKUP(M35,T100Pts!U$5:AC$86,(L35+1)),IF(J35="F",VLOOKUP(M35,T100Pts!AE$5:AM$86,(L35+1)),""))))</f>
        <v>-</v>
      </c>
      <c r="O35" s="155"/>
      <c r="P35" s="140" t="str">
        <f>IF($L35="X","-",IF(O35="","-",IF(J35="M",VLOOKUP(O35,T100Pts!AO$5:AW$126,(L35+1)),IF(J35="F",VLOOKUP(O35,T100Pts!AY$5:BG$126,(L35+1)),""))))</f>
        <v>-</v>
      </c>
      <c r="Q35" s="157"/>
      <c r="R35" s="140" t="str">
        <f>IF(OR($L35="X",$L35=6,$L35=7),"-",IF(Q35="","-",IF(J35="M",VLOOKUP(Q35,T100Pts!BI$5:BN$44,(L35+1)),IF(J35="F",VLOOKUP(Q35,T100Pts!BU$5:BZ$44,(L35+1)),""))))</f>
        <v>-</v>
      </c>
      <c r="S35" s="155"/>
      <c r="T35" s="140" t="str">
        <f>IF($L35="X","-",IF(S35="","-",IF(J35="M",VLOOKUP(S35,T100Pts!A$5:I$1146,(L35+1)),IF(J35="F",VLOOKUP(S35,T100Pts!K$5:S$1147,(L35+1)),""))))</f>
        <v>-</v>
      </c>
      <c r="U35" s="141" t="str">
        <f t="shared" si="4"/>
        <v>-</v>
      </c>
      <c r="V35" s="79" t="str">
        <f t="shared" si="5"/>
        <v>-</v>
      </c>
      <c r="W35" s="155"/>
      <c r="X35" s="116" t="str">
        <f>IF($L35="X","-",IF(W35="","-",IF(J35="M",VLOOKUP(W35,T100Pts!U$5:AC$86,(L35+1)),IF(J35="F",VLOOKUP(W35,T100Pts!AE$5:AM$86,(L35+1)),""))))</f>
        <v>-</v>
      </c>
      <c r="Y35" s="163"/>
      <c r="Z35" s="116" t="str">
        <f>IF($L35="X","-",IF(Y35="","-",IF(J35="M",VLOOKUP(Y35,T100Pts!AO$5:AW$126,(L35+1)),IF(J35="F",VLOOKUP(Y35,T100Pts!AY$5:BG$126,(L35+1)),""))))</f>
        <v>-</v>
      </c>
      <c r="AA35" s="165"/>
      <c r="AB35" s="116" t="str">
        <f>IF(OR($L35="X",$L35=6,$L35=7),"-",IF(AA35="","-",IF(J35="M",VLOOKUP(AA35,T100Pts!BI$5:BN$44,(L35+1)),IF(J35="F",VLOOKUP(AA35,T100Pts!BU$5:BZ$44,(L35+1)),""))))</f>
        <v>-</v>
      </c>
      <c r="AC35" s="163"/>
      <c r="AD35" s="116" t="str">
        <f>IF($L35="X","-",IF(AC35="","-",IF(J35="M",VLOOKUP(AC35,T100Pts!A$5:I$1146,(L35+1)),IF(J35="F",VLOOKUP(AC35,T100Pts!K$5:S$1146,(L35+1)),""))))</f>
        <v>-</v>
      </c>
      <c r="AE35" s="117" t="str">
        <f t="shared" si="6"/>
        <v>-</v>
      </c>
      <c r="AF35" s="114" t="str">
        <f t="shared" si="7"/>
        <v>-</v>
      </c>
      <c r="AG35" s="115" t="e">
        <f t="shared" si="8"/>
        <v>#DIV/0!</v>
      </c>
      <c r="AH35" s="114" t="str">
        <f t="shared" si="1"/>
        <v>-</v>
      </c>
      <c r="AI35" s="161" t="s">
        <v>192</v>
      </c>
      <c r="AJ35" s="77" t="str">
        <f t="shared" si="2"/>
        <v/>
      </c>
    </row>
    <row r="36" spans="1:36" s="77" customFormat="1" ht="15.75" customHeight="1" x14ac:dyDescent="0.2">
      <c r="A36" s="138">
        <v>23</v>
      </c>
      <c r="B36" s="168"/>
      <c r="C36" s="137"/>
      <c r="D36" s="169"/>
      <c r="E36" s="170"/>
      <c r="F36" s="173"/>
      <c r="G36" s="172"/>
      <c r="H36" s="172"/>
      <c r="I36" s="139" t="str">
        <f t="shared" si="10"/>
        <v>-</v>
      </c>
      <c r="J36" s="203" t="s">
        <v>139</v>
      </c>
      <c r="K36" s="153" t="str">
        <f t="shared" si="11"/>
        <v>-</v>
      </c>
      <c r="L36" s="153" t="str">
        <f>IF(F36="","-",IF(K36&lt;&gt;"",VLOOKUP(K36,T100Pts!CH$4:CI$59,(2))))</f>
        <v>-</v>
      </c>
      <c r="M36" s="155"/>
      <c r="N36" s="153" t="str">
        <f>IF($L36="X","-",IF(M36="","-",IF(J36="M",VLOOKUP(M36,T100Pts!U$5:AC$86,(L36+1)),IF(J36="F",VLOOKUP(M36,T100Pts!AE$5:AM$86,(L36+1)),""))))</f>
        <v>-</v>
      </c>
      <c r="O36" s="155"/>
      <c r="P36" s="140" t="str">
        <f>IF($L36="X","-",IF(O36="","-",IF(J36="M",VLOOKUP(O36,T100Pts!AO$5:AW$126,(L36+1)),IF(J36="F",VLOOKUP(O36,T100Pts!AY$5:BG$126,(L36+1)),""))))</f>
        <v>-</v>
      </c>
      <c r="Q36" s="157"/>
      <c r="R36" s="140" t="str">
        <f>IF(OR($L36="X",$L36=6,$L36=7),"-",IF(Q36="","-",IF(J36="M",VLOOKUP(Q36,T100Pts!BI$5:BN$44,(L36+1)),IF(J36="F",VLOOKUP(Q36,T100Pts!BU$5:BZ$44,(L36+1)),""))))</f>
        <v>-</v>
      </c>
      <c r="S36" s="155"/>
      <c r="T36" s="140" t="str">
        <f>IF($L36="X","-",IF(S36="","-",IF(J36="M",VLOOKUP(S36,T100Pts!A$5:I$1146,(L36+1)),IF(J36="F",VLOOKUP(S36,T100Pts!K$5:S$1147,(L36+1)),""))))</f>
        <v>-</v>
      </c>
      <c r="U36" s="141" t="str">
        <f t="shared" si="4"/>
        <v>-</v>
      </c>
      <c r="V36" s="79" t="str">
        <f t="shared" si="5"/>
        <v>-</v>
      </c>
      <c r="W36" s="155"/>
      <c r="X36" s="116" t="str">
        <f>IF($L36="X","-",IF(W36="","-",IF(J36="M",VLOOKUP(W36,T100Pts!U$5:AC$86,(L36+1)),IF(J36="F",VLOOKUP(W36,T100Pts!AE$5:AM$86,(L36+1)),""))))</f>
        <v>-</v>
      </c>
      <c r="Y36" s="163"/>
      <c r="Z36" s="116" t="str">
        <f>IF($L36="X","-",IF(Y36="","-",IF(J36="M",VLOOKUP(Y36,T100Pts!AO$5:AW$126,(L36+1)),IF(J36="F",VLOOKUP(Y36,T100Pts!AY$5:BG$126,(L36+1)),""))))</f>
        <v>-</v>
      </c>
      <c r="AA36" s="165"/>
      <c r="AB36" s="116" t="str">
        <f>IF(OR($L36="X",$L36=6,$L36=7),"-",IF(AA36="","-",IF(J36="M",VLOOKUP(AA36,T100Pts!BI$5:BN$44,(L36+1)),IF(J36="F",VLOOKUP(AA36,T100Pts!BU$5:BZ$44,(L36+1)),""))))</f>
        <v>-</v>
      </c>
      <c r="AC36" s="227"/>
      <c r="AD36" s="116" t="str">
        <f>IF($L36="X","-",IF(AC36="","-",IF(J36="M",VLOOKUP(AC36,T100Pts!A$5:I$1146,(L36+1)),IF(J36="F",VLOOKUP(AC36,T100Pts!K$5:S$1146,(L36+1)),""))))</f>
        <v>-</v>
      </c>
      <c r="AE36" s="117" t="str">
        <f t="shared" si="6"/>
        <v>-</v>
      </c>
      <c r="AF36" s="114" t="str">
        <f t="shared" si="7"/>
        <v>-</v>
      </c>
      <c r="AG36" s="115" t="e">
        <f t="shared" si="8"/>
        <v>#DIV/0!</v>
      </c>
      <c r="AH36" s="114" t="str">
        <f t="shared" si="1"/>
        <v>-</v>
      </c>
      <c r="AI36" s="161"/>
      <c r="AJ36" s="77" t="str">
        <f t="shared" si="2"/>
        <v/>
      </c>
    </row>
    <row r="37" spans="1:36" s="77" customFormat="1" ht="15.75" customHeight="1" x14ac:dyDescent="0.2">
      <c r="A37" s="138">
        <v>24</v>
      </c>
      <c r="B37" s="168"/>
      <c r="C37" s="137"/>
      <c r="D37" s="169"/>
      <c r="E37" s="170"/>
      <c r="F37" s="173"/>
      <c r="G37" s="172"/>
      <c r="H37" s="172"/>
      <c r="I37" s="139" t="str">
        <f t="shared" si="10"/>
        <v>-</v>
      </c>
      <c r="J37" s="203" t="s">
        <v>139</v>
      </c>
      <c r="K37" s="153" t="str">
        <f t="shared" si="11"/>
        <v>-</v>
      </c>
      <c r="L37" s="153" t="str">
        <f>IF(F37="","-",IF(K37&lt;&gt;"",VLOOKUP(K37,T100Pts!CH$4:CI$59,(2))))</f>
        <v>-</v>
      </c>
      <c r="M37" s="155"/>
      <c r="N37" s="153" t="str">
        <f>IF($L37="X","-",IF(M37="","-",IF(J37="M",VLOOKUP(M37,T100Pts!U$5:AC$86,(L37+1)),IF(J37="F",VLOOKUP(M37,T100Pts!AE$5:AM$86,(L37+1)),""))))</f>
        <v>-</v>
      </c>
      <c r="O37" s="155"/>
      <c r="P37" s="140" t="str">
        <f>IF($L37="X","-",IF(O37="","-",IF(J37="M",VLOOKUP(O37,T100Pts!AO$5:AW$126,(L37+1)),IF(J37="F",VLOOKUP(O37,T100Pts!AY$5:BG$126,(L37+1)),""))))</f>
        <v>-</v>
      </c>
      <c r="Q37" s="157"/>
      <c r="R37" s="140" t="str">
        <f>IF(OR($L37="X",$L37=6,$L37=7),"-",IF(Q37="","-",IF(J37="M",VLOOKUP(Q37,T100Pts!BI$5:BN$44,(L37+1)),IF(J37="F",VLOOKUP(Q37,T100Pts!BU$5:BZ$44,(L37+1)),""))))</f>
        <v>-</v>
      </c>
      <c r="S37" s="155"/>
      <c r="T37" s="140" t="str">
        <f>IF($L37="X","-",IF(S37="","-",IF(J37="M",VLOOKUP(S37,T100Pts!A$5:I$1146,(L37+1)),IF(J37="F",VLOOKUP(S37,T100Pts!K$5:S$1147,(L37+1)),""))))</f>
        <v>-</v>
      </c>
      <c r="U37" s="141" t="str">
        <f t="shared" si="4"/>
        <v>-</v>
      </c>
      <c r="V37" s="79" t="str">
        <f t="shared" si="5"/>
        <v>-</v>
      </c>
      <c r="W37" s="155"/>
      <c r="X37" s="116" t="str">
        <f>IF($L37="X","-",IF(W37="","-",IF(J37="M",VLOOKUP(W37,T100Pts!U$5:AC$86,(L37+1)),IF(J37="F",VLOOKUP(W37,T100Pts!AE$5:AM$86,(L37+1)),""))))</f>
        <v>-</v>
      </c>
      <c r="Y37" s="163"/>
      <c r="Z37" s="116" t="str">
        <f>IF($L37="X","-",IF(Y37="","-",IF(J37="M",VLOOKUP(Y37,T100Pts!AO$5:AW$126,(L37+1)),IF(J37="F",VLOOKUP(Y37,T100Pts!AY$5:BG$126,(L37+1)),""))))</f>
        <v>-</v>
      </c>
      <c r="AA37" s="165"/>
      <c r="AB37" s="116" t="str">
        <f>IF(OR($L37="X",$L37=6,$L37=7),"-",IF(AA37="","-",IF(J37="M",VLOOKUP(AA37,T100Pts!BI$5:BN$44,(L37+1)),IF(J37="F",VLOOKUP(AA37,T100Pts!BU$5:BZ$44,(L37+1)),""))))</f>
        <v>-</v>
      </c>
      <c r="AC37" s="227"/>
      <c r="AD37" s="116" t="str">
        <f>IF($L37="X","-",IF(AC37="","-",IF(J37="M",VLOOKUP(AC37,T100Pts!A$5:I$1146,(L37+1)),IF(J37="F",VLOOKUP(AC37,T100Pts!K$5:S$1146,(L37+1)),""))))</f>
        <v>-</v>
      </c>
      <c r="AE37" s="117" t="str">
        <f t="shared" si="6"/>
        <v>-</v>
      </c>
      <c r="AF37" s="114" t="str">
        <f t="shared" si="7"/>
        <v>-</v>
      </c>
      <c r="AG37" s="115" t="e">
        <f t="shared" si="8"/>
        <v>#DIV/0!</v>
      </c>
      <c r="AH37" s="114" t="str">
        <f t="shared" si="1"/>
        <v>-</v>
      </c>
      <c r="AI37" s="161"/>
      <c r="AJ37" s="77" t="str">
        <f t="shared" si="2"/>
        <v/>
      </c>
    </row>
    <row r="38" spans="1:36" s="77" customFormat="1" ht="15.75" customHeight="1" x14ac:dyDescent="0.2">
      <c r="A38" s="138">
        <v>25</v>
      </c>
      <c r="B38" s="168"/>
      <c r="C38" s="137"/>
      <c r="D38" s="169"/>
      <c r="E38" s="170"/>
      <c r="F38" s="173"/>
      <c r="G38" s="168"/>
      <c r="H38" s="168"/>
      <c r="I38" s="139" t="str">
        <f t="shared" si="10"/>
        <v>-</v>
      </c>
      <c r="J38" s="203" t="s">
        <v>139</v>
      </c>
      <c r="K38" s="153" t="str">
        <f t="shared" si="11"/>
        <v>-</v>
      </c>
      <c r="L38" s="153" t="str">
        <f>IF(F38="","-",IF(K38&lt;&gt;"",VLOOKUP(K38,T100Pts!CH$4:CI$59,(2))))</f>
        <v>-</v>
      </c>
      <c r="M38" s="155"/>
      <c r="N38" s="153" t="str">
        <f>IF($L38="X","-",IF(M38="","-",IF(J38="M",VLOOKUP(M38,T100Pts!U$5:AC$86,(L38+1)),IF(J38="F",VLOOKUP(M38,T100Pts!AE$5:AM$86,(L38+1)),""))))</f>
        <v>-</v>
      </c>
      <c r="O38" s="155"/>
      <c r="P38" s="140" t="str">
        <f>IF($L38="X","-",IF(O38="","-",IF(J38="M",VLOOKUP(O38,T100Pts!AO$5:AW$126,(L38+1)),IF(J38="F",VLOOKUP(O38,T100Pts!AY$5:BG$126,(L38+1)),""))))</f>
        <v>-</v>
      </c>
      <c r="Q38" s="157"/>
      <c r="R38" s="140" t="str">
        <f>IF(OR($L38="X",$L38=6,$L38=7),"-",IF(Q38="","-",IF(J38="M",VLOOKUP(Q38,T100Pts!BI$5:BN$44,(L38+1)),IF(J38="F",VLOOKUP(Q38,T100Pts!BU$5:BZ$44,(L38+1)),""))))</f>
        <v>-</v>
      </c>
      <c r="S38" s="155"/>
      <c r="T38" s="140" t="str">
        <f>IF($L38="X","-",IF(S38="","-",IF(J38="M",VLOOKUP(S38,T100Pts!A$5:I$1146,(L38+1)),IF(J38="F",VLOOKUP(S38,T100Pts!K$5:S$1147,(L38+1)),""))))</f>
        <v>-</v>
      </c>
      <c r="U38" s="141" t="str">
        <f t="shared" si="4"/>
        <v>-</v>
      </c>
      <c r="V38" s="79" t="str">
        <f t="shared" si="5"/>
        <v>-</v>
      </c>
      <c r="W38" s="155"/>
      <c r="X38" s="116" t="str">
        <f>IF($L38="X","-",IF(W38="","-",IF(J38="M",VLOOKUP(W38,T100Pts!U$5:AC$86,(L38+1)),IF(J38="F",VLOOKUP(W38,T100Pts!AE$5:AM$86,(L38+1)),""))))</f>
        <v>-</v>
      </c>
      <c r="Y38" s="163"/>
      <c r="Z38" s="116" t="str">
        <f>IF($L38="X","-",IF(Y38="","-",IF(J38="M",VLOOKUP(Y38,T100Pts!AO$5:AW$126,(L38+1)),IF(J38="F",VLOOKUP(Y38,T100Pts!AY$5:BG$126,(L38+1)),""))))</f>
        <v>-</v>
      </c>
      <c r="AA38" s="165"/>
      <c r="AB38" s="116" t="str">
        <f>IF(OR($L38="X",$L38=6,$L38=7),"-",IF(AA38="","-",IF(J38="M",VLOOKUP(AA38,T100Pts!BI$5:BN$44,(L38+1)),IF(J38="F",VLOOKUP(AA38,T100Pts!BU$5:BZ$44,(L38+1)),""))))</f>
        <v>-</v>
      </c>
      <c r="AC38" s="227"/>
      <c r="AD38" s="116" t="str">
        <f>IF($L38="X","-",IF(AC38="","-",IF(J38="M",VLOOKUP(AC38,T100Pts!A$5:I$1146,(L38+1)),IF(J38="F",VLOOKUP(AC38,T100Pts!K$5:S$1146,(L38+1)),""))))</f>
        <v>-</v>
      </c>
      <c r="AE38" s="117" t="str">
        <f t="shared" si="6"/>
        <v>-</v>
      </c>
      <c r="AF38" s="114" t="str">
        <f t="shared" si="7"/>
        <v>-</v>
      </c>
      <c r="AG38" s="115" t="e">
        <f t="shared" si="8"/>
        <v>#DIV/0!</v>
      </c>
      <c r="AH38" s="114" t="str">
        <f t="shared" si="1"/>
        <v>-</v>
      </c>
      <c r="AI38" s="161"/>
      <c r="AJ38" s="77" t="str">
        <f t="shared" si="2"/>
        <v/>
      </c>
    </row>
    <row r="39" spans="1:36" s="77" customFormat="1" ht="15.75" customHeight="1" x14ac:dyDescent="0.2">
      <c r="A39" s="138">
        <v>26</v>
      </c>
      <c r="B39" s="168"/>
      <c r="C39" s="137"/>
      <c r="D39" s="169"/>
      <c r="E39" s="170"/>
      <c r="F39" s="173"/>
      <c r="G39" s="172"/>
      <c r="H39" s="172"/>
      <c r="I39" s="139" t="str">
        <f t="shared" si="10"/>
        <v>-</v>
      </c>
      <c r="J39" s="203" t="s">
        <v>139</v>
      </c>
      <c r="K39" s="153" t="str">
        <f t="shared" si="11"/>
        <v>-</v>
      </c>
      <c r="L39" s="153" t="str">
        <f>IF(F39="","-",IF(K39&lt;&gt;"",VLOOKUP(K39,T100Pts!CH$4:CI$59,(2))))</f>
        <v>-</v>
      </c>
      <c r="M39" s="155"/>
      <c r="N39" s="153" t="str">
        <f>IF($L39="X","-",IF(M39="","-",IF(J39="M",VLOOKUP(M39,T100Pts!U$5:AC$86,(L39+1)),IF(J39="F",VLOOKUP(M39,T100Pts!AE$5:AM$86,(L39+1)),""))))</f>
        <v>-</v>
      </c>
      <c r="O39" s="155"/>
      <c r="P39" s="140" t="str">
        <f>IF($L39="X","-",IF(O39="","-",IF(J39="M",VLOOKUP(O39,T100Pts!AO$5:AW$126,(L39+1)),IF(J39="F",VLOOKUP(O39,T100Pts!AY$5:BG$126,(L39+1)),""))))</f>
        <v>-</v>
      </c>
      <c r="Q39" s="157"/>
      <c r="R39" s="140" t="str">
        <f>IF(OR($L39="X",$L39=6,$L39=7),"-",IF(Q39="","-",IF(J39="M",VLOOKUP(Q39,T100Pts!BI$5:BN$44,(L39+1)),IF(J39="F",VLOOKUP(Q39,T100Pts!BU$5:BZ$44,(L39+1)),""))))</f>
        <v>-</v>
      </c>
      <c r="S39" s="155"/>
      <c r="T39" s="140" t="str">
        <f>IF($L39="X","-",IF(S39="","-",IF(J39="M",VLOOKUP(S39,T100Pts!A$5:I$1146,(L39+1)),IF(J39="F",VLOOKUP(S39,T100Pts!K$5:S$1147,(L39+1)),""))))</f>
        <v>-</v>
      </c>
      <c r="U39" s="141" t="str">
        <f t="shared" si="4"/>
        <v>-</v>
      </c>
      <c r="V39" s="79" t="str">
        <f t="shared" si="5"/>
        <v>-</v>
      </c>
      <c r="W39" s="155"/>
      <c r="X39" s="116" t="str">
        <f>IF($L39="X","-",IF(W39="","-",IF(J39="M",VLOOKUP(W39,T100Pts!U$5:AC$86,(L39+1)),IF(J39="F",VLOOKUP(W39,T100Pts!AE$5:AM$86,(L39+1)),""))))</f>
        <v>-</v>
      </c>
      <c r="Y39" s="163"/>
      <c r="Z39" s="116" t="str">
        <f>IF($L39="X","-",IF(Y39="","-",IF(J39="M",VLOOKUP(Y39,T100Pts!AO$5:AW$126,(L39+1)),IF(J39="F",VLOOKUP(Y39,T100Pts!AY$5:BG$126,(L39+1)),""))))</f>
        <v>-</v>
      </c>
      <c r="AA39" s="165"/>
      <c r="AB39" s="116" t="str">
        <f>IF(OR($L39="X",$L39=6,$L39=7),"-",IF(AA39="","-",IF(J39="M",VLOOKUP(AA39,T100Pts!BI$5:BN$44,(L39+1)),IF(J39="F",VLOOKUP(AA39,T100Pts!BU$5:BZ$44,(L39+1)),""))))</f>
        <v>-</v>
      </c>
      <c r="AC39" s="163"/>
      <c r="AD39" s="116" t="str">
        <f>IF($L39="X","-",IF(AC39="","-",IF(J39="M",VLOOKUP(AC39,T100Pts!A$5:I$1146,(L39+1)),IF(J39="F",VLOOKUP(AC39,T100Pts!K$5:S$1146,(L39+1)),""))))</f>
        <v>-</v>
      </c>
      <c r="AE39" s="117" t="str">
        <f t="shared" si="6"/>
        <v>-</v>
      </c>
      <c r="AF39" s="114" t="str">
        <f t="shared" si="7"/>
        <v>-</v>
      </c>
      <c r="AG39" s="115" t="e">
        <f t="shared" si="8"/>
        <v>#DIV/0!</v>
      </c>
      <c r="AH39" s="114" t="str">
        <f t="shared" si="1"/>
        <v>-</v>
      </c>
      <c r="AI39" s="161" t="s">
        <v>205</v>
      </c>
      <c r="AJ39" s="77" t="str">
        <f t="shared" si="2"/>
        <v/>
      </c>
    </row>
    <row r="40" spans="1:36" s="77" customFormat="1" ht="15.75" customHeight="1" x14ac:dyDescent="0.2">
      <c r="A40" s="138">
        <v>27</v>
      </c>
      <c r="B40" s="168"/>
      <c r="C40" s="137"/>
      <c r="D40" s="169"/>
      <c r="E40" s="170"/>
      <c r="F40" s="173"/>
      <c r="G40" s="168"/>
      <c r="H40" s="168"/>
      <c r="I40" s="139" t="str">
        <f t="shared" si="10"/>
        <v>-</v>
      </c>
      <c r="J40" s="203" t="s">
        <v>139</v>
      </c>
      <c r="K40" s="153" t="str">
        <f t="shared" si="11"/>
        <v>-</v>
      </c>
      <c r="L40" s="153" t="str">
        <f>IF(F40="","-",IF(K40&lt;&gt;"",VLOOKUP(K40,T100Pts!CH$4:CI$59,(2))))</f>
        <v>-</v>
      </c>
      <c r="M40" s="155"/>
      <c r="N40" s="153" t="str">
        <f>IF($L40="X","-",IF(M40="","-",IF(J40="M",VLOOKUP(M40,T100Pts!U$5:AC$86,(L40+1)),IF(J40="F",VLOOKUP(M40,T100Pts!AE$5:AM$86,(L40+1)),""))))</f>
        <v>-</v>
      </c>
      <c r="O40" s="155"/>
      <c r="P40" s="140" t="str">
        <f>IF($L40="X","-",IF(O40="","-",IF(J40="M",VLOOKUP(O40,T100Pts!AO$5:AW$126,(L40+1)),IF(J40="F",VLOOKUP(O40,T100Pts!AY$5:BG$126,(L40+1)),""))))</f>
        <v>-</v>
      </c>
      <c r="Q40" s="157"/>
      <c r="R40" s="140" t="str">
        <f>IF(OR($L40="X",$L40=6,$L40=7),"-",IF(Q40="","-",IF(J40="M",VLOOKUP(Q40,T100Pts!BI$5:BN$44,(L40+1)),IF(J40="F",VLOOKUP(Q40,T100Pts!BU$5:BZ$44,(L40+1)),""))))</f>
        <v>-</v>
      </c>
      <c r="S40" s="155"/>
      <c r="T40" s="140" t="str">
        <f>IF($L40="X","-",IF(S40="","-",IF(J40="M",VLOOKUP(S40,T100Pts!A$5:I$1146,(L40+1)),IF(J40="F",VLOOKUP(S40,T100Pts!K$5:S$1147,(L40+1)),""))))</f>
        <v>-</v>
      </c>
      <c r="U40" s="141" t="str">
        <f t="shared" si="4"/>
        <v>-</v>
      </c>
      <c r="V40" s="79" t="str">
        <f t="shared" si="5"/>
        <v>-</v>
      </c>
      <c r="W40" s="155"/>
      <c r="X40" s="116" t="str">
        <f>IF($L40="X","-",IF(W40="","-",IF(J40="M",VLOOKUP(W40,T100Pts!U$5:AC$86,(L40+1)),IF(J40="F",VLOOKUP(W40,T100Pts!AE$5:AM$86,(L40+1)),""))))</f>
        <v>-</v>
      </c>
      <c r="Y40" s="163"/>
      <c r="Z40" s="116" t="str">
        <f>IF($L40="X","-",IF(Y40="","-",IF(J40="M",VLOOKUP(Y40,T100Pts!AO$5:AW$126,(L40+1)),IF(J40="F",VLOOKUP(Y40,T100Pts!AY$5:BG$126,(L40+1)),""))))</f>
        <v>-</v>
      </c>
      <c r="AA40" s="165"/>
      <c r="AB40" s="116" t="str">
        <f>IF(OR($L40="X",$L40=6,$L40=7),"-",IF(AA40="","-",IF(J40="M",VLOOKUP(AA40,T100Pts!BI$5:BN$44,(L40+1)),IF(J40="F",VLOOKUP(AA40,T100Pts!BU$5:BZ$44,(L40+1)),""))))</f>
        <v>-</v>
      </c>
      <c r="AC40" s="227"/>
      <c r="AD40" s="116" t="str">
        <f>IF($L40="X","-",IF(AC40="","-",IF(J40="M",VLOOKUP(AC40,T100Pts!A$5:I$1146,(L40+1)),IF(J40="F",VLOOKUP(AC40,T100Pts!K$5:S$1146,(L40+1)),""))))</f>
        <v>-</v>
      </c>
      <c r="AE40" s="117" t="str">
        <f t="shared" si="6"/>
        <v>-</v>
      </c>
      <c r="AF40" s="114" t="str">
        <f t="shared" si="7"/>
        <v>-</v>
      </c>
      <c r="AG40" s="115" t="e">
        <f t="shared" si="8"/>
        <v>#DIV/0!</v>
      </c>
      <c r="AH40" s="114" t="str">
        <f t="shared" si="1"/>
        <v>-</v>
      </c>
      <c r="AI40" s="161"/>
      <c r="AJ40" s="77" t="str">
        <f t="shared" si="2"/>
        <v/>
      </c>
    </row>
    <row r="41" spans="1:36" s="77" customFormat="1" ht="15.75" customHeight="1" x14ac:dyDescent="0.2">
      <c r="A41" s="138">
        <v>28</v>
      </c>
      <c r="B41" s="168"/>
      <c r="C41" s="137"/>
      <c r="D41" s="169"/>
      <c r="E41" s="170"/>
      <c r="F41" s="173"/>
      <c r="G41" s="168"/>
      <c r="H41" s="172"/>
      <c r="I41" s="139" t="str">
        <f t="shared" si="10"/>
        <v>-</v>
      </c>
      <c r="J41" s="203" t="s">
        <v>139</v>
      </c>
      <c r="K41" s="153" t="str">
        <f t="shared" si="11"/>
        <v>-</v>
      </c>
      <c r="L41" s="153" t="str">
        <f>IF(F41="","-",IF(K41&lt;&gt;"",VLOOKUP(K41,T100Pts!CH$4:CI$59,(2))))</f>
        <v>-</v>
      </c>
      <c r="M41" s="155"/>
      <c r="N41" s="153" t="str">
        <f>IF($L41="X","-",IF(M41="","-",IF(J41="M",VLOOKUP(M41,T100Pts!U$5:AC$86,(L41+1)),IF(J41="F",VLOOKUP(M41,T100Pts!AE$5:AM$86,(L41+1)),""))))</f>
        <v>-</v>
      </c>
      <c r="O41" s="155"/>
      <c r="P41" s="140" t="str">
        <f>IF($L41="X","-",IF(O41="","-",IF(J41="M",VLOOKUP(O41,T100Pts!AO$5:AW$126,(L41+1)),IF(J41="F",VLOOKUP(O41,T100Pts!AY$5:BG$126,(L41+1)),""))))</f>
        <v>-</v>
      </c>
      <c r="Q41" s="157"/>
      <c r="R41" s="140" t="str">
        <f>IF(OR($L41="X",$L41=6,$L41=7),"-",IF(Q41="","-",IF(J41="M",VLOOKUP(Q41,T100Pts!BI$5:BN$44,(L41+1)),IF(J41="F",VLOOKUP(Q41,T100Pts!BU$5:BZ$44,(L41+1)),""))))</f>
        <v>-</v>
      </c>
      <c r="S41" s="155"/>
      <c r="T41" s="140" t="str">
        <f>IF($L41="X","-",IF(S41="","-",IF(J41="M",VLOOKUP(S41,T100Pts!A$5:I$1146,(L41+1)),IF(J41="F",VLOOKUP(S41,T100Pts!K$5:S$1147,(L41+1)),""))))</f>
        <v>-</v>
      </c>
      <c r="U41" s="141" t="str">
        <f t="shared" si="4"/>
        <v>-</v>
      </c>
      <c r="V41" s="79" t="str">
        <f t="shared" si="5"/>
        <v>-</v>
      </c>
      <c r="W41" s="155"/>
      <c r="X41" s="116" t="str">
        <f>IF($L41="X","-",IF(W41="","-",IF(J41="M",VLOOKUP(W41,T100Pts!U$5:AC$86,(L41+1)),IF(J41="F",VLOOKUP(W41,T100Pts!AE$5:AM$86,(L41+1)),""))))</f>
        <v>-</v>
      </c>
      <c r="Y41" s="163"/>
      <c r="Z41" s="116" t="str">
        <f>IF($L41="X","-",IF(Y41="","-",IF(J41="M",VLOOKUP(Y41,T100Pts!AO$5:AW$126,(L41+1)),IF(J41="F",VLOOKUP(Y41,T100Pts!AY$5:BG$126,(L41+1)),""))))</f>
        <v>-</v>
      </c>
      <c r="AA41" s="165"/>
      <c r="AB41" s="116" t="str">
        <f>IF(OR($L41="X",$L41=6,$L41=7),"-",IF(AA41="","-",IF(J41="M",VLOOKUP(AA41,T100Pts!BI$5:BN$44,(L41+1)),IF(J41="F",VLOOKUP(AA41,T100Pts!BU$5:BZ$44,(L41+1)),""))))</f>
        <v>-</v>
      </c>
      <c r="AC41" s="163"/>
      <c r="AD41" s="116" t="str">
        <f>IF($L41="X","-",IF(AC41="","-",IF(J41="M",VLOOKUP(AC41,T100Pts!A$5:I$1146,(L41+1)),IF(J41="F",VLOOKUP(AC41,T100Pts!K$5:S$1146,(L41+1)),""))))</f>
        <v>-</v>
      </c>
      <c r="AE41" s="117" t="str">
        <f t="shared" si="6"/>
        <v>-</v>
      </c>
      <c r="AF41" s="114" t="str">
        <f t="shared" si="7"/>
        <v>-</v>
      </c>
      <c r="AG41" s="115" t="e">
        <f t="shared" si="8"/>
        <v>#DIV/0!</v>
      </c>
      <c r="AH41" s="114" t="str">
        <f t="shared" si="1"/>
        <v>-</v>
      </c>
      <c r="AI41" s="161" t="s">
        <v>185</v>
      </c>
      <c r="AJ41" s="77" t="str">
        <f t="shared" si="2"/>
        <v/>
      </c>
    </row>
    <row r="42" spans="1:36" s="77" customFormat="1" ht="15.75" customHeight="1" x14ac:dyDescent="0.2">
      <c r="A42" s="138">
        <v>29</v>
      </c>
      <c r="B42" s="168"/>
      <c r="C42" s="137"/>
      <c r="D42" s="169"/>
      <c r="E42" s="170"/>
      <c r="F42" s="173"/>
      <c r="G42" s="172"/>
      <c r="H42" s="172"/>
      <c r="I42" s="139" t="str">
        <f t="shared" si="10"/>
        <v>-</v>
      </c>
      <c r="J42" s="203" t="s">
        <v>139</v>
      </c>
      <c r="K42" s="153" t="str">
        <f t="shared" si="11"/>
        <v>-</v>
      </c>
      <c r="L42" s="153" t="str">
        <f>IF(F42="","-",IF(K42&lt;&gt;"",VLOOKUP(K42,T100Pts!CH$4:CI$59,(2))))</f>
        <v>-</v>
      </c>
      <c r="M42" s="155"/>
      <c r="N42" s="153" t="str">
        <f>IF($L42="X","-",IF(M42="","-",IF(J42="M",VLOOKUP(M42,T100Pts!U$5:AC$86,(L42+1)),IF(J42="F",VLOOKUP(M42,T100Pts!AE$5:AM$86,(L42+1)),""))))</f>
        <v>-</v>
      </c>
      <c r="O42" s="155"/>
      <c r="P42" s="140" t="str">
        <f>IF($L42="X","-",IF(O42="","-",IF(J42="M",VLOOKUP(O42,T100Pts!AO$5:AW$126,(L42+1)),IF(J42="F",VLOOKUP(O42,T100Pts!AY$5:BG$126,(L42+1)),""))))</f>
        <v>-</v>
      </c>
      <c r="Q42" s="158"/>
      <c r="R42" s="140" t="str">
        <f>IF(OR($L42="X",$L42=6,$L42=7),"-",IF(Q42="","-",IF(J42="M",VLOOKUP(Q42,T100Pts!BI$5:BN$44,(L42+1)),IF(J42="F",VLOOKUP(Q42,T100Pts!BU$5:BZ$44,(L42+1)),""))))</f>
        <v>-</v>
      </c>
      <c r="S42" s="155"/>
      <c r="T42" s="140" t="str">
        <f>IF($L42="X","-",IF(S42="","-",IF(J42="M",VLOOKUP(S42,T100Pts!A$5:I$1146,(L42+1)),IF(J42="F",VLOOKUP(S42,T100Pts!K$5:S$1147,(L42+1)),""))))</f>
        <v>-</v>
      </c>
      <c r="U42" s="141" t="str">
        <f t="shared" si="4"/>
        <v>-</v>
      </c>
      <c r="V42" s="79" t="str">
        <f t="shared" si="5"/>
        <v>-</v>
      </c>
      <c r="W42" s="155"/>
      <c r="X42" s="116" t="str">
        <f>IF($L42="X","-",IF(W42="","-",IF(J42="M",VLOOKUP(W42,T100Pts!U$5:AC$86,(L42+1)),IF(J42="F",VLOOKUP(W42,T100Pts!AE$5:AM$86,(L42+1)),""))))</f>
        <v>-</v>
      </c>
      <c r="Y42" s="163"/>
      <c r="Z42" s="116" t="str">
        <f>IF($L42="X","-",IF(Y42="","-",IF(J42="M",VLOOKUP(Y42,T100Pts!AO$5:AW$126,(L42+1)),IF(J42="F",VLOOKUP(Y42,T100Pts!AY$5:BG$126,(L42+1)),""))))</f>
        <v>-</v>
      </c>
      <c r="AA42" s="166"/>
      <c r="AB42" s="116" t="str">
        <f>IF(OR($L42="X",$L42=6,$L42=7),"-",IF(AA42="","-",IF(J42="M",VLOOKUP(AA42,T100Pts!BI$5:BN$44,(L42+1)),IF(J42="F",VLOOKUP(AA42,T100Pts!BU$5:BZ$44,(L42+1)),""))))</f>
        <v>-</v>
      </c>
      <c r="AC42" s="227"/>
      <c r="AD42" s="116" t="str">
        <f>IF($L42="X","-",IF(AC42="","-",IF(J42="M",VLOOKUP(AC42,T100Pts!A$5:I$1146,(L42+1)),IF(J42="F",VLOOKUP(AC42,T100Pts!K$5:S$1146,(L42+1)),""))))</f>
        <v>-</v>
      </c>
      <c r="AE42" s="117" t="str">
        <f t="shared" si="6"/>
        <v>-</v>
      </c>
      <c r="AF42" s="114" t="str">
        <f t="shared" si="7"/>
        <v>-</v>
      </c>
      <c r="AG42" s="115" t="e">
        <f t="shared" si="8"/>
        <v>#DIV/0!</v>
      </c>
      <c r="AH42" s="114" t="str">
        <f t="shared" si="1"/>
        <v>-</v>
      </c>
      <c r="AI42" s="161"/>
      <c r="AJ42" s="77" t="str">
        <f t="shared" si="2"/>
        <v/>
      </c>
    </row>
    <row r="43" spans="1:36" s="77" customFormat="1" ht="15.75" customHeight="1" x14ac:dyDescent="0.2">
      <c r="A43" s="138">
        <v>30</v>
      </c>
      <c r="B43" s="168"/>
      <c r="C43" s="137"/>
      <c r="D43" s="169"/>
      <c r="E43" s="170"/>
      <c r="F43" s="173"/>
      <c r="G43" s="168"/>
      <c r="H43" s="168"/>
      <c r="I43" s="139" t="str">
        <f t="shared" si="10"/>
        <v>-</v>
      </c>
      <c r="J43" s="203" t="s">
        <v>139</v>
      </c>
      <c r="K43" s="153" t="str">
        <f t="shared" si="11"/>
        <v>-</v>
      </c>
      <c r="L43" s="153" t="str">
        <f>IF(F43="","-",IF(K43&lt;&gt;"",VLOOKUP(K43,T100Pts!CH$4:CI$59,(2))))</f>
        <v>-</v>
      </c>
      <c r="M43" s="155"/>
      <c r="N43" s="153" t="str">
        <f>IF($L43="X","-",IF(M43="","-",IF(J43="M",VLOOKUP(M43,T100Pts!U$5:AC$86,(L43+1)),IF(J43="F",VLOOKUP(M43,T100Pts!AE$5:AM$86,(L43+1)),""))))</f>
        <v>-</v>
      </c>
      <c r="O43" s="155"/>
      <c r="P43" s="140" t="str">
        <f>IF($L43="X","-",IF(O43="","-",IF(J43="M",VLOOKUP(O43,T100Pts!AO$5:AW$126,(L43+1)),IF(J43="F",VLOOKUP(O43,T100Pts!AY$5:BG$126,(L43+1)),""))))</f>
        <v>-</v>
      </c>
      <c r="Q43" s="157"/>
      <c r="R43" s="140" t="str">
        <f>IF(OR($L43="X",$L43=6,$L43=7),"-",IF(Q43="","-",IF(J43="M",VLOOKUP(Q43,T100Pts!BI$5:BN$44,(L43+1)),IF(J43="F",VLOOKUP(Q43,T100Pts!BU$5:BZ$44,(L43+1)),""))))</f>
        <v>-</v>
      </c>
      <c r="S43" s="155"/>
      <c r="T43" s="140" t="str">
        <f>IF($L43="X","-",IF(S43="","-",IF(J43="M",VLOOKUP(S43,T100Pts!A$5:I$1146,(L43+1)),IF(J43="F",VLOOKUP(S43,T100Pts!K$5:S$1147,(L43+1)),""))))</f>
        <v>-</v>
      </c>
      <c r="U43" s="141" t="str">
        <f t="shared" si="4"/>
        <v>-</v>
      </c>
      <c r="V43" s="79" t="str">
        <f t="shared" si="5"/>
        <v>-</v>
      </c>
      <c r="W43" s="155"/>
      <c r="X43" s="116" t="str">
        <f>IF($L43="X","-",IF(W43="","-",IF(J43="M",VLOOKUP(W43,T100Pts!U$5:AC$86,(L43+1)),IF(J43="F",VLOOKUP(W43,T100Pts!AE$5:AM$86,(L43+1)),""))))</f>
        <v>-</v>
      </c>
      <c r="Y43" s="163"/>
      <c r="Z43" s="116" t="str">
        <f>IF($L43="X","-",IF(Y43="","-",IF(J43="M",VLOOKUP(Y43,T100Pts!AO$5:AW$126,(L43+1)),IF(J43="F",VLOOKUP(Y43,T100Pts!AY$5:BG$126,(L43+1)),""))))</f>
        <v>-</v>
      </c>
      <c r="AA43" s="165"/>
      <c r="AB43" s="116" t="str">
        <f>IF(OR($L43="X",$L43=6,$L43=7),"-",IF(AA43="","-",IF(J43="M",VLOOKUP(AA43,T100Pts!BI$5:BN$44,(L43+1)),IF(J43="F",VLOOKUP(AA43,T100Pts!BU$5:BZ$44,(L43+1)),""))))</f>
        <v>-</v>
      </c>
      <c r="AC43" s="163"/>
      <c r="AD43" s="116" t="str">
        <f>IF($L43="X","-",IF(AC43="","-",IF(J43="M",VLOOKUP(AC43,T100Pts!A$5:I$1146,(L43+1)),IF(J43="F",VLOOKUP(AC43,T100Pts!K$5:S$1146,(L43+1)),""))))</f>
        <v>-</v>
      </c>
      <c r="AE43" s="117" t="str">
        <f t="shared" si="6"/>
        <v>-</v>
      </c>
      <c r="AF43" s="114" t="str">
        <f t="shared" si="7"/>
        <v>-</v>
      </c>
      <c r="AG43" s="115" t="e">
        <f t="shared" si="8"/>
        <v>#DIV/0!</v>
      </c>
      <c r="AH43" s="114" t="str">
        <f t="shared" si="1"/>
        <v>-</v>
      </c>
      <c r="AI43" s="161" t="s">
        <v>203</v>
      </c>
      <c r="AJ43" s="77" t="str">
        <f t="shared" si="2"/>
        <v/>
      </c>
    </row>
    <row r="44" spans="1:36" s="77" customFormat="1" ht="15.75" customHeight="1" x14ac:dyDescent="0.2">
      <c r="A44" s="138">
        <v>31</v>
      </c>
      <c r="B44" s="168"/>
      <c r="C44" s="137"/>
      <c r="D44" s="169"/>
      <c r="E44" s="180"/>
      <c r="F44" s="173"/>
      <c r="G44" s="181"/>
      <c r="H44" s="182"/>
      <c r="I44" s="139" t="str">
        <f t="shared" si="10"/>
        <v>-</v>
      </c>
      <c r="J44" s="203" t="s">
        <v>139</v>
      </c>
      <c r="K44" s="153" t="str">
        <f t="shared" si="11"/>
        <v>-</v>
      </c>
      <c r="L44" s="153" t="str">
        <f>IF(F44="","-",IF(K44&lt;&gt;"",VLOOKUP(K44,T100Pts!CH$4:CI$59,(2))))</f>
        <v>-</v>
      </c>
      <c r="M44" s="155"/>
      <c r="N44" s="153" t="str">
        <f>IF($L44="X","-",IF(M44="","-",IF(J44="M",VLOOKUP(M44,T100Pts!U$5:AC$86,(L44+1)),IF(J44="F",VLOOKUP(M44,T100Pts!AE$5:AM$86,(L44+1)),""))))</f>
        <v>-</v>
      </c>
      <c r="O44" s="155"/>
      <c r="P44" s="140" t="str">
        <f>IF($L44="X","-",IF(O44="","-",IF(J44="M",VLOOKUP(O44,T100Pts!AO$5:AW$126,(L44+1)),IF(J44="F",VLOOKUP(O44,T100Pts!AY$5:BG$126,(L44+1)),""))))</f>
        <v>-</v>
      </c>
      <c r="Q44" s="157"/>
      <c r="R44" s="140" t="str">
        <f>IF(OR($L44="X",$L44=6,$L44=7),"-",IF(Q44="","-",IF(J44="M",VLOOKUP(Q44,T100Pts!BI$5:BN$44,(L44+1)),IF(J44="F",VLOOKUP(Q44,T100Pts!BU$5:BZ$44,(L44+1)),""))))</f>
        <v>-</v>
      </c>
      <c r="S44" s="155"/>
      <c r="T44" s="140" t="str">
        <f>IF($L44="X","-",IF(S44="","-",IF(J44="M",VLOOKUP(S44,T100Pts!A$5:I$1146,(L44+1)),IF(J44="F",VLOOKUP(S44,T100Pts!K$5:S$1147,(L44+1)),""))))</f>
        <v>-</v>
      </c>
      <c r="U44" s="141" t="str">
        <f t="shared" si="4"/>
        <v>-</v>
      </c>
      <c r="V44" s="79" t="str">
        <f t="shared" si="5"/>
        <v>-</v>
      </c>
      <c r="W44" s="155"/>
      <c r="X44" s="116" t="str">
        <f>IF($L44="X","-",IF(W44="","-",IF(J44="M",VLOOKUP(W44,T100Pts!U$5:AC$86,(L44+1)),IF(J44="F",VLOOKUP(W44,T100Pts!AE$5:AM$86,(L44+1)),""))))</f>
        <v>-</v>
      </c>
      <c r="Y44" s="163"/>
      <c r="Z44" s="116" t="str">
        <f>IF($L44="X","-",IF(Y44="","-",IF(J44="M",VLOOKUP(Y44,T100Pts!AO$5:AW$126,(L44+1)),IF(J44="F",VLOOKUP(Y44,T100Pts!AY$5:BG$126,(L44+1)),""))))</f>
        <v>-</v>
      </c>
      <c r="AA44" s="165"/>
      <c r="AB44" s="116" t="str">
        <f>IF(OR($L44="X",$L44=6,$L44=7),"-",IF(AA44="","-",IF(J44="M",VLOOKUP(AA44,T100Pts!BI$5:BN$44,(L44+1)),IF(J44="F",VLOOKUP(AA44,T100Pts!BU$5:BZ$44,(L44+1)),""))))</f>
        <v>-</v>
      </c>
      <c r="AC44" s="227"/>
      <c r="AD44" s="116" t="str">
        <f>IF($L44="X","-",IF(AC44="","-",IF(J44="M",VLOOKUP(AC44,T100Pts!A$5:I$1146,(L44+1)),IF(J44="F",VLOOKUP(AC44,T100Pts!K$5:S$1146,(L44+1)),""))))</f>
        <v>-</v>
      </c>
      <c r="AE44" s="117" t="str">
        <f t="shared" si="6"/>
        <v>-</v>
      </c>
      <c r="AF44" s="114" t="str">
        <f t="shared" si="7"/>
        <v>-</v>
      </c>
      <c r="AG44" s="115" t="e">
        <f t="shared" si="8"/>
        <v>#DIV/0!</v>
      </c>
      <c r="AH44" s="114" t="str">
        <f t="shared" si="1"/>
        <v>-</v>
      </c>
      <c r="AI44" s="161"/>
      <c r="AJ44" s="77" t="str">
        <f t="shared" si="2"/>
        <v/>
      </c>
    </row>
    <row r="45" spans="1:36" s="77" customFormat="1" ht="15.75" customHeight="1" x14ac:dyDescent="0.2">
      <c r="A45" s="138">
        <v>32</v>
      </c>
      <c r="B45" s="168"/>
      <c r="C45" s="137"/>
      <c r="D45" s="169"/>
      <c r="E45" s="170"/>
      <c r="F45" s="173"/>
      <c r="G45" s="168"/>
      <c r="H45" s="168"/>
      <c r="I45" s="139" t="str">
        <f t="shared" si="10"/>
        <v>-</v>
      </c>
      <c r="J45" s="203" t="s">
        <v>139</v>
      </c>
      <c r="K45" s="153" t="str">
        <f t="shared" si="11"/>
        <v>-</v>
      </c>
      <c r="L45" s="153" t="str">
        <f>IF(F45="","-",IF(K45&lt;&gt;"",VLOOKUP(K45,T100Pts!CH$4:CI$59,(2))))</f>
        <v>-</v>
      </c>
      <c r="M45" s="155"/>
      <c r="N45" s="153" t="str">
        <f>IF($L45="X","-",IF(M45="","-",IF(J45="M",VLOOKUP(M45,T100Pts!U$5:AC$86,(L45+1)),IF(J45="F",VLOOKUP(M45,T100Pts!AE$5:AM$86,(L45+1)),""))))</f>
        <v>-</v>
      </c>
      <c r="O45" s="155"/>
      <c r="P45" s="140" t="str">
        <f>IF($L45="X","-",IF(O45="","-",IF(J45="M",VLOOKUP(O45,T100Pts!AO$5:AW$126,(L45+1)),IF(J45="F",VLOOKUP(O45,T100Pts!AY$5:BG$126,(L45+1)),""))))</f>
        <v>-</v>
      </c>
      <c r="Q45" s="158"/>
      <c r="R45" s="140" t="str">
        <f>IF(OR($L45="X",$L45=6,$L45=7),"-",IF(Q45="","-",IF(J45="M",VLOOKUP(Q45,T100Pts!BI$5:BN$44,(L45+1)),IF(J45="F",VLOOKUP(Q45,T100Pts!BU$5:BZ$44,(L45+1)),""))))</f>
        <v>-</v>
      </c>
      <c r="S45" s="155"/>
      <c r="T45" s="140" t="str">
        <f>IF($L45="X","-",IF(S45="","-",IF(J45="M",VLOOKUP(S45,T100Pts!A$5:I$1146,(L45+1)),IF(J45="F",VLOOKUP(S45,T100Pts!K$5:S$1147,(L45+1)),""))))</f>
        <v>-</v>
      </c>
      <c r="U45" s="141" t="str">
        <f t="shared" si="4"/>
        <v>-</v>
      </c>
      <c r="V45" s="79" t="str">
        <f t="shared" si="5"/>
        <v>-</v>
      </c>
      <c r="W45" s="155"/>
      <c r="X45" s="116" t="str">
        <f>IF($L45="X","-",IF(W45="","-",IF(J45="M",VLOOKUP(W45,T100Pts!U$5:AC$86,(L45+1)),IF(J45="F",VLOOKUP(W45,T100Pts!AE$5:AM$86,(L45+1)),""))))</f>
        <v>-</v>
      </c>
      <c r="Y45" s="163"/>
      <c r="Z45" s="116" t="str">
        <f>IF($L45="X","-",IF(Y45="","-",IF(J45="M",VLOOKUP(Y45,T100Pts!AO$5:AW$126,(L45+1)),IF(J45="F",VLOOKUP(Y45,T100Pts!AY$5:BG$126,(L45+1)),""))))</f>
        <v>-</v>
      </c>
      <c r="AA45" s="166"/>
      <c r="AB45" s="116" t="str">
        <f>IF(OR($L45="X",$L45=6,$L45=7),"-",IF(AA45="","-",IF(J45="M",VLOOKUP(AA45,T100Pts!BI$5:BN$44,(L45+1)),IF(J45="F",VLOOKUP(AA45,T100Pts!BU$5:BZ$44,(L45+1)),""))))</f>
        <v>-</v>
      </c>
      <c r="AC45" s="227"/>
      <c r="AD45" s="116" t="str">
        <f>IF($L45="X","-",IF(AC45="","-",IF(J45="M",VLOOKUP(AC45,T100Pts!A$5:I$1146,(L45+1)),IF(J45="F",VLOOKUP(AC45,T100Pts!K$5:S$1146,(L45+1)),""))))</f>
        <v>-</v>
      </c>
      <c r="AE45" s="117" t="str">
        <f t="shared" si="6"/>
        <v>-</v>
      </c>
      <c r="AF45" s="114" t="str">
        <f t="shared" si="7"/>
        <v>-</v>
      </c>
      <c r="AG45" s="115" t="e">
        <f t="shared" si="8"/>
        <v>#DIV/0!</v>
      </c>
      <c r="AH45" s="114" t="str">
        <f t="shared" si="1"/>
        <v>-</v>
      </c>
      <c r="AI45" s="161"/>
      <c r="AJ45" s="77" t="str">
        <f t="shared" ref="AJ45:AJ76" si="12">IF(OR(B45="TG",B45="GD",B45="GB",B45="CY",B45="CR",B45="TC",B45="MY",B45="CT",B45="TP",B45="TP EC",B45="TT",B45="TT EC",B45="ST",B45="ST EC"),"Oficial",IF(OR(B45="VP",B45="VS",B45="VS EC"),"Vol",IF(B45="","","Subof")))</f>
        <v/>
      </c>
    </row>
    <row r="46" spans="1:36" s="77" customFormat="1" ht="15.75" customHeight="1" x14ac:dyDescent="0.2">
      <c r="A46" s="138">
        <v>33</v>
      </c>
      <c r="B46" s="168"/>
      <c r="C46" s="137"/>
      <c r="D46" s="169"/>
      <c r="E46" s="170"/>
      <c r="F46" s="173"/>
      <c r="G46" s="168"/>
      <c r="H46" s="168"/>
      <c r="I46" s="139" t="str">
        <f t="shared" si="10"/>
        <v>-</v>
      </c>
      <c r="J46" s="203" t="s">
        <v>139</v>
      </c>
      <c r="K46" s="153" t="str">
        <f t="shared" si="11"/>
        <v>-</v>
      </c>
      <c r="L46" s="153" t="str">
        <f>IF(F46="","-",IF(K46&lt;&gt;"",VLOOKUP(K46,T100Pts!CH$4:CI$59,(2))))</f>
        <v>-</v>
      </c>
      <c r="M46" s="155"/>
      <c r="N46" s="153" t="str">
        <f>IF($L46="X","-",IF(M46="","-",IF(J46="M",VLOOKUP(M46,T100Pts!U$5:AC$86,(L46+1)),IF(J46="F",VLOOKUP(M46,T100Pts!AE$5:AM$86,(L46+1)),""))))</f>
        <v>-</v>
      </c>
      <c r="O46" s="155"/>
      <c r="P46" s="140" t="str">
        <f>IF($L46="X","-",IF(O46="","-",IF(J46="M",VLOOKUP(O46,T100Pts!AO$5:AW$126,(L46+1)),IF(J46="F",VLOOKUP(O46,T100Pts!AY$5:BG$126,(L46+1)),""))))</f>
        <v>-</v>
      </c>
      <c r="Q46" s="157"/>
      <c r="R46" s="140" t="str">
        <f>IF(OR($L46="X",$L46=6,$L46=7),"-",IF(Q46="","-",IF(J46="M",VLOOKUP(Q46,T100Pts!BI$5:BN$44,(L46+1)),IF(J46="F",VLOOKUP(Q46,T100Pts!BU$5:BZ$44,(L46+1)),""))))</f>
        <v>-</v>
      </c>
      <c r="S46" s="155"/>
      <c r="T46" s="140" t="str">
        <f>IF($L46="X","-",IF(S46="","-",IF(J46="M",VLOOKUP(S46,T100Pts!A$5:I$1146,(L46+1)),IF(J46="F",VLOOKUP(S46,T100Pts!K$5:S$1147,(L46+1)),""))))</f>
        <v>-</v>
      </c>
      <c r="U46" s="141" t="str">
        <f t="shared" si="4"/>
        <v>-</v>
      </c>
      <c r="V46" s="79" t="str">
        <f t="shared" si="5"/>
        <v>-</v>
      </c>
      <c r="W46" s="155"/>
      <c r="X46" s="116" t="str">
        <f>IF($L46="X","-",IF(W46="","-",IF(J46="M",VLOOKUP(W46,T100Pts!U$5:AC$86,(L46+1)),IF(J46="F",VLOOKUP(W46,T100Pts!AE$5:AM$86,(L46+1)),""))))</f>
        <v>-</v>
      </c>
      <c r="Y46" s="163"/>
      <c r="Z46" s="116" t="str">
        <f>IF($L46="X","-",IF(Y46="","-",IF(J46="M",VLOOKUP(Y46,T100Pts!AO$5:AW$126,(L46+1)),IF(J46="F",VLOOKUP(Y46,T100Pts!AY$5:BG$126,(L46+1)),""))))</f>
        <v>-</v>
      </c>
      <c r="AA46" s="165"/>
      <c r="AB46" s="116" t="str">
        <f>IF(OR($L46="X",$L46=6,$L46=7),"-",IF(AA46="","-",IF(J46="M",VLOOKUP(AA46,T100Pts!BI$5:BN$44,(L46+1)),IF(J46="F",VLOOKUP(AA46,T100Pts!BU$5:BZ$44,(L46+1)),""))))</f>
        <v>-</v>
      </c>
      <c r="AC46" s="227"/>
      <c r="AD46" s="116" t="str">
        <f>IF($L46="X","-",IF(AC46="","-",IF(J46="M",VLOOKUP(AC46,T100Pts!A$5:I$1146,(L46+1)),IF(J46="F",VLOOKUP(AC46,T100Pts!K$5:S$1146,(L46+1)),""))))</f>
        <v>-</v>
      </c>
      <c r="AE46" s="117" t="str">
        <f t="shared" si="6"/>
        <v>-</v>
      </c>
      <c r="AF46" s="114" t="str">
        <f t="shared" si="7"/>
        <v>-</v>
      </c>
      <c r="AG46" s="115" t="e">
        <f t="shared" si="8"/>
        <v>#DIV/0!</v>
      </c>
      <c r="AH46" s="114" t="str">
        <f t="shared" si="1"/>
        <v>-</v>
      </c>
      <c r="AI46" s="161"/>
      <c r="AJ46" s="77" t="str">
        <f t="shared" si="12"/>
        <v/>
      </c>
    </row>
    <row r="47" spans="1:36" s="77" customFormat="1" ht="15.75" customHeight="1" x14ac:dyDescent="0.25">
      <c r="A47" s="138">
        <v>34</v>
      </c>
      <c r="B47" s="168"/>
      <c r="C47" s="137"/>
      <c r="D47" s="174"/>
      <c r="E47" s="175"/>
      <c r="F47" s="176"/>
      <c r="G47" s="177"/>
      <c r="H47" s="178"/>
      <c r="I47" s="139" t="str">
        <f t="shared" si="10"/>
        <v>-</v>
      </c>
      <c r="J47" s="181" t="s">
        <v>139</v>
      </c>
      <c r="K47" s="153" t="str">
        <f t="shared" si="11"/>
        <v>-</v>
      </c>
      <c r="L47" s="153" t="str">
        <f>IF(F47="","-",IF(K47&lt;&gt;"",VLOOKUP(K47,T100Pts!CH$4:CI$59,(2))))</f>
        <v>-</v>
      </c>
      <c r="M47" s="155"/>
      <c r="N47" s="153" t="str">
        <f>IF($L47="X","-",IF(M47="","-",IF(J47="M",VLOOKUP(M47,T100Pts!U$5:AC$86,(L47+1)),IF(J47="F",VLOOKUP(M47,T100Pts!AE$5:AM$86,(L47+1)),""))))</f>
        <v>-</v>
      </c>
      <c r="O47" s="155"/>
      <c r="P47" s="140" t="str">
        <f>IF($L47="X","-",IF(O47="","-",IF(J47="M",VLOOKUP(O47,T100Pts!AO$5:AW$126,(L47+1)),IF(J47="F",VLOOKUP(O47,T100Pts!AY$5:BG$126,(L47+1)),""))))</f>
        <v>-</v>
      </c>
      <c r="Q47" s="157"/>
      <c r="R47" s="140" t="str">
        <f>IF(OR($L47="X",$L47=6,$L47=7),"-",IF(Q47="","-",IF(J47="M",VLOOKUP(Q47,T100Pts!BI$5:BN$44,(L47+1)),IF(J47="F",VLOOKUP(Q47,T100Pts!BU$5:BZ$44,(L47+1)),""))))</f>
        <v>-</v>
      </c>
      <c r="S47" s="155"/>
      <c r="T47" s="140" t="str">
        <f>IF($L47="X","-",IF(S47="","-",IF(J47="M",VLOOKUP(S47,T100Pts!A$5:I$1146,(L47+1)),IF(J47="F",VLOOKUP(S47,T100Pts!K$5:S$1147,(L47+1)),""))))</f>
        <v>-</v>
      </c>
      <c r="U47" s="141" t="str">
        <f t="shared" si="4"/>
        <v>-</v>
      </c>
      <c r="V47" s="79" t="str">
        <f t="shared" si="5"/>
        <v>-</v>
      </c>
      <c r="W47" s="155"/>
      <c r="X47" s="116" t="str">
        <f>IF($L47="X","-",IF(W47="","-",IF(J47="M",VLOOKUP(W47,T100Pts!U$5:AC$86,(L47+1)),IF(J47="F",VLOOKUP(W47,T100Pts!AE$5:AM$86,(L47+1)),""))))</f>
        <v>-</v>
      </c>
      <c r="Y47" s="163"/>
      <c r="Z47" s="116" t="str">
        <f>IF($L47="X","-",IF(Y47="","-",IF(J47="M",VLOOKUP(Y47,T100Pts!AO$5:AW$126,(L47+1)),IF(J47="F",VLOOKUP(Y47,T100Pts!AY$5:BG$126,(L47+1)),""))))</f>
        <v>-</v>
      </c>
      <c r="AA47" s="165"/>
      <c r="AB47" s="116" t="str">
        <f>IF(OR($L47="X",$L47=6,$L47=7),"-",IF(AA47="","-",IF(J47="M",VLOOKUP(AA47,T100Pts!BI$5:BN$44,(L47+1)),IF(J47="F",VLOOKUP(AA47,T100Pts!BU$5:BZ$44,(L47+1)),""))))</f>
        <v>-</v>
      </c>
      <c r="AC47" s="163"/>
      <c r="AD47" s="116" t="str">
        <f>IF($L47="X","-",IF(AC47="","-",IF(J47="M",VLOOKUP(AC47,T100Pts!A$5:I$1146,(L47+1)),IF(J47="F",VLOOKUP(AC47,T100Pts!K$5:S$1146,(L47+1)),""))))</f>
        <v>-</v>
      </c>
      <c r="AE47" s="117" t="str">
        <f t="shared" si="6"/>
        <v>-</v>
      </c>
      <c r="AF47" s="114" t="str">
        <f t="shared" si="7"/>
        <v>-</v>
      </c>
      <c r="AG47" s="115" t="e">
        <f t="shared" si="8"/>
        <v>#DIV/0!</v>
      </c>
      <c r="AH47" s="114" t="str">
        <f t="shared" si="1"/>
        <v>-</v>
      </c>
      <c r="AI47" s="161" t="s">
        <v>204</v>
      </c>
      <c r="AJ47" s="77" t="str">
        <f t="shared" si="12"/>
        <v/>
      </c>
    </row>
    <row r="48" spans="1:36" s="77" customFormat="1" ht="15.75" customHeight="1" x14ac:dyDescent="0.2">
      <c r="A48" s="138">
        <v>35</v>
      </c>
      <c r="B48" s="168"/>
      <c r="C48" s="137"/>
      <c r="D48" s="169"/>
      <c r="E48" s="170"/>
      <c r="F48" s="173"/>
      <c r="G48" s="168"/>
      <c r="H48" s="168"/>
      <c r="I48" s="139" t="str">
        <f t="shared" si="10"/>
        <v>-</v>
      </c>
      <c r="J48" s="203" t="s">
        <v>139</v>
      </c>
      <c r="K48" s="153" t="str">
        <f t="shared" si="11"/>
        <v>-</v>
      </c>
      <c r="L48" s="153" t="str">
        <f>IF(F48="","-",IF(K48&lt;&gt;"",VLOOKUP(K48,T100Pts!CH$4:CI$59,(2))))</f>
        <v>-</v>
      </c>
      <c r="M48" s="155"/>
      <c r="N48" s="153" t="str">
        <f>IF($L48="X","-",IF(M48="","-",IF(J48="M",VLOOKUP(M48,T100Pts!U$5:AC$86,(L48+1)),IF(J48="F",VLOOKUP(M48,T100Pts!AE$5:AM$86,(L48+1)),""))))</f>
        <v>-</v>
      </c>
      <c r="O48" s="155"/>
      <c r="P48" s="140" t="str">
        <f>IF($L48="X","-",IF(O48="","-",IF(J48="M",VLOOKUP(O48,T100Pts!AO$5:AW$126,(L48+1)),IF(J48="F",VLOOKUP(O48,T100Pts!AY$5:BG$126,(L48+1)),""))))</f>
        <v>-</v>
      </c>
      <c r="Q48" s="158"/>
      <c r="R48" s="140" t="str">
        <f>IF(OR($L48="X",$L48=6,$L48=7),"-",IF(Q48="","-",IF(J48="M",VLOOKUP(Q48,T100Pts!BI$5:BN$44,(L48+1)),IF(J48="F",VLOOKUP(Q48,T100Pts!BU$5:BZ$44,(L48+1)),""))))</f>
        <v>-</v>
      </c>
      <c r="S48" s="155"/>
      <c r="T48" s="140" t="str">
        <f>IF($L48="X","-",IF(S48="","-",IF(J48="M",VLOOKUP(S48,T100Pts!A$5:I$1146,(L48+1)),IF(J48="F",VLOOKUP(S48,T100Pts!K$5:S$1147,(L48+1)),""))))</f>
        <v>-</v>
      </c>
      <c r="U48" s="141" t="str">
        <f t="shared" si="4"/>
        <v>-</v>
      </c>
      <c r="V48" s="79" t="str">
        <f t="shared" si="5"/>
        <v>-</v>
      </c>
      <c r="W48" s="155"/>
      <c r="X48" s="116" t="str">
        <f>IF($L48="X","-",IF(W48="","-",IF(J48="M",VLOOKUP(W48,T100Pts!U$5:AC$86,(L48+1)),IF(J48="F",VLOOKUP(W48,T100Pts!AE$5:AM$86,(L48+1)),""))))</f>
        <v>-</v>
      </c>
      <c r="Y48" s="163"/>
      <c r="Z48" s="116" t="str">
        <f>IF($L48="X","-",IF(Y48="","-",IF(J48="M",VLOOKUP(Y48,T100Pts!AO$5:AW$126,(L48+1)),IF(J48="F",VLOOKUP(Y48,T100Pts!AY$5:BG$126,(L48+1)),""))))</f>
        <v>-</v>
      </c>
      <c r="AA48" s="166"/>
      <c r="AB48" s="116" t="str">
        <f>IF(OR($L48="X",$L48=6,$L48=7),"-",IF(AA48="","-",IF(J48="M",VLOOKUP(AA48,T100Pts!BI$5:BN$44,(L48+1)),IF(J48="F",VLOOKUP(AA48,T100Pts!BU$5:BZ$44,(L48+1)),""))))</f>
        <v>-</v>
      </c>
      <c r="AC48" s="227"/>
      <c r="AD48" s="116" t="str">
        <f>IF($L48="X","-",IF(AC48="","-",IF(J48="M",VLOOKUP(AC48,T100Pts!A$5:I$1146,(L48+1)),IF(J48="F",VLOOKUP(AC48,T100Pts!K$5:S$1146,(L48+1)),""))))</f>
        <v>-</v>
      </c>
      <c r="AE48" s="117" t="str">
        <f t="shared" si="6"/>
        <v>-</v>
      </c>
      <c r="AF48" s="114" t="str">
        <f t="shared" si="7"/>
        <v>-</v>
      </c>
      <c r="AG48" s="115" t="e">
        <f t="shared" si="8"/>
        <v>#DIV/0!</v>
      </c>
      <c r="AH48" s="114" t="str">
        <f t="shared" si="1"/>
        <v>-</v>
      </c>
      <c r="AI48" s="161"/>
      <c r="AJ48" s="77" t="str">
        <f t="shared" si="12"/>
        <v/>
      </c>
    </row>
    <row r="49" spans="1:36" s="77" customFormat="1" ht="15.75" customHeight="1" x14ac:dyDescent="0.2">
      <c r="A49" s="138">
        <v>36</v>
      </c>
      <c r="B49" s="168"/>
      <c r="C49" s="137"/>
      <c r="D49" s="169"/>
      <c r="E49" s="170"/>
      <c r="F49" s="173"/>
      <c r="G49" s="168"/>
      <c r="H49" s="168"/>
      <c r="I49" s="139" t="str">
        <f t="shared" si="10"/>
        <v>-</v>
      </c>
      <c r="J49" s="203" t="s">
        <v>139</v>
      </c>
      <c r="K49" s="153" t="str">
        <f t="shared" si="11"/>
        <v>-</v>
      </c>
      <c r="L49" s="153" t="str">
        <f>IF(F49="","-",IF(K49&lt;&gt;"",VLOOKUP(K49,T100Pts!CH$4:CI$59,(2))))</f>
        <v>-</v>
      </c>
      <c r="M49" s="155"/>
      <c r="N49" s="153" t="str">
        <f>IF($L49="X","-",IF(M49="","-",IF(J49="M",VLOOKUP(M49,T100Pts!U$5:AC$86,(L49+1)),IF(J49="F",VLOOKUP(M49,T100Pts!AE$5:AM$86,(L49+1)),""))))</f>
        <v>-</v>
      </c>
      <c r="O49" s="155"/>
      <c r="P49" s="140" t="str">
        <f>IF($L49="X","-",IF(O49="","-",IF(J49="M",VLOOKUP(O49,T100Pts!AO$5:AW$126,(L49+1)),IF(J49="F",VLOOKUP(O49,T100Pts!AY$5:BG$126,(L49+1)),""))))</f>
        <v>-</v>
      </c>
      <c r="Q49" s="157"/>
      <c r="R49" s="140" t="str">
        <f>IF(OR($L49="X",$L49=6,$L49=7),"-",IF(Q49="","-",IF(J49="M",VLOOKUP(Q49,T100Pts!BI$5:BN$44,(L49+1)),IF(J49="F",VLOOKUP(Q49,T100Pts!BU$5:BZ$44,(L49+1)),""))))</f>
        <v>-</v>
      </c>
      <c r="S49" s="155"/>
      <c r="T49" s="140" t="str">
        <f>IF($L49="X","-",IF(S49="","-",IF(J49="M",VLOOKUP(S49,T100Pts!A$5:I$1146,(L49+1)),IF(J49="F",VLOOKUP(S49,T100Pts!K$5:S$1147,(L49+1)),""))))</f>
        <v>-</v>
      </c>
      <c r="U49" s="141" t="str">
        <f t="shared" si="4"/>
        <v>-</v>
      </c>
      <c r="V49" s="79" t="str">
        <f t="shared" si="5"/>
        <v>-</v>
      </c>
      <c r="W49" s="155"/>
      <c r="X49" s="116" t="str">
        <f>IF($L49="X","-",IF(W49="","-",IF(J49="M",VLOOKUP(W49,T100Pts!U$5:AC$86,(L49+1)),IF(J49="F",VLOOKUP(W49,T100Pts!AE$5:AM$86,(L49+1)),""))))</f>
        <v>-</v>
      </c>
      <c r="Y49" s="163"/>
      <c r="Z49" s="116" t="str">
        <f>IF($L49="X","-",IF(Y49="","-",IF(J49="M",VLOOKUP(Y49,T100Pts!AO$5:AW$126,(L49+1)),IF(J49="F",VLOOKUP(Y49,T100Pts!AY$5:BG$126,(L49+1)),""))))</f>
        <v>-</v>
      </c>
      <c r="AA49" s="165"/>
      <c r="AB49" s="116" t="str">
        <f>IF(OR($L49="X",$L49=6,$L49=7),"-",IF(AA49="","-",IF(J49="M",VLOOKUP(AA49,T100Pts!BI$5:BN$44,(L49+1)),IF(J49="F",VLOOKUP(AA49,T100Pts!BU$5:BZ$44,(L49+1)),""))))</f>
        <v>-</v>
      </c>
      <c r="AC49" s="227"/>
      <c r="AD49" s="116" t="str">
        <f>IF($L49="X","-",IF(AC49="","-",IF(J49="M",VLOOKUP(AC49,T100Pts!A$5:I$1146,(L49+1)),IF(J49="F",VLOOKUP(AC49,T100Pts!K$5:S$1146,(L49+1)),""))))</f>
        <v>-</v>
      </c>
      <c r="AE49" s="117" t="str">
        <f t="shared" si="6"/>
        <v>-</v>
      </c>
      <c r="AF49" s="114" t="str">
        <f t="shared" si="7"/>
        <v>-</v>
      </c>
      <c r="AG49" s="115" t="e">
        <f t="shared" si="8"/>
        <v>#DIV/0!</v>
      </c>
      <c r="AH49" s="114" t="str">
        <f t="shared" si="1"/>
        <v>-</v>
      </c>
      <c r="AI49" s="161"/>
      <c r="AJ49" s="77" t="str">
        <f t="shared" si="12"/>
        <v/>
      </c>
    </row>
    <row r="50" spans="1:36" s="77" customFormat="1" ht="15.75" customHeight="1" x14ac:dyDescent="0.2">
      <c r="A50" s="138">
        <v>37</v>
      </c>
      <c r="B50" s="168"/>
      <c r="C50" s="137"/>
      <c r="D50" s="169"/>
      <c r="E50" s="170"/>
      <c r="F50" s="173"/>
      <c r="G50" s="172"/>
      <c r="H50" s="172"/>
      <c r="I50" s="139" t="str">
        <f t="shared" si="10"/>
        <v>-</v>
      </c>
      <c r="J50" s="203" t="s">
        <v>139</v>
      </c>
      <c r="K50" s="153" t="str">
        <f t="shared" si="11"/>
        <v>-</v>
      </c>
      <c r="L50" s="153" t="str">
        <f>IF(F50="","-",IF(K50&lt;&gt;"",VLOOKUP(K50,T100Pts!CH$4:CI$59,(2))))</f>
        <v>-</v>
      </c>
      <c r="M50" s="155"/>
      <c r="N50" s="153" t="str">
        <f>IF($L50="X","-",IF(M50="","-",IF(J50="M",VLOOKUP(M50,T100Pts!U$5:AC$86,(L50+1)),IF(J50="F",VLOOKUP(M50,T100Pts!AE$5:AM$86,(L50+1)),""))))</f>
        <v>-</v>
      </c>
      <c r="O50" s="155"/>
      <c r="P50" s="140" t="str">
        <f>IF($L50="X","-",IF(O50="","-",IF(J50="M",VLOOKUP(O50,T100Pts!AO$5:AW$126,(L50+1)),IF(J50="F",VLOOKUP(O50,T100Pts!AY$5:BG$126,(L50+1)),""))))</f>
        <v>-</v>
      </c>
      <c r="Q50" s="157"/>
      <c r="R50" s="140" t="str">
        <f>IF(OR($L50="X",$L50=6,$L50=7),"-",IF(Q50="","-",IF(J50="M",VLOOKUP(Q50,T100Pts!BI$5:BN$44,(L50+1)),IF(J50="F",VLOOKUP(Q50,T100Pts!BU$5:BZ$44,(L50+1)),""))))</f>
        <v>-</v>
      </c>
      <c r="S50" s="155"/>
      <c r="T50" s="140" t="str">
        <f>IF($L50="X","-",IF(S50="","-",IF(J50="M",VLOOKUP(S50,T100Pts!A$5:I$1146,(L50+1)),IF(J50="F",VLOOKUP(S50,T100Pts!K$5:S$1147,(L50+1)),""))))</f>
        <v>-</v>
      </c>
      <c r="U50" s="141" t="str">
        <f t="shared" si="4"/>
        <v>-</v>
      </c>
      <c r="V50" s="79" t="str">
        <f t="shared" si="5"/>
        <v>-</v>
      </c>
      <c r="W50" s="155"/>
      <c r="X50" s="116" t="str">
        <f>IF($L50="X","-",IF(W50="","-",IF(J50="M",VLOOKUP(W50,T100Pts!U$5:AC$86,(L50+1)),IF(J50="F",VLOOKUP(W50,T100Pts!AE$5:AM$86,(L50+1)),""))))</f>
        <v>-</v>
      </c>
      <c r="Y50" s="163"/>
      <c r="Z50" s="116" t="str">
        <f>IF($L50="X","-",IF(Y50="","-",IF(J50="M",VLOOKUP(Y50,T100Pts!AO$5:AW$126,(L50+1)),IF(J50="F",VLOOKUP(Y50,T100Pts!AY$5:BG$126,(L50+1)),""))))</f>
        <v>-</v>
      </c>
      <c r="AA50" s="165"/>
      <c r="AB50" s="116" t="str">
        <f>IF(OR($L50="X",$L50=6,$L50=7),"-",IF(AA50="","-",IF(J50="M",VLOOKUP(AA50,T100Pts!BI$5:BN$44,(L50+1)),IF(J50="F",VLOOKUP(AA50,T100Pts!BU$5:BZ$44,(L50+1)),""))))</f>
        <v>-</v>
      </c>
      <c r="AC50" s="227"/>
      <c r="AD50" s="116" t="str">
        <f>IF($L50="X","-",IF(AC50="","-",IF(J50="M",VLOOKUP(AC50,T100Pts!A$5:I$1146,(L50+1)),IF(J50="F",VLOOKUP(AC50,T100Pts!K$5:S$1146,(L50+1)),""))))</f>
        <v>-</v>
      </c>
      <c r="AE50" s="117" t="str">
        <f t="shared" si="6"/>
        <v>-</v>
      </c>
      <c r="AF50" s="114" t="str">
        <f t="shared" si="7"/>
        <v>-</v>
      </c>
      <c r="AG50" s="115" t="e">
        <f t="shared" si="8"/>
        <v>#DIV/0!</v>
      </c>
      <c r="AH50" s="114" t="str">
        <f t="shared" si="1"/>
        <v>-</v>
      </c>
      <c r="AI50" s="161"/>
      <c r="AJ50" s="77" t="str">
        <f t="shared" si="12"/>
        <v/>
      </c>
    </row>
    <row r="51" spans="1:36" s="77" customFormat="1" ht="15.75" customHeight="1" x14ac:dyDescent="0.25">
      <c r="A51" s="138">
        <v>38</v>
      </c>
      <c r="B51" s="168"/>
      <c r="C51" s="137"/>
      <c r="D51" s="174"/>
      <c r="E51" s="175"/>
      <c r="F51" s="176"/>
      <c r="G51" s="177"/>
      <c r="H51" s="178"/>
      <c r="I51" s="139" t="str">
        <f t="shared" si="10"/>
        <v>-</v>
      </c>
      <c r="J51" s="203" t="s">
        <v>139</v>
      </c>
      <c r="K51" s="153" t="str">
        <f t="shared" si="11"/>
        <v>-</v>
      </c>
      <c r="L51" s="153" t="str">
        <f>IF(F51="","-",IF(K51&lt;&gt;"",VLOOKUP(K51,T100Pts!CH$4:CI$59,(2))))</f>
        <v>-</v>
      </c>
      <c r="M51" s="155"/>
      <c r="N51" s="153" t="str">
        <f>IF($L51="X","-",IF(M51="","-",IF(J51="M",VLOOKUP(M51,T100Pts!U$5:AC$86,(L51+1)),IF(J51="F",VLOOKUP(M51,T100Pts!AE$5:AM$86,(L51+1)),""))))</f>
        <v>-</v>
      </c>
      <c r="O51" s="155"/>
      <c r="P51" s="140" t="str">
        <f>IF($L51="X","-",IF(O51="","-",IF(J51="M",VLOOKUP(O51,T100Pts!AO$5:AW$126,(L51+1)),IF(J51="F",VLOOKUP(O51,T100Pts!AY$5:BG$126,(L51+1)),""))))</f>
        <v>-</v>
      </c>
      <c r="Q51" s="158"/>
      <c r="R51" s="140" t="str">
        <f>IF(OR($L51="X",$L51=6,$L51=7),"-",IF(Q51="","-",IF(J51="M",VLOOKUP(Q51,T100Pts!BI$5:BN$44,(L51+1)),IF(J51="F",VLOOKUP(Q51,T100Pts!BU$5:BZ$44,(L51+1)),""))))</f>
        <v>-</v>
      </c>
      <c r="S51" s="155"/>
      <c r="T51" s="140" t="str">
        <f>IF($L51="X","-",IF(S51="","-",IF(J51="M",VLOOKUP(S51,T100Pts!A$5:I$1146,(L51+1)),IF(J51="F",VLOOKUP(S51,T100Pts!K$5:S$1147,(L51+1)),""))))</f>
        <v>-</v>
      </c>
      <c r="U51" s="141" t="str">
        <f t="shared" si="4"/>
        <v>-</v>
      </c>
      <c r="V51" s="79" t="str">
        <f t="shared" si="5"/>
        <v>-</v>
      </c>
      <c r="W51" s="155"/>
      <c r="X51" s="116" t="str">
        <f>IF($L51="X","-",IF(W51="","-",IF(J51="M",VLOOKUP(W51,T100Pts!U$5:AC$86,(L51+1)),IF(J51="F",VLOOKUP(W51,T100Pts!AE$5:AM$86,(L51+1)),""))))</f>
        <v>-</v>
      </c>
      <c r="Y51" s="163"/>
      <c r="Z51" s="116" t="str">
        <f>IF($L51="X","-",IF(Y51="","-",IF(J51="M",VLOOKUP(Y51,T100Pts!AO$5:AW$126,(L51+1)),IF(J51="F",VLOOKUP(Y51,T100Pts!AY$5:BG$126,(L51+1)),""))))</f>
        <v>-</v>
      </c>
      <c r="AA51" s="166"/>
      <c r="AB51" s="116" t="str">
        <f>IF(OR($L51="X",$L51=6,$L51=7),"-",IF(AA51="","-",IF(J51="M",VLOOKUP(AA51,T100Pts!BI$5:BN$44,(L51+1)),IF(J51="F",VLOOKUP(AA51,T100Pts!BU$5:BZ$44,(L51+1)),""))))</f>
        <v>-</v>
      </c>
      <c r="AC51" s="227"/>
      <c r="AD51" s="116" t="str">
        <f>IF($L51="X","-",IF(AC51="","-",IF(J51="M",VLOOKUP(AC51,T100Pts!A$5:I$1146,(L51+1)),IF(J51="F",VLOOKUP(AC51,T100Pts!K$5:S$1146,(L51+1)),""))))</f>
        <v>-</v>
      </c>
      <c r="AE51" s="117" t="str">
        <f t="shared" si="6"/>
        <v>-</v>
      </c>
      <c r="AF51" s="114" t="str">
        <f t="shared" si="7"/>
        <v>-</v>
      </c>
      <c r="AG51" s="115" t="e">
        <f t="shared" si="8"/>
        <v>#DIV/0!</v>
      </c>
      <c r="AH51" s="114" t="str">
        <f t="shared" si="1"/>
        <v>-</v>
      </c>
      <c r="AI51" s="161"/>
      <c r="AJ51" s="77" t="str">
        <f t="shared" si="12"/>
        <v/>
      </c>
    </row>
    <row r="52" spans="1:36" ht="15.75" customHeight="1" x14ac:dyDescent="0.2">
      <c r="A52" s="138">
        <v>39</v>
      </c>
      <c r="B52" s="168"/>
      <c r="C52" s="137"/>
      <c r="D52" s="169"/>
      <c r="E52" s="170"/>
      <c r="F52" s="173"/>
      <c r="G52" s="172"/>
      <c r="H52" s="172"/>
      <c r="I52" s="139" t="str">
        <f t="shared" si="10"/>
        <v>-</v>
      </c>
      <c r="J52" s="203" t="s">
        <v>139</v>
      </c>
      <c r="K52" s="153" t="str">
        <f t="shared" si="11"/>
        <v>-</v>
      </c>
      <c r="L52" s="153" t="str">
        <f>IF(F52="","-",IF(K52&lt;&gt;"",VLOOKUP(K52,T100Pts!CH$4:CI$59,(2))))</f>
        <v>-</v>
      </c>
      <c r="M52" s="155"/>
      <c r="N52" s="153" t="str">
        <f>IF($L52="X","-",IF(M52="","-",IF(J52="M",VLOOKUP(M52,T100Pts!U$5:AC$86,(L52+1)),IF(J52="F",VLOOKUP(M52,T100Pts!AE$5:AM$86,(L52+1)),""))))</f>
        <v>-</v>
      </c>
      <c r="O52" s="155"/>
      <c r="P52" s="140" t="str">
        <f>IF($L52="X","-",IF(O52="","-",IF(J52="M",VLOOKUP(O52,T100Pts!AO$5:AW$126,(L52+1)),IF(J52="F",VLOOKUP(O52,T100Pts!AY$5:BG$126,(L52+1)),""))))</f>
        <v>-</v>
      </c>
      <c r="Q52" s="157"/>
      <c r="R52" s="140" t="str">
        <f>IF(OR($L52="X",$L52=6,$L52=7),"-",IF(Q52="","-",IF(J52="M",VLOOKUP(Q52,T100Pts!BI$5:BN$44,(L52+1)),IF(J52="F",VLOOKUP(Q52,T100Pts!BU$5:BZ$44,(L52+1)),""))))</f>
        <v>-</v>
      </c>
      <c r="S52" s="155"/>
      <c r="T52" s="140" t="str">
        <f>IF($L52="X","-",IF(S52="","-",IF(J52="M",VLOOKUP(S52,T100Pts!A$5:I$1146,(L52+1)),IF(J52="F",VLOOKUP(S52,T100Pts!K$5:S$1147,(L52+1)),""))))</f>
        <v>-</v>
      </c>
      <c r="U52" s="141" t="str">
        <f t="shared" si="4"/>
        <v>-</v>
      </c>
      <c r="V52" s="79" t="str">
        <f t="shared" si="5"/>
        <v>-</v>
      </c>
      <c r="W52" s="155"/>
      <c r="X52" s="116" t="str">
        <f>IF($L52="X","-",IF(W52="","-",IF(J52="M",VLOOKUP(W52,T100Pts!U$5:AC$86,(L52+1)),IF(J52="F",VLOOKUP(W52,T100Pts!AE$5:AM$86,(L52+1)),""))))</f>
        <v>-</v>
      </c>
      <c r="Y52" s="163"/>
      <c r="Z52" s="116" t="str">
        <f>IF($L52="X","-",IF(Y52="","-",IF(J52="M",VLOOKUP(Y52,T100Pts!AO$5:AW$126,(L52+1)),IF(J52="F",VLOOKUP(Y52,T100Pts!AY$5:BG$126,(L52+1)),""))))</f>
        <v>-</v>
      </c>
      <c r="AA52" s="165"/>
      <c r="AB52" s="116" t="str">
        <f>IF(OR($L52="X",$L52=6,$L52=7),"-",IF(AA52="","-",IF(J52="M",VLOOKUP(AA52,T100Pts!BI$5:BN$44,(L52+1)),IF(J52="F",VLOOKUP(AA52,T100Pts!BU$5:BZ$44,(L52+1)),""))))</f>
        <v>-</v>
      </c>
      <c r="AC52" s="227"/>
      <c r="AD52" s="116" t="str">
        <f>IF($L52="X","-",IF(AC52="","-",IF(J52="M",VLOOKUP(AC52,T100Pts!A$5:I$1146,(L52+1)),IF(J52="F",VLOOKUP(AC52,T100Pts!K$5:S$1146,(L52+1)),""))))</f>
        <v>-</v>
      </c>
      <c r="AE52" s="117" t="str">
        <f t="shared" si="6"/>
        <v>-</v>
      </c>
      <c r="AF52" s="114" t="str">
        <f t="shared" si="7"/>
        <v>-</v>
      </c>
      <c r="AG52" s="115" t="e">
        <f t="shared" si="8"/>
        <v>#DIV/0!</v>
      </c>
      <c r="AH52" s="114" t="str">
        <f t="shared" si="1"/>
        <v>-</v>
      </c>
      <c r="AI52" s="161"/>
      <c r="AJ52" s="77" t="str">
        <f t="shared" si="12"/>
        <v/>
      </c>
    </row>
    <row r="53" spans="1:36" s="77" customFormat="1" ht="15.75" customHeight="1" x14ac:dyDescent="0.25">
      <c r="A53" s="138">
        <v>40</v>
      </c>
      <c r="B53" s="168"/>
      <c r="C53" s="137"/>
      <c r="D53" s="174"/>
      <c r="E53" s="175"/>
      <c r="F53" s="176"/>
      <c r="G53" s="177"/>
      <c r="H53" s="178"/>
      <c r="I53" s="139" t="str">
        <f t="shared" si="10"/>
        <v>-</v>
      </c>
      <c r="J53" s="181" t="s">
        <v>139</v>
      </c>
      <c r="K53" s="153" t="str">
        <f t="shared" si="11"/>
        <v>-</v>
      </c>
      <c r="L53" s="153" t="str">
        <f>IF(F53="","-",IF(K53&lt;&gt;"",VLOOKUP(K53,T100Pts!CH$4:CI$59,(2))))</f>
        <v>-</v>
      </c>
      <c r="M53" s="155"/>
      <c r="N53" s="153" t="str">
        <f>IF($L53="X","-",IF(M53="","-",IF(J53="M",VLOOKUP(M53,T100Pts!U$5:AC$86,(L53+1)),IF(J53="F",VLOOKUP(M53,T100Pts!AE$5:AM$86,(L53+1)),""))))</f>
        <v>-</v>
      </c>
      <c r="O53" s="155"/>
      <c r="P53" s="140" t="str">
        <f>IF($L53="X","-",IF(O53="","-",IF(J53="M",VLOOKUP(O53,T100Pts!AO$5:AW$126,(L53+1)),IF(J53="F",VLOOKUP(O53,T100Pts!AY$5:BG$126,(L53+1)),""))))</f>
        <v>-</v>
      </c>
      <c r="Q53" s="157"/>
      <c r="R53" s="140" t="str">
        <f>IF(OR($L53="X",$L53=6,$L53=7),"-",IF(Q53="","-",IF(J53="M",VLOOKUP(Q53,T100Pts!BI$5:BN$44,(L53+1)),IF(J53="F",VLOOKUP(Q53,T100Pts!BU$5:BZ$44,(L53+1)),""))))</f>
        <v>-</v>
      </c>
      <c r="S53" s="155"/>
      <c r="T53" s="140" t="str">
        <f>IF($L53="X","-",IF(S53="","-",IF(J53="M",VLOOKUP(S53,T100Pts!A$5:I$1146,(L53+1)),IF(J53="F",VLOOKUP(S53,T100Pts!K$5:S$1147,(L53+1)),""))))</f>
        <v>-</v>
      </c>
      <c r="U53" s="141" t="str">
        <f t="shared" si="4"/>
        <v>-</v>
      </c>
      <c r="V53" s="79" t="str">
        <f t="shared" si="5"/>
        <v>-</v>
      </c>
      <c r="W53" s="155"/>
      <c r="X53" s="116" t="str">
        <f>IF($L53="X","-",IF(W53="","-",IF(J53="M",VLOOKUP(W53,T100Pts!U$5:AC$86,(L53+1)),IF(J53="F",VLOOKUP(W53,T100Pts!AE$5:AM$86,(L53+1)),""))))</f>
        <v>-</v>
      </c>
      <c r="Y53" s="163"/>
      <c r="Z53" s="116" t="str">
        <f>IF($L53="X","-",IF(Y53="","-",IF(J53="M",VLOOKUP(Y53,T100Pts!AO$5:AW$126,(L53+1)),IF(J53="F",VLOOKUP(Y53,T100Pts!AY$5:BG$126,(L53+1)),""))))</f>
        <v>-</v>
      </c>
      <c r="AA53" s="165"/>
      <c r="AB53" s="116" t="str">
        <f>IF(OR($L53="X",$L53=6,$L53=7),"-",IF(AA53="","-",IF(J53="M",VLOOKUP(AA53,T100Pts!BI$5:BN$44,(L53+1)),IF(J53="F",VLOOKUP(AA53,T100Pts!BU$5:BZ$44,(L53+1)),""))))</f>
        <v>-</v>
      </c>
      <c r="AC53" s="227"/>
      <c r="AD53" s="116" t="str">
        <f>IF($L53="X","-",IF(AC53="","-",IF(J53="M",VLOOKUP(AC53,T100Pts!A$5:I$1146,(L53+1)),IF(J53="F",VLOOKUP(AC53,T100Pts!K$5:S$1146,(L53+1)),""))))</f>
        <v>-</v>
      </c>
      <c r="AE53" s="117" t="str">
        <f t="shared" si="6"/>
        <v>-</v>
      </c>
      <c r="AF53" s="114" t="str">
        <f t="shared" si="7"/>
        <v>-</v>
      </c>
      <c r="AG53" s="115" t="e">
        <f t="shared" si="8"/>
        <v>#DIV/0!</v>
      </c>
      <c r="AH53" s="114" t="str">
        <f t="shared" si="1"/>
        <v>-</v>
      </c>
      <c r="AI53" s="161"/>
      <c r="AJ53" s="77" t="str">
        <f t="shared" si="12"/>
        <v/>
      </c>
    </row>
    <row r="54" spans="1:36" s="77" customFormat="1" ht="15.75" customHeight="1" x14ac:dyDescent="0.2">
      <c r="A54" s="138">
        <v>41</v>
      </c>
      <c r="B54" s="168"/>
      <c r="C54" s="137"/>
      <c r="D54" s="169"/>
      <c r="E54" s="170"/>
      <c r="F54" s="173"/>
      <c r="G54" s="172"/>
      <c r="H54" s="172"/>
      <c r="I54" s="139" t="str">
        <f t="shared" si="10"/>
        <v>-</v>
      </c>
      <c r="J54" s="203" t="s">
        <v>139</v>
      </c>
      <c r="K54" s="153" t="str">
        <f t="shared" si="11"/>
        <v>-</v>
      </c>
      <c r="L54" s="153" t="str">
        <f>IF(F54="","-",IF(K54&lt;&gt;"",VLOOKUP(K54,T100Pts!CH$4:CI$59,(2))))</f>
        <v>-</v>
      </c>
      <c r="M54" s="155"/>
      <c r="N54" s="153" t="str">
        <f>IF($L54="X","-",IF(M54="","-",IF(J54="M",VLOOKUP(M54,T100Pts!U$5:AC$86,(L54+1)),IF(J54="F",VLOOKUP(M54,T100Pts!AE$5:AM$86,(L54+1)),""))))</f>
        <v>-</v>
      </c>
      <c r="O54" s="155"/>
      <c r="P54" s="140" t="str">
        <f>IF($L54="X","-",IF(O54="","-",IF(J54="M",VLOOKUP(O54,T100Pts!AO$5:AW$126,(L54+1)),IF(J54="F",VLOOKUP(O54,T100Pts!AY$5:BG$126,(L54+1)),""))))</f>
        <v>-</v>
      </c>
      <c r="Q54" s="157"/>
      <c r="R54" s="140" t="str">
        <f>IF(OR($L54="X",$L54=6,$L54=7),"-",IF(Q54="","-",IF(J54="M",VLOOKUP(Q54,T100Pts!BI$5:BN$44,(L54+1)),IF(J54="F",VLOOKUP(Q54,T100Pts!BU$5:BZ$44,(L54+1)),""))))</f>
        <v>-</v>
      </c>
      <c r="S54" s="155"/>
      <c r="T54" s="140" t="str">
        <f>IF($L54="X","-",IF(S54="","-",IF(J54="M",VLOOKUP(S54,T100Pts!A$5:I$1146,(L54+1)),IF(J54="F",VLOOKUP(S54,T100Pts!K$5:S$1147,(L54+1)),""))))</f>
        <v>-</v>
      </c>
      <c r="U54" s="141" t="str">
        <f t="shared" si="4"/>
        <v>-</v>
      </c>
      <c r="V54" s="79" t="str">
        <f t="shared" si="5"/>
        <v>-</v>
      </c>
      <c r="W54" s="155"/>
      <c r="X54" s="116" t="str">
        <f>IF($L54="X","-",IF(W54="","-",IF(J54="M",VLOOKUP(W54,T100Pts!U$5:AC$86,(L54+1)),IF(J54="F",VLOOKUP(W54,T100Pts!AE$5:AM$86,(L54+1)),""))))</f>
        <v>-</v>
      </c>
      <c r="Y54" s="163"/>
      <c r="Z54" s="116" t="str">
        <f>IF($L54="X","-",IF(Y54="","-",IF(J54="M",VLOOKUP(Y54,T100Pts!AO$5:AW$126,(L54+1)),IF(J54="F",VLOOKUP(Y54,T100Pts!AY$5:BG$126,(L54+1)),""))))</f>
        <v>-</v>
      </c>
      <c r="AA54" s="165"/>
      <c r="AB54" s="116" t="str">
        <f>IF(OR($L54="X",$L54=6,$L54=7),"-",IF(AA54="","-",IF(J54="M",VLOOKUP(AA54,T100Pts!BI$5:BN$44,(L54+1)),IF(J54="F",VLOOKUP(AA54,T100Pts!BU$5:BZ$44,(L54+1)),""))))</f>
        <v>-</v>
      </c>
      <c r="AC54" s="163"/>
      <c r="AD54" s="116" t="str">
        <f>IF($L54="X","-",IF(AC54="","-",IF(J54="M",VLOOKUP(AC54,T100Pts!A$5:I$1146,(L54+1)),IF(J54="F",VLOOKUP(AC54,T100Pts!K$5:S$1146,(L54+1)),""))))</f>
        <v>-</v>
      </c>
      <c r="AE54" s="117" t="str">
        <f t="shared" si="6"/>
        <v>-</v>
      </c>
      <c r="AF54" s="114" t="str">
        <f t="shared" si="7"/>
        <v>-</v>
      </c>
      <c r="AG54" s="115" t="e">
        <f t="shared" si="8"/>
        <v>#DIV/0!</v>
      </c>
      <c r="AH54" s="114" t="str">
        <f t="shared" si="1"/>
        <v>-</v>
      </c>
      <c r="AI54" s="161" t="s">
        <v>191</v>
      </c>
      <c r="AJ54" s="77" t="str">
        <f t="shared" si="12"/>
        <v/>
      </c>
    </row>
    <row r="55" spans="1:36" s="77" customFormat="1" ht="15.75" customHeight="1" x14ac:dyDescent="0.25">
      <c r="A55" s="138">
        <v>42</v>
      </c>
      <c r="B55" s="168"/>
      <c r="C55" s="137"/>
      <c r="D55" s="174"/>
      <c r="E55" s="175"/>
      <c r="F55" s="176"/>
      <c r="G55" s="177"/>
      <c r="H55" s="178"/>
      <c r="I55" s="139" t="str">
        <f t="shared" si="10"/>
        <v>-</v>
      </c>
      <c r="J55" s="181" t="s">
        <v>139</v>
      </c>
      <c r="K55" s="153" t="str">
        <f t="shared" si="11"/>
        <v>-</v>
      </c>
      <c r="L55" s="153" t="str">
        <f>IF(F55="","-",IF(K55&lt;&gt;"",VLOOKUP(K55,T100Pts!CH$4:CI$59,(2))))</f>
        <v>-</v>
      </c>
      <c r="M55" s="155"/>
      <c r="N55" s="153" t="str">
        <f>IF($L55="X","-",IF(M55="","-",IF(J55="M",VLOOKUP(M55,T100Pts!U$5:AC$86,(L55+1)),IF(J55="F",VLOOKUP(M55,T100Pts!AE$5:AM$86,(L55+1)),""))))</f>
        <v>-</v>
      </c>
      <c r="O55" s="155"/>
      <c r="P55" s="140" t="str">
        <f>IF($L55="X","-",IF(O55="","-",IF(J55="M",VLOOKUP(O55,T100Pts!AO$5:AW$126,(L55+1)),IF(J55="F",VLOOKUP(O55,T100Pts!AY$5:BG$126,(L55+1)),""))))</f>
        <v>-</v>
      </c>
      <c r="Q55" s="158"/>
      <c r="R55" s="140" t="str">
        <f>IF(OR($L55="X",$L55=6,$L55=7),"-",IF(Q55="","-",IF(J55="M",VLOOKUP(Q55,T100Pts!BI$5:BN$44,(L55+1)),IF(J55="F",VLOOKUP(Q55,T100Pts!BU$5:BZ$44,(L55+1)),""))))</f>
        <v>-</v>
      </c>
      <c r="S55" s="155"/>
      <c r="T55" s="140" t="str">
        <f>IF($L55="X","-",IF(S55="","-",IF(J55="M",VLOOKUP(S55,T100Pts!A$5:I$1146,(L55+1)),IF(J55="F",VLOOKUP(S55,T100Pts!K$5:S$1147,(L55+1)),""))))</f>
        <v>-</v>
      </c>
      <c r="U55" s="141" t="str">
        <f t="shared" si="4"/>
        <v>-</v>
      </c>
      <c r="V55" s="79" t="str">
        <f t="shared" si="5"/>
        <v>-</v>
      </c>
      <c r="W55" s="155"/>
      <c r="X55" s="116" t="str">
        <f>IF($L55="X","-",IF(W55="","-",IF(J55="M",VLOOKUP(W55,T100Pts!U$5:AC$86,(L55+1)),IF(J55="F",VLOOKUP(W55,T100Pts!AE$5:AM$86,(L55+1)),""))))</f>
        <v>-</v>
      </c>
      <c r="Y55" s="163"/>
      <c r="Z55" s="116" t="str">
        <f>IF($L55="X","-",IF(Y55="","-",IF(J55="M",VLOOKUP(Y55,T100Pts!AO$5:AW$126,(L55+1)),IF(J55="F",VLOOKUP(Y55,T100Pts!AY$5:BG$126,(L55+1)),""))))</f>
        <v>-</v>
      </c>
      <c r="AA55" s="166"/>
      <c r="AB55" s="116" t="str">
        <f>IF(OR($L55="X",$L55=6,$L55=7),"-",IF(AA55="","-",IF(J55="M",VLOOKUP(AA55,T100Pts!BI$5:BN$44,(L55+1)),IF(J55="F",VLOOKUP(AA55,T100Pts!BU$5:BZ$44,(L55+1)),""))))</f>
        <v>-</v>
      </c>
      <c r="AC55" s="227"/>
      <c r="AD55" s="116" t="str">
        <f>IF($L55="X","-",IF(AC55="","-",IF(J55="M",VLOOKUP(AC55,T100Pts!A$5:I$1146,(L55+1)),IF(J55="F",VLOOKUP(AC55,T100Pts!K$5:S$1146,(L55+1)),""))))</f>
        <v>-</v>
      </c>
      <c r="AE55" s="117" t="str">
        <f t="shared" si="6"/>
        <v>-</v>
      </c>
      <c r="AF55" s="114" t="str">
        <f t="shared" si="7"/>
        <v>-</v>
      </c>
      <c r="AG55" s="115" t="e">
        <f t="shared" si="8"/>
        <v>#DIV/0!</v>
      </c>
      <c r="AH55" s="114" t="str">
        <f t="shared" si="1"/>
        <v>-</v>
      </c>
      <c r="AI55" s="161"/>
      <c r="AJ55" s="77" t="str">
        <f t="shared" si="12"/>
        <v/>
      </c>
    </row>
    <row r="56" spans="1:36" s="77" customFormat="1" ht="15.75" customHeight="1" x14ac:dyDescent="0.2">
      <c r="A56" s="138">
        <v>43</v>
      </c>
      <c r="B56" s="168"/>
      <c r="C56" s="137"/>
      <c r="D56" s="169"/>
      <c r="E56" s="170"/>
      <c r="F56" s="173"/>
      <c r="G56" s="172"/>
      <c r="H56" s="172"/>
      <c r="I56" s="139" t="str">
        <f t="shared" si="10"/>
        <v>-</v>
      </c>
      <c r="J56" s="203" t="s">
        <v>139</v>
      </c>
      <c r="K56" s="153" t="str">
        <f t="shared" si="11"/>
        <v>-</v>
      </c>
      <c r="L56" s="153" t="str">
        <f>IF(F56="","-",IF(K56&lt;&gt;"",VLOOKUP(K56,T100Pts!CH$4:CI$59,(2))))</f>
        <v>-</v>
      </c>
      <c r="M56" s="155"/>
      <c r="N56" s="153" t="str">
        <f>IF($L56="X","-",IF(M56="","-",IF(J56="M",VLOOKUP(M56,T100Pts!U$5:AC$86,(L56+1)),IF(J56="F",VLOOKUP(M56,T100Pts!AE$5:AM$86,(L56+1)),""))))</f>
        <v>-</v>
      </c>
      <c r="O56" s="155"/>
      <c r="P56" s="140" t="str">
        <f>IF($L56="X","-",IF(O56="","-",IF(J56="M",VLOOKUP(O56,T100Pts!AO$5:AW$126,(L56+1)),IF(J56="F",VLOOKUP(O56,T100Pts!AY$5:BG$126,(L56+1)),""))))</f>
        <v>-</v>
      </c>
      <c r="Q56" s="157"/>
      <c r="R56" s="140" t="str">
        <f>IF(OR($L56="X",$L56=6,$L56=7),"-",IF(Q56="","-",IF(J56="M",VLOOKUP(Q56,T100Pts!BI$5:BN$44,(L56+1)),IF(J56="F",VLOOKUP(Q56,T100Pts!BU$5:BZ$44,(L56+1)),""))))</f>
        <v>-</v>
      </c>
      <c r="S56" s="155"/>
      <c r="T56" s="140" t="str">
        <f>IF($L56="X","-",IF(S56="","-",IF(J56="M",VLOOKUP(S56,T100Pts!A$5:I$1146,(L56+1)),IF(J56="F",VLOOKUP(S56,T100Pts!K$5:S$1147,(L56+1)),""))))</f>
        <v>-</v>
      </c>
      <c r="U56" s="141" t="str">
        <f t="shared" si="4"/>
        <v>-</v>
      </c>
      <c r="V56" s="79" t="str">
        <f t="shared" si="5"/>
        <v>-</v>
      </c>
      <c r="W56" s="155"/>
      <c r="X56" s="116" t="str">
        <f>IF($L56="X","-",IF(W56="","-",IF(J56="M",VLOOKUP(W56,T100Pts!U$5:AC$86,(L56+1)),IF(J56="F",VLOOKUP(W56,T100Pts!AE$5:AM$86,(L56+1)),""))))</f>
        <v>-</v>
      </c>
      <c r="Y56" s="163"/>
      <c r="Z56" s="116" t="str">
        <f>IF($L56="X","-",IF(Y56="","-",IF(J56="M",VLOOKUP(Y56,T100Pts!AO$5:AW$126,(L56+1)),IF(J56="F",VLOOKUP(Y56,T100Pts!AY$5:BG$126,(L56+1)),""))))</f>
        <v>-</v>
      </c>
      <c r="AA56" s="165"/>
      <c r="AB56" s="116" t="str">
        <f>IF(OR($L56="X",$L56=6,$L56=7),"-",IF(AA56="","-",IF(J56="M",VLOOKUP(AA56,T100Pts!BI$5:BN$44,(L56+1)),IF(J56="F",VLOOKUP(AA56,T100Pts!BU$5:BZ$44,(L56+1)),""))))</f>
        <v>-</v>
      </c>
      <c r="AC56" s="227"/>
      <c r="AD56" s="116" t="str">
        <f>IF($L56="X","-",IF(AC56="","-",IF(J56="M",VLOOKUP(AC56,T100Pts!A$5:I$1146,(L56+1)),IF(J56="F",VLOOKUP(AC56,T100Pts!K$5:S$1146,(L56+1)),""))))</f>
        <v>-</v>
      </c>
      <c r="AE56" s="117" t="str">
        <f t="shared" si="6"/>
        <v>-</v>
      </c>
      <c r="AF56" s="114" t="str">
        <f t="shared" si="7"/>
        <v>-</v>
      </c>
      <c r="AG56" s="115" t="e">
        <f t="shared" si="8"/>
        <v>#DIV/0!</v>
      </c>
      <c r="AH56" s="114" t="str">
        <f t="shared" si="1"/>
        <v>-</v>
      </c>
      <c r="AI56" s="161"/>
      <c r="AJ56" s="77" t="str">
        <f t="shared" si="12"/>
        <v/>
      </c>
    </row>
    <row r="57" spans="1:36" s="77" customFormat="1" ht="15.75" customHeight="1" x14ac:dyDescent="0.25">
      <c r="A57" s="138">
        <v>44</v>
      </c>
      <c r="B57" s="168"/>
      <c r="C57" s="137"/>
      <c r="D57" s="174"/>
      <c r="E57" s="175"/>
      <c r="F57" s="176"/>
      <c r="G57" s="177"/>
      <c r="H57" s="178"/>
      <c r="I57" s="139" t="str">
        <f t="shared" si="10"/>
        <v>-</v>
      </c>
      <c r="J57" s="203" t="s">
        <v>140</v>
      </c>
      <c r="K57" s="153" t="str">
        <f t="shared" si="11"/>
        <v>-</v>
      </c>
      <c r="L57" s="153" t="str">
        <f>IF(F57="","-",IF(K57&lt;&gt;"",VLOOKUP(K57,T100Pts!CH$4:CI$59,(2))))</f>
        <v>-</v>
      </c>
      <c r="M57" s="155"/>
      <c r="N57" s="153" t="str">
        <f>IF($L57="X","-",IF(M57="","-",IF(J57="M",VLOOKUP(M57,T100Pts!U$5:AC$86,(L57+1)),IF(J57="F",VLOOKUP(M57,T100Pts!AE$5:AM$86,(L57+1)),""))))</f>
        <v>-</v>
      </c>
      <c r="O57" s="155"/>
      <c r="P57" s="140" t="str">
        <f>IF($L57="X","-",IF(O57="","-",IF(J57="M",VLOOKUP(O57,T100Pts!AO$5:AW$126,(L57+1)),IF(J57="F",VLOOKUP(O57,T100Pts!AY$5:BG$126,(L57+1)),""))))</f>
        <v>-</v>
      </c>
      <c r="Q57" s="157"/>
      <c r="R57" s="140" t="str">
        <f>IF(OR($L57="X",$L57=6,$L57=7),"-",IF(Q57="","-",IF(J57="M",VLOOKUP(Q57,T100Pts!BI$5:BN$44,(L57+1)),IF(J57="F",VLOOKUP(Q57,T100Pts!BU$5:BZ$44,(L57+1)),""))))</f>
        <v>-</v>
      </c>
      <c r="S57" s="155"/>
      <c r="T57" s="140" t="str">
        <f>IF($L57="X","-",IF(S57="","-",IF(J57="M",VLOOKUP(S57,T100Pts!A$5:I$1146,(L57+1)),IF(J57="F",VLOOKUP(S57,T100Pts!K$5:S$1147,(L57+1)),""))))</f>
        <v>-</v>
      </c>
      <c r="U57" s="141" t="str">
        <f t="shared" si="4"/>
        <v>-</v>
      </c>
      <c r="V57" s="79" t="str">
        <f t="shared" si="5"/>
        <v>-</v>
      </c>
      <c r="W57" s="155"/>
      <c r="X57" s="116" t="str">
        <f>IF($L57="X","-",IF(W57="","-",IF(J57="M",VLOOKUP(W57,T100Pts!U$5:AC$86,(L57+1)),IF(J57="F",VLOOKUP(W57,T100Pts!AE$5:AM$86,(L57+1)),""))))</f>
        <v>-</v>
      </c>
      <c r="Y57" s="163"/>
      <c r="Z57" s="116" t="str">
        <f>IF($L57="X","-",IF(Y57="","-",IF(J57="M",VLOOKUP(Y57,T100Pts!AO$5:AW$126,(L57+1)),IF(J57="F",VLOOKUP(Y57,T100Pts!AY$5:BG$126,(L57+1)),""))))</f>
        <v>-</v>
      </c>
      <c r="AA57" s="165"/>
      <c r="AB57" s="116" t="str">
        <f>IF(OR($L57="X",$L57=6,$L57=7),"-",IF(AA57="","-",IF(J57="M",VLOOKUP(AA57,T100Pts!BI$5:BN$44,(L57+1)),IF(J57="F",VLOOKUP(AA57,T100Pts!BU$5:BZ$44,(L57+1)),""))))</f>
        <v>-</v>
      </c>
      <c r="AC57" s="227"/>
      <c r="AD57" s="116" t="str">
        <f>IF($L57="X","-",IF(AC57="","-",IF(J57="M",VLOOKUP(AC57,T100Pts!A$5:I$1146,(L57+1)),IF(J57="F",VLOOKUP(AC57,T100Pts!K$5:S$1146,(L57+1)),""))))</f>
        <v>-</v>
      </c>
      <c r="AE57" s="117" t="str">
        <f t="shared" si="6"/>
        <v>-</v>
      </c>
      <c r="AF57" s="114" t="str">
        <f t="shared" si="7"/>
        <v>-</v>
      </c>
      <c r="AG57" s="115" t="e">
        <f t="shared" si="8"/>
        <v>#DIV/0!</v>
      </c>
      <c r="AH57" s="114" t="str">
        <f t="shared" si="1"/>
        <v>-</v>
      </c>
      <c r="AI57" s="161"/>
      <c r="AJ57" s="77" t="str">
        <f t="shared" si="12"/>
        <v/>
      </c>
    </row>
    <row r="58" spans="1:36" s="77" customFormat="1" ht="15.75" customHeight="1" x14ac:dyDescent="0.2">
      <c r="A58" s="138">
        <v>45</v>
      </c>
      <c r="B58" s="168"/>
      <c r="C58" s="137"/>
      <c r="D58" s="169"/>
      <c r="E58" s="170"/>
      <c r="F58" s="173"/>
      <c r="G58" s="172"/>
      <c r="H58" s="172"/>
      <c r="I58" s="139" t="str">
        <f t="shared" si="10"/>
        <v>-</v>
      </c>
      <c r="J58" s="203" t="s">
        <v>139</v>
      </c>
      <c r="K58" s="153" t="str">
        <f t="shared" si="11"/>
        <v>-</v>
      </c>
      <c r="L58" s="153" t="str">
        <f>IF(F58="","-",IF(K58&lt;&gt;"",VLOOKUP(K58,T100Pts!CH$4:CI$59,(2))))</f>
        <v>-</v>
      </c>
      <c r="M58" s="155"/>
      <c r="N58" s="153" t="str">
        <f>IF($L58="X","-",IF(M58="","-",IF(J58="M",VLOOKUP(M58,T100Pts!U$5:AC$86,(L58+1)),IF(J58="F",VLOOKUP(M58,T100Pts!AE$5:AM$86,(L58+1)),""))))</f>
        <v>-</v>
      </c>
      <c r="O58" s="155"/>
      <c r="P58" s="140" t="str">
        <f>IF($L58="X","-",IF(O58="","-",IF(J58="M",VLOOKUP(O58,T100Pts!AO$5:AW$126,(L58+1)),IF(J58="F",VLOOKUP(O58,T100Pts!AY$5:BG$126,(L58+1)),""))))</f>
        <v>-</v>
      </c>
      <c r="Q58" s="157"/>
      <c r="R58" s="140" t="str">
        <f>IF(OR($L58="X",$L58=6,$L58=7),"-",IF(Q58="","-",IF(J58="M",VLOOKUP(Q58,T100Pts!BI$5:BN$44,(L58+1)),IF(J58="F",VLOOKUP(Q58,T100Pts!BU$5:BZ$44,(L58+1)),""))))</f>
        <v>-</v>
      </c>
      <c r="S58" s="155"/>
      <c r="T58" s="140" t="str">
        <f>IF($L58="X","-",IF(S58="","-",IF(J58="M",VLOOKUP(S58,T100Pts!A$5:I$1146,(L58+1)),IF(J58="F",VLOOKUP(S58,T100Pts!K$5:S$1147,(L58+1)),""))))</f>
        <v>-</v>
      </c>
      <c r="U58" s="141" t="str">
        <f t="shared" si="4"/>
        <v>-</v>
      </c>
      <c r="V58" s="79" t="str">
        <f t="shared" si="5"/>
        <v>-</v>
      </c>
      <c r="W58" s="155"/>
      <c r="X58" s="116" t="str">
        <f>IF($L58="X","-",IF(W58="","-",IF(J58="M",VLOOKUP(W58,T100Pts!U$5:AC$86,(L58+1)),IF(J58="F",VLOOKUP(W58,T100Pts!AE$5:AM$86,(L58+1)),""))))</f>
        <v>-</v>
      </c>
      <c r="Y58" s="163"/>
      <c r="Z58" s="116" t="str">
        <f>IF($L58="X","-",IF(Y58="","-",IF(J58="M",VLOOKUP(Y58,T100Pts!AO$5:AW$126,(L58+1)),IF(J58="F",VLOOKUP(Y58,T100Pts!AY$5:BG$126,(L58+1)),""))))</f>
        <v>-</v>
      </c>
      <c r="AA58" s="165"/>
      <c r="AB58" s="116" t="str">
        <f>IF(OR($L58="X",$L58=6,$L58=7),"-",IF(AA58="","-",IF(J58="M",VLOOKUP(AA58,T100Pts!BI$5:BN$44,(L58+1)),IF(J58="F",VLOOKUP(AA58,T100Pts!BU$5:BZ$44,(L58+1)),""))))</f>
        <v>-</v>
      </c>
      <c r="AC58" s="228"/>
      <c r="AD58" s="116" t="str">
        <f>IF($L58="X","-",IF(AC58="","-",IF(J58="M",VLOOKUP(AC58,T100Pts!A$5:I$1146,(L58+1)),IF(J58="F",VLOOKUP(AC58,T100Pts!K$5:S$1146,(L58+1)),""))))</f>
        <v>-</v>
      </c>
      <c r="AE58" s="117" t="str">
        <f t="shared" si="6"/>
        <v>-</v>
      </c>
      <c r="AF58" s="114" t="str">
        <f t="shared" si="7"/>
        <v>-</v>
      </c>
      <c r="AG58" s="115" t="e">
        <f t="shared" si="8"/>
        <v>#DIV/0!</v>
      </c>
      <c r="AH58" s="114" t="str">
        <f t="shared" si="1"/>
        <v>-</v>
      </c>
      <c r="AI58" s="161"/>
      <c r="AJ58" s="77" t="str">
        <f t="shared" si="12"/>
        <v/>
      </c>
    </row>
    <row r="59" spans="1:36" s="77" customFormat="1" ht="15.75" customHeight="1" x14ac:dyDescent="0.2">
      <c r="A59" s="138">
        <v>46</v>
      </c>
      <c r="B59" s="168"/>
      <c r="C59" s="137"/>
      <c r="D59" s="169"/>
      <c r="E59" s="170"/>
      <c r="F59" s="173"/>
      <c r="G59" s="172"/>
      <c r="H59" s="172"/>
      <c r="I59" s="139" t="str">
        <f t="shared" si="10"/>
        <v>-</v>
      </c>
      <c r="J59" s="203" t="s">
        <v>139</v>
      </c>
      <c r="K59" s="153" t="str">
        <f t="shared" si="11"/>
        <v>-</v>
      </c>
      <c r="L59" s="153" t="str">
        <f>IF(F59="","-",IF(K59&lt;&gt;"",VLOOKUP(K59,T100Pts!CH$4:CI$59,(2))))</f>
        <v>-</v>
      </c>
      <c r="M59" s="155"/>
      <c r="N59" s="153" t="str">
        <f>IF($L59="X","-",IF(M59="","-",IF(J59="M",VLOOKUP(M59,T100Pts!U$5:AC$86,(L59+1)),IF(J59="F",VLOOKUP(M59,T100Pts!AE$5:AM$86,(L59+1)),""))))</f>
        <v>-</v>
      </c>
      <c r="O59" s="155"/>
      <c r="P59" s="140" t="str">
        <f>IF($L59="X","-",IF(O59="","-",IF(J59="M",VLOOKUP(O59,T100Pts!AO$5:AW$126,(L59+1)),IF(J59="F",VLOOKUP(O59,T100Pts!AY$5:BG$126,(L59+1)),""))))</f>
        <v>-</v>
      </c>
      <c r="Q59" s="157"/>
      <c r="R59" s="140" t="str">
        <f>IF(OR($L59="X",$L59=6,$L59=7),"-",IF(Q59="","-",IF(J59="M",VLOOKUP(Q59,T100Pts!BI$5:BN$44,(L59+1)),IF(J59="F",VLOOKUP(Q59,T100Pts!BU$5:BZ$44,(L59+1)),""))))</f>
        <v>-</v>
      </c>
      <c r="S59" s="155"/>
      <c r="T59" s="140" t="str">
        <f>IF($L59="X","-",IF(S59="","-",IF(J59="M",VLOOKUP(S59,T100Pts!A$5:I$1146,(L59+1)),IF(J59="F",VLOOKUP(S59,T100Pts!K$5:S$1147,(L59+1)),""))))</f>
        <v>-</v>
      </c>
      <c r="U59" s="141" t="str">
        <f t="shared" si="4"/>
        <v>-</v>
      </c>
      <c r="V59" s="79" t="str">
        <f t="shared" si="5"/>
        <v>-</v>
      </c>
      <c r="W59" s="155"/>
      <c r="X59" s="116" t="str">
        <f>IF($L59="X","-",IF(W59="","-",IF(J59="M",VLOOKUP(W59,T100Pts!U$5:AC$86,(L59+1)),IF(J59="F",VLOOKUP(W59,T100Pts!AE$5:AM$86,(L59+1)),""))))</f>
        <v>-</v>
      </c>
      <c r="Y59" s="163"/>
      <c r="Z59" s="116" t="str">
        <f>IF($L59="X","-",IF(Y59="","-",IF(J59="M",VLOOKUP(Y59,T100Pts!AO$5:AW$126,(L59+1)),IF(J59="F",VLOOKUP(Y59,T100Pts!AY$5:BG$126,(L59+1)),""))))</f>
        <v>-</v>
      </c>
      <c r="AA59" s="165"/>
      <c r="AB59" s="116" t="str">
        <f>IF(OR($L59="X",$L59=6,$L59=7),"-",IF(AA59="","-",IF(J59="M",VLOOKUP(AA59,T100Pts!BI$5:BN$44,(L59+1)),IF(J59="F",VLOOKUP(AA59,T100Pts!BU$5:BZ$44,(L59+1)),""))))</f>
        <v>-</v>
      </c>
      <c r="AC59" s="227"/>
      <c r="AD59" s="116" t="str">
        <f>IF($L59="X","-",IF(AC59="","-",IF(J59="M",VLOOKUP(AC59,T100Pts!A$5:I$1146,(L59+1)),IF(J59="F",VLOOKUP(AC59,T100Pts!K$5:S$1146,(L59+1)),""))))</f>
        <v>-</v>
      </c>
      <c r="AE59" s="117" t="str">
        <f t="shared" si="6"/>
        <v>-</v>
      </c>
      <c r="AF59" s="114" t="str">
        <f t="shared" si="7"/>
        <v>-</v>
      </c>
      <c r="AG59" s="115" t="e">
        <f t="shared" si="8"/>
        <v>#DIV/0!</v>
      </c>
      <c r="AH59" s="114" t="str">
        <f t="shared" si="1"/>
        <v>-</v>
      </c>
      <c r="AI59" s="161"/>
      <c r="AJ59" s="77" t="str">
        <f t="shared" si="12"/>
        <v/>
      </c>
    </row>
    <row r="60" spans="1:36" s="77" customFormat="1" ht="15.75" customHeight="1" x14ac:dyDescent="0.2">
      <c r="A60" s="138">
        <v>47</v>
      </c>
      <c r="B60" s="168"/>
      <c r="C60" s="137"/>
      <c r="D60" s="169"/>
      <c r="E60" s="170"/>
      <c r="F60" s="173"/>
      <c r="G60" s="172"/>
      <c r="H60" s="172"/>
      <c r="I60" s="139" t="str">
        <f t="shared" si="10"/>
        <v>-</v>
      </c>
      <c r="J60" s="203" t="s">
        <v>139</v>
      </c>
      <c r="K60" s="153" t="str">
        <f t="shared" si="11"/>
        <v>-</v>
      </c>
      <c r="L60" s="153" t="str">
        <f>IF(F60="","-",IF(K60&lt;&gt;"",VLOOKUP(K60,T100Pts!CH$4:CI$59,(2))))</f>
        <v>-</v>
      </c>
      <c r="M60" s="155"/>
      <c r="N60" s="153" t="str">
        <f>IF($L60="X","-",IF(M60="","-",IF(J60="M",VLOOKUP(M60,T100Pts!U$5:AC$86,(L60+1)),IF(J60="F",VLOOKUP(M60,T100Pts!AE$5:AM$86,(L60+1)),""))))</f>
        <v>-</v>
      </c>
      <c r="O60" s="155"/>
      <c r="P60" s="140" t="str">
        <f>IF($L60="X","-",IF(O60="","-",IF(J60="M",VLOOKUP(O60,T100Pts!AO$5:AW$126,(L60+1)),IF(J60="F",VLOOKUP(O60,T100Pts!AY$5:BG$126,(L60+1)),""))))</f>
        <v>-</v>
      </c>
      <c r="Q60" s="157"/>
      <c r="R60" s="140" t="str">
        <f>IF(OR($L60="X",$L60=6,$L60=7),"-",IF(Q60="","-",IF(J60="M",VLOOKUP(Q60,T100Pts!BI$5:BN$44,(L60+1)),IF(J60="F",VLOOKUP(Q60,T100Pts!BU$5:BZ$44,(L60+1)),""))))</f>
        <v>-</v>
      </c>
      <c r="S60" s="155"/>
      <c r="T60" s="140" t="str">
        <f>IF($L60="X","-",IF(S60="","-",IF(J60="M",VLOOKUP(S60,T100Pts!A$5:I$1146,(L60+1)),IF(J60="F",VLOOKUP(S60,T100Pts!K$5:S$1147,(L60+1)),""))))</f>
        <v>-</v>
      </c>
      <c r="U60" s="141" t="str">
        <f t="shared" si="4"/>
        <v>-</v>
      </c>
      <c r="V60" s="79" t="str">
        <f t="shared" si="5"/>
        <v>-</v>
      </c>
      <c r="W60" s="155"/>
      <c r="X60" s="116" t="str">
        <f>IF($L60="X","-",IF(W60="","-",IF(J60="M",VLOOKUP(W60,T100Pts!U$5:AC$86,(L60+1)),IF(J60="F",VLOOKUP(W60,T100Pts!AE$5:AM$86,(L60+1)),""))))</f>
        <v>-</v>
      </c>
      <c r="Y60" s="163"/>
      <c r="Z60" s="116" t="str">
        <f>IF($L60="X","-",IF(Y60="","-",IF(J60="M",VLOOKUP(Y60,T100Pts!AO$5:AW$126,(L60+1)),IF(J60="F",VLOOKUP(Y60,T100Pts!AY$5:BG$126,(L60+1)),""))))</f>
        <v>-</v>
      </c>
      <c r="AA60" s="165"/>
      <c r="AB60" s="116" t="str">
        <f>IF(OR($L60="X",$L60=6,$L60=7),"-",IF(AA60="","-",IF(J60="M",VLOOKUP(AA60,T100Pts!BI$5:BN$44,(L60+1)),IF(J60="F",VLOOKUP(AA60,T100Pts!BU$5:BZ$44,(L60+1)),""))))</f>
        <v>-</v>
      </c>
      <c r="AC60" s="228"/>
      <c r="AD60" s="116" t="str">
        <f>IF($L60="X","-",IF(AC60="","-",IF(J60="M",VLOOKUP(AC60,T100Pts!A$5:I$1146,(L60+1)),IF(J60="F",VLOOKUP(AC60,T100Pts!K$5:S$1146,(L60+1)),""))))</f>
        <v>-</v>
      </c>
      <c r="AE60" s="117" t="str">
        <f t="shared" si="6"/>
        <v>-</v>
      </c>
      <c r="AF60" s="114" t="str">
        <f t="shared" si="7"/>
        <v>-</v>
      </c>
      <c r="AG60" s="115" t="e">
        <f t="shared" si="8"/>
        <v>#DIV/0!</v>
      </c>
      <c r="AH60" s="114" t="str">
        <f t="shared" si="1"/>
        <v>-</v>
      </c>
      <c r="AI60" s="161"/>
      <c r="AJ60" s="77" t="str">
        <f t="shared" si="12"/>
        <v/>
      </c>
    </row>
    <row r="61" spans="1:36" s="77" customFormat="1" ht="15.75" customHeight="1" x14ac:dyDescent="0.2">
      <c r="A61" s="138">
        <v>48</v>
      </c>
      <c r="B61" s="168"/>
      <c r="C61" s="137"/>
      <c r="D61" s="169"/>
      <c r="E61" s="170"/>
      <c r="F61" s="173"/>
      <c r="G61" s="172"/>
      <c r="H61" s="172"/>
      <c r="I61" s="139" t="str">
        <f t="shared" si="10"/>
        <v>-</v>
      </c>
      <c r="J61" s="203" t="s">
        <v>139</v>
      </c>
      <c r="K61" s="153" t="str">
        <f t="shared" si="11"/>
        <v>-</v>
      </c>
      <c r="L61" s="153" t="str">
        <f>IF(F61="","-",IF(K61&lt;&gt;"",VLOOKUP(K61,T100Pts!CH$4:CI$59,(2))))</f>
        <v>-</v>
      </c>
      <c r="M61" s="155"/>
      <c r="N61" s="153" t="str">
        <f>IF($L61="X","-",IF(M61="","-",IF(J61="M",VLOOKUP(M61,T100Pts!U$5:AC$86,(L61+1)),IF(J61="F",VLOOKUP(M61,T100Pts!AE$5:AM$86,(L61+1)),""))))</f>
        <v>-</v>
      </c>
      <c r="O61" s="155"/>
      <c r="P61" s="140" t="str">
        <f>IF($L61="X","-",IF(O61="","-",IF(J61="M",VLOOKUP(O61,T100Pts!AO$5:AW$126,(L61+1)),IF(J61="F",VLOOKUP(O61,T100Pts!AY$5:BG$126,(L61+1)),""))))</f>
        <v>-</v>
      </c>
      <c r="Q61" s="157"/>
      <c r="R61" s="140" t="str">
        <f>IF(OR($L61="X",$L61=6,$L61=7),"-",IF(Q61="","-",IF(J61="M",VLOOKUP(Q61,T100Pts!BI$5:BN$44,(L61+1)),IF(J61="F",VLOOKUP(Q61,T100Pts!BU$5:BZ$44,(L61+1)),""))))</f>
        <v>-</v>
      </c>
      <c r="S61" s="155"/>
      <c r="T61" s="140" t="str">
        <f>IF($L61="X","-",IF(S61="","-",IF(J61="M",VLOOKUP(S61,T100Pts!A$5:I$1146,(L61+1)),IF(J61="F",VLOOKUP(S61,T100Pts!K$5:S$1147,(L61+1)),""))))</f>
        <v>-</v>
      </c>
      <c r="U61" s="141" t="str">
        <f t="shared" si="4"/>
        <v>-</v>
      </c>
      <c r="V61" s="79" t="str">
        <f t="shared" si="5"/>
        <v>-</v>
      </c>
      <c r="W61" s="155"/>
      <c r="X61" s="116" t="str">
        <f>IF($L61="X","-",IF(W61="","-",IF(J61="M",VLOOKUP(W61,T100Pts!U$5:AC$86,(L61+1)),IF(J61="F",VLOOKUP(W61,T100Pts!AE$5:AM$86,(L61+1)),""))))</f>
        <v>-</v>
      </c>
      <c r="Y61" s="163"/>
      <c r="Z61" s="116" t="str">
        <f>IF($L61="X","-",IF(Y61="","-",IF(J61="M",VLOOKUP(Y61,T100Pts!AO$5:AW$126,(L61+1)),IF(J61="F",VLOOKUP(Y61,T100Pts!AY$5:BG$126,(L61+1)),""))))</f>
        <v>-</v>
      </c>
      <c r="AA61" s="165"/>
      <c r="AB61" s="116" t="str">
        <f>IF(OR($L61="X",$L61=6,$L61=7),"-",IF(AA61="","-",IF(J61="M",VLOOKUP(AA61,T100Pts!BI$5:BN$44,(L61+1)),IF(J61="F",VLOOKUP(AA61,T100Pts!BU$5:BZ$44,(L61+1)),""))))</f>
        <v>-</v>
      </c>
      <c r="AC61" s="227"/>
      <c r="AD61" s="116" t="str">
        <f>IF($L61="X","-",IF(AC61="","-",IF(J61="M",VLOOKUP(AC61,T100Pts!A$5:I$1146,(L61+1)),IF(J61="F",VLOOKUP(AC61,T100Pts!K$5:S$1146,(L61+1)),""))))</f>
        <v>-</v>
      </c>
      <c r="AE61" s="117" t="str">
        <f t="shared" si="6"/>
        <v>-</v>
      </c>
      <c r="AF61" s="114" t="str">
        <f t="shared" si="7"/>
        <v>-</v>
      </c>
      <c r="AG61" s="115" t="e">
        <f t="shared" si="8"/>
        <v>#DIV/0!</v>
      </c>
      <c r="AH61" s="114" t="str">
        <f t="shared" si="1"/>
        <v>-</v>
      </c>
      <c r="AI61" s="161"/>
      <c r="AJ61" s="77" t="str">
        <f t="shared" si="12"/>
        <v/>
      </c>
    </row>
    <row r="62" spans="1:36" s="77" customFormat="1" ht="15.75" customHeight="1" x14ac:dyDescent="0.25">
      <c r="A62" s="138">
        <v>49</v>
      </c>
      <c r="B62" s="168"/>
      <c r="C62" s="137"/>
      <c r="D62" s="174"/>
      <c r="E62" s="175"/>
      <c r="F62" s="176"/>
      <c r="G62" s="177"/>
      <c r="H62" s="178"/>
      <c r="I62" s="139" t="str">
        <f t="shared" si="10"/>
        <v>-</v>
      </c>
      <c r="J62" s="203" t="s">
        <v>139</v>
      </c>
      <c r="K62" s="153" t="str">
        <f t="shared" si="11"/>
        <v>-</v>
      </c>
      <c r="L62" s="153" t="str">
        <f>IF(F62="","-",IF(K62&lt;&gt;"",VLOOKUP(K62,T100Pts!CH$4:CI$59,(2))))</f>
        <v>-</v>
      </c>
      <c r="M62" s="155"/>
      <c r="N62" s="153" t="str">
        <f>IF($L62="X","-",IF(M62="","-",IF(J62="M",VLOOKUP(M62,T100Pts!U$5:AC$86,(L62+1)),IF(J62="F",VLOOKUP(M62,T100Pts!AE$5:AM$86,(L62+1)),""))))</f>
        <v>-</v>
      </c>
      <c r="O62" s="155"/>
      <c r="P62" s="140" t="str">
        <f>IF($L62="X","-",IF(O62="","-",IF(J62="M",VLOOKUP(O62,T100Pts!AO$5:AW$126,(L62+1)),IF(J62="F",VLOOKUP(O62,T100Pts!AY$5:BG$126,(L62+1)),""))))</f>
        <v>-</v>
      </c>
      <c r="Q62" s="157"/>
      <c r="R62" s="140" t="str">
        <f>IF(OR($L62="X",$L62=6,$L62=7),"-",IF(Q62="","-",IF(J62="M",VLOOKUP(Q62,T100Pts!BI$5:BN$44,(L62+1)),IF(J62="F",VLOOKUP(Q62,T100Pts!BU$5:BZ$44,(L62+1)),""))))</f>
        <v>-</v>
      </c>
      <c r="S62" s="155"/>
      <c r="T62" s="140" t="str">
        <f>IF($L62="X","-",IF(S62="","-",IF(J62="M",VLOOKUP(S62,T100Pts!A$5:I$1146,(L62+1)),IF(J62="F",VLOOKUP(S62,T100Pts!K$5:S$1147,(L62+1)),""))))</f>
        <v>-</v>
      </c>
      <c r="U62" s="141" t="str">
        <f t="shared" si="4"/>
        <v>-</v>
      </c>
      <c r="V62" s="79" t="str">
        <f t="shared" si="5"/>
        <v>-</v>
      </c>
      <c r="W62" s="155"/>
      <c r="X62" s="116" t="str">
        <f>IF($L62="X","-",IF(W62="","-",IF(J62="M",VLOOKUP(W62,T100Pts!U$5:AC$86,(L62+1)),IF(J62="F",VLOOKUP(W62,T100Pts!AE$5:AM$86,(L62+1)),""))))</f>
        <v>-</v>
      </c>
      <c r="Y62" s="163"/>
      <c r="Z62" s="116" t="str">
        <f>IF($L62="X","-",IF(Y62="","-",IF(J62="M",VLOOKUP(Y62,T100Pts!AO$5:AW$126,(L62+1)),IF(J62="F",VLOOKUP(Y62,T100Pts!AY$5:BG$126,(L62+1)),""))))</f>
        <v>-</v>
      </c>
      <c r="AA62" s="165"/>
      <c r="AB62" s="116" t="str">
        <f>IF(OR($L62="X",$L62=6,$L62=7),"-",IF(AA62="","-",IF(J62="M",VLOOKUP(AA62,T100Pts!BI$5:BN$44,(L62+1)),IF(J62="F",VLOOKUP(AA62,T100Pts!BU$5:BZ$44,(L62+1)),""))))</f>
        <v>-</v>
      </c>
      <c r="AC62" s="227"/>
      <c r="AD62" s="116" t="str">
        <f>IF($L62="X","-",IF(AC62="","-",IF(J62="M",VLOOKUP(AC62,T100Pts!A$5:I$1146,(L62+1)),IF(J62="F",VLOOKUP(AC62,T100Pts!K$5:S$1146,(L62+1)),""))))</f>
        <v>-</v>
      </c>
      <c r="AE62" s="117" t="str">
        <f t="shared" si="6"/>
        <v>-</v>
      </c>
      <c r="AF62" s="114" t="str">
        <f t="shared" si="7"/>
        <v>-</v>
      </c>
      <c r="AG62" s="115" t="e">
        <f t="shared" si="8"/>
        <v>#DIV/0!</v>
      </c>
      <c r="AH62" s="114" t="str">
        <f t="shared" si="1"/>
        <v>-</v>
      </c>
      <c r="AI62" s="161"/>
      <c r="AJ62" s="77" t="str">
        <f t="shared" si="12"/>
        <v/>
      </c>
    </row>
    <row r="63" spans="1:36" s="77" customFormat="1" ht="15.75" customHeight="1" x14ac:dyDescent="0.2">
      <c r="A63" s="138">
        <v>50</v>
      </c>
      <c r="B63" s="168"/>
      <c r="C63" s="137"/>
      <c r="D63" s="169"/>
      <c r="E63" s="170"/>
      <c r="F63" s="173"/>
      <c r="G63" s="172"/>
      <c r="H63" s="172"/>
      <c r="I63" s="139" t="str">
        <f t="shared" si="10"/>
        <v>-</v>
      </c>
      <c r="J63" s="203" t="s">
        <v>139</v>
      </c>
      <c r="K63" s="153" t="str">
        <f t="shared" si="11"/>
        <v>-</v>
      </c>
      <c r="L63" s="153" t="str">
        <f>IF(F63="","-",IF(K63&lt;&gt;"",VLOOKUP(K63,T100Pts!CH$4:CI$59,(2))))</f>
        <v>-</v>
      </c>
      <c r="M63" s="155"/>
      <c r="N63" s="153" t="str">
        <f>IF($L63="X","-",IF(M63="","-",IF(J63="M",VLOOKUP(M63,T100Pts!U$5:AC$86,(L63+1)),IF(J63="F",VLOOKUP(M63,T100Pts!AE$5:AM$86,(L63+1)),""))))</f>
        <v>-</v>
      </c>
      <c r="O63" s="155"/>
      <c r="P63" s="140" t="str">
        <f>IF($L63="X","-",IF(O63="","-",IF(J63="M",VLOOKUP(O63,T100Pts!AO$5:AW$126,(L63+1)),IF(J63="F",VLOOKUP(O63,T100Pts!AY$5:BG$126,(L63+1)),""))))</f>
        <v>-</v>
      </c>
      <c r="Q63" s="157"/>
      <c r="R63" s="140" t="str">
        <f>IF(OR($L63="X",$L63=6,$L63=7),"-",IF(Q63="","-",IF(J63="M",VLOOKUP(Q63,T100Pts!BI$5:BN$44,(L63+1)),IF(J63="F",VLOOKUP(Q63,T100Pts!BU$5:BZ$44,(L63+1)),""))))</f>
        <v>-</v>
      </c>
      <c r="S63" s="155"/>
      <c r="T63" s="140" t="str">
        <f>IF($L63="X","-",IF(S63="","-",IF(J63="M",VLOOKUP(S63,T100Pts!A$5:I$1146,(L63+1)),IF(J63="F",VLOOKUP(S63,T100Pts!K$5:S$1147,(L63+1)),""))))</f>
        <v>-</v>
      </c>
      <c r="U63" s="141" t="str">
        <f t="shared" si="4"/>
        <v>-</v>
      </c>
      <c r="V63" s="79" t="str">
        <f t="shared" si="5"/>
        <v>-</v>
      </c>
      <c r="W63" s="155"/>
      <c r="X63" s="116" t="str">
        <f>IF($L63="X","-",IF(W63="","-",IF(J63="M",VLOOKUP(W63,T100Pts!U$5:AC$86,(L63+1)),IF(J63="F",VLOOKUP(W63,T100Pts!AE$5:AM$86,(L63+1)),""))))</f>
        <v>-</v>
      </c>
      <c r="Y63" s="163"/>
      <c r="Z63" s="116" t="str">
        <f>IF($L63="X","-",IF(Y63="","-",IF(J63="M",VLOOKUP(Y63,T100Pts!AO$5:AW$126,(L63+1)),IF(J63="F",VLOOKUP(Y63,T100Pts!AY$5:BG$126,(L63+1)),""))))</f>
        <v>-</v>
      </c>
      <c r="AA63" s="165"/>
      <c r="AB63" s="116" t="str">
        <f>IF(OR($L63="X",$L63=6,$L63=7),"-",IF(AA63="","-",IF(J63="M",VLOOKUP(AA63,T100Pts!BI$5:BN$44,(L63+1)),IF(J63="F",VLOOKUP(AA63,T100Pts!BU$5:BZ$44,(L63+1)),""))))</f>
        <v>-</v>
      </c>
      <c r="AC63" s="227"/>
      <c r="AD63" s="116" t="str">
        <f>IF($L63="X","-",IF(AC63="","-",IF(J63="M",VLOOKUP(AC63,T100Pts!A$5:I$1146,(L63+1)),IF(J63="F",VLOOKUP(AC63,T100Pts!K$5:S$1146,(L63+1)),""))))</f>
        <v>-</v>
      </c>
      <c r="AE63" s="117" t="str">
        <f t="shared" si="6"/>
        <v>-</v>
      </c>
      <c r="AF63" s="114" t="str">
        <f t="shared" si="7"/>
        <v>-</v>
      </c>
      <c r="AG63" s="115" t="e">
        <f t="shared" si="8"/>
        <v>#DIV/0!</v>
      </c>
      <c r="AH63" s="114" t="str">
        <f t="shared" si="1"/>
        <v>-</v>
      </c>
      <c r="AI63" s="161"/>
      <c r="AJ63" s="77" t="str">
        <f t="shared" si="12"/>
        <v/>
      </c>
    </row>
    <row r="64" spans="1:36" s="77" customFormat="1" ht="15.75" customHeight="1" x14ac:dyDescent="0.2">
      <c r="A64" s="138">
        <v>51</v>
      </c>
      <c r="B64" s="168"/>
      <c r="C64" s="137"/>
      <c r="D64" s="169"/>
      <c r="E64" s="170"/>
      <c r="F64" s="173"/>
      <c r="G64" s="172"/>
      <c r="H64" s="172"/>
      <c r="I64" s="139" t="str">
        <f t="shared" si="10"/>
        <v>-</v>
      </c>
      <c r="J64" s="203" t="s">
        <v>139</v>
      </c>
      <c r="K64" s="153" t="str">
        <f t="shared" si="11"/>
        <v>-</v>
      </c>
      <c r="L64" s="153" t="str">
        <f>IF(F64="","-",IF(K64&lt;&gt;"",VLOOKUP(K64,T100Pts!CH$4:CI$59,(2))))</f>
        <v>-</v>
      </c>
      <c r="M64" s="155"/>
      <c r="N64" s="153" t="str">
        <f>IF($L64="X","-",IF(M64="","-",IF(J64="M",VLOOKUP(M64,T100Pts!U$5:AC$86,(L64+1)),IF(J64="F",VLOOKUP(M64,T100Pts!AE$5:AM$86,(L64+1)),""))))</f>
        <v>-</v>
      </c>
      <c r="O64" s="155"/>
      <c r="P64" s="140" t="str">
        <f>IF($L64="X","-",IF(O64="","-",IF(J64="M",VLOOKUP(O64,T100Pts!AO$5:AW$126,(L64+1)),IF(J64="F",VLOOKUP(O64,T100Pts!AY$5:BG$126,(L64+1)),""))))</f>
        <v>-</v>
      </c>
      <c r="Q64" s="157"/>
      <c r="R64" s="140" t="str">
        <f>IF(OR($L64="X",$L64=6,$L64=7),"-",IF(Q64="","-",IF(J64="M",VLOOKUP(Q64,T100Pts!BI$5:BN$44,(L64+1)),IF(J64="F",VLOOKUP(Q64,T100Pts!BU$5:BZ$44,(L64+1)),""))))</f>
        <v>-</v>
      </c>
      <c r="S64" s="155"/>
      <c r="T64" s="140" t="str">
        <f>IF($L64="X","-",IF(S64="","-",IF(J64="M",VLOOKUP(S64,T100Pts!A$5:I$1146,(L64+1)),IF(J64="F",VLOOKUP(S64,T100Pts!K$5:S$1147,(L64+1)),""))))</f>
        <v>-</v>
      </c>
      <c r="U64" s="141" t="str">
        <f t="shared" si="4"/>
        <v>-</v>
      </c>
      <c r="V64" s="79" t="str">
        <f t="shared" si="5"/>
        <v>-</v>
      </c>
      <c r="W64" s="155"/>
      <c r="X64" s="116" t="str">
        <f>IF($L64="X","-",IF(W64="","-",IF(J64="M",VLOOKUP(W64,T100Pts!U$5:AC$86,(L64+1)),IF(J64="F",VLOOKUP(W64,T100Pts!AE$5:AM$86,(L64+1)),""))))</f>
        <v>-</v>
      </c>
      <c r="Y64" s="163"/>
      <c r="Z64" s="116" t="str">
        <f>IF($L64="X","-",IF(Y64="","-",IF(J64="M",VLOOKUP(Y64,T100Pts!AO$5:AW$126,(L64+1)),IF(J64="F",VLOOKUP(Y64,T100Pts!AY$5:BG$126,(L64+1)),""))))</f>
        <v>-</v>
      </c>
      <c r="AA64" s="165"/>
      <c r="AB64" s="116" t="str">
        <f>IF(OR($L64="X",$L64=6,$L64=7),"-",IF(AA64="","-",IF(J64="M",VLOOKUP(AA64,T100Pts!BI$5:BN$44,(L64+1)),IF(J64="F",VLOOKUP(AA64,T100Pts!BU$5:BZ$44,(L64+1)),""))))</f>
        <v>-</v>
      </c>
      <c r="AC64" s="227"/>
      <c r="AD64" s="116" t="str">
        <f>IF($L64="X","-",IF(AC64="","-",IF(J64="M",VLOOKUP(AC64,T100Pts!A$5:I$1146,(L64+1)),IF(J64="F",VLOOKUP(AC64,T100Pts!K$5:S$1146,(L64+1)),""))))</f>
        <v>-</v>
      </c>
      <c r="AE64" s="117" t="str">
        <f t="shared" si="6"/>
        <v>-</v>
      </c>
      <c r="AF64" s="114" t="str">
        <f t="shared" si="7"/>
        <v>-</v>
      </c>
      <c r="AG64" s="115" t="e">
        <f t="shared" si="8"/>
        <v>#DIV/0!</v>
      </c>
      <c r="AH64" s="114" t="str">
        <f t="shared" si="1"/>
        <v>-</v>
      </c>
      <c r="AI64" s="161"/>
      <c r="AJ64" s="77" t="str">
        <f t="shared" si="12"/>
        <v/>
      </c>
    </row>
    <row r="65" spans="1:37" s="77" customFormat="1" ht="15.75" customHeight="1" x14ac:dyDescent="0.25">
      <c r="A65" s="138">
        <v>52</v>
      </c>
      <c r="B65" s="168"/>
      <c r="C65" s="137"/>
      <c r="D65" s="174"/>
      <c r="E65" s="175"/>
      <c r="F65" s="176"/>
      <c r="G65" s="177"/>
      <c r="H65" s="178"/>
      <c r="I65" s="139" t="str">
        <f t="shared" ref="I65:I92" si="13">IF(OR(G65="",H65=""),"-",ROUND(G65/(H65^2),0))</f>
        <v>-</v>
      </c>
      <c r="J65" s="181" t="s">
        <v>139</v>
      </c>
      <c r="K65" s="153" t="str">
        <f t="shared" ref="K65:K92" si="14">IF(F65&gt;0,DATEDIF(F65,$L$1,"Y"),"-")</f>
        <v>-</v>
      </c>
      <c r="L65" s="153" t="str">
        <f>IF(F65="","-",IF(K65&lt;&gt;"",VLOOKUP(K65,T100Pts!CH$4:CI$59,(2))))</f>
        <v>-</v>
      </c>
      <c r="M65" s="155"/>
      <c r="N65" s="153" t="str">
        <f>IF($L65="X","-",IF(M65="","-",IF(J65="M",VLOOKUP(M65,T100Pts!U$5:AC$86,(L65+1)),IF(J65="F",VLOOKUP(M65,T100Pts!AE$5:AM$86,(L65+1)),""))))</f>
        <v>-</v>
      </c>
      <c r="O65" s="155"/>
      <c r="P65" s="140" t="str">
        <f>IF($L65="X","-",IF(O65="","-",IF(J65="M",VLOOKUP(O65,T100Pts!AO$5:AW$126,(L65+1)),IF(J65="F",VLOOKUP(O65,T100Pts!AY$5:BG$126,(L65+1)),""))))</f>
        <v>-</v>
      </c>
      <c r="Q65" s="157"/>
      <c r="R65" s="140" t="str">
        <f>IF(OR($L65="X",$L65=6,$L65=7),"-",IF(Q65="","-",IF(J65="M",VLOOKUP(Q65,T100Pts!BI$5:BN$44,(L65+1)),IF(J65="F",VLOOKUP(Q65,T100Pts!BU$5:BZ$44,(L65+1)),""))))</f>
        <v>-</v>
      </c>
      <c r="S65" s="155"/>
      <c r="T65" s="140" t="str">
        <f>IF($L65="X","-",IF(S65="","-",IF(J65="M",VLOOKUP(S65,T100Pts!A$5:I$1146,(L65+1)),IF(J65="F",VLOOKUP(S65,T100Pts!K$5:S$1147,(L65+1)),""))))</f>
        <v>-</v>
      </c>
      <c r="U65" s="141" t="str">
        <f t="shared" si="4"/>
        <v>-</v>
      </c>
      <c r="V65" s="79" t="str">
        <f t="shared" si="5"/>
        <v>-</v>
      </c>
      <c r="W65" s="155"/>
      <c r="X65" s="116" t="str">
        <f>IF($L65="X","-",IF(W65="","-",IF(J65="M",VLOOKUP(W65,T100Pts!U$5:AC$86,(L65+1)),IF(J65="F",VLOOKUP(W65,T100Pts!AE$5:AM$86,(L65+1)),""))))</f>
        <v>-</v>
      </c>
      <c r="Y65" s="163"/>
      <c r="Z65" s="116" t="str">
        <f>IF($L65="X","-",IF(Y65="","-",IF(J65="M",VLOOKUP(Y65,T100Pts!AO$5:AW$126,(L65+1)),IF(J65="F",VLOOKUP(Y65,T100Pts!AY$5:BG$126,(L65+1)),""))))</f>
        <v>-</v>
      </c>
      <c r="AA65" s="165"/>
      <c r="AB65" s="116" t="str">
        <f>IF(OR($L65="X",$L65=6,$L65=7),"-",IF(AA65="","-",IF(J65="M",VLOOKUP(AA65,T100Pts!BI$5:BN$44,(L65+1)),IF(J65="F",VLOOKUP(AA65,T100Pts!BU$5:BZ$44,(L65+1)),""))))</f>
        <v>-</v>
      </c>
      <c r="AC65" s="228"/>
      <c r="AD65" s="116" t="str">
        <f>IF($L65="X","-",IF(AC65="","-",IF(J65="M",VLOOKUP(AC65,T100Pts!A$5:I$1146,(L65+1)),IF(J65="F",VLOOKUP(AC65,T100Pts!K$5:S$1146,(L65+1)),""))))</f>
        <v>-</v>
      </c>
      <c r="AE65" s="117" t="str">
        <f t="shared" si="6"/>
        <v>-</v>
      </c>
      <c r="AF65" s="114" t="str">
        <f t="shared" si="7"/>
        <v>-</v>
      </c>
      <c r="AG65" s="115" t="e">
        <f t="shared" si="8"/>
        <v>#DIV/0!</v>
      </c>
      <c r="AH65" s="114" t="str">
        <f t="shared" si="1"/>
        <v>-</v>
      </c>
      <c r="AI65" s="161"/>
      <c r="AJ65" s="77" t="str">
        <f t="shared" si="12"/>
        <v/>
      </c>
    </row>
    <row r="66" spans="1:37" s="77" customFormat="1" ht="15.75" customHeight="1" x14ac:dyDescent="0.2">
      <c r="A66" s="138">
        <v>53</v>
      </c>
      <c r="B66" s="168"/>
      <c r="C66" s="137"/>
      <c r="D66" s="169"/>
      <c r="E66" s="170"/>
      <c r="F66" s="173"/>
      <c r="G66" s="172"/>
      <c r="H66" s="172"/>
      <c r="I66" s="139" t="str">
        <f t="shared" si="13"/>
        <v>-</v>
      </c>
      <c r="J66" s="203" t="s">
        <v>139</v>
      </c>
      <c r="K66" s="153" t="str">
        <f t="shared" si="14"/>
        <v>-</v>
      </c>
      <c r="L66" s="153" t="str">
        <f>IF(F66="","-",IF(K66&lt;&gt;"",VLOOKUP(K66,T100Pts!CH$4:CI$59,(2))))</f>
        <v>-</v>
      </c>
      <c r="M66" s="155"/>
      <c r="N66" s="153" t="str">
        <f>IF($L66="X","-",IF(M66="","-",IF(J66="M",VLOOKUP(M66,T100Pts!U$5:AC$86,(L66+1)),IF(J66="F",VLOOKUP(M66,T100Pts!AE$5:AM$86,(L66+1)),""))))</f>
        <v>-</v>
      </c>
      <c r="O66" s="155"/>
      <c r="P66" s="140" t="str">
        <f>IF($L66="X","-",IF(O66="","-",IF(J66="M",VLOOKUP(O66,T100Pts!AO$5:AW$126,(L66+1)),IF(J66="F",VLOOKUP(O66,T100Pts!AY$5:BG$126,(L66+1)),""))))</f>
        <v>-</v>
      </c>
      <c r="Q66" s="157"/>
      <c r="R66" s="140" t="str">
        <f>IF(OR($L66="X",$L66=6,$L66=7),"-",IF(Q66="","-",IF(J66="M",VLOOKUP(Q66,T100Pts!BI$5:BN$44,(L66+1)),IF(J66="F",VLOOKUP(Q66,T100Pts!BU$5:BZ$44,(L66+1)),""))))</f>
        <v>-</v>
      </c>
      <c r="S66" s="155"/>
      <c r="T66" s="140" t="str">
        <f>IF($L66="X","-",IF(S66="","-",IF(J66="M",VLOOKUP(S66,T100Pts!A$5:I$1146,(L66+1)),IF(J66="F",VLOOKUP(S66,T100Pts!K$5:S$1147,(L66+1)),""))))</f>
        <v>-</v>
      </c>
      <c r="U66" s="141" t="str">
        <f t="shared" si="4"/>
        <v>-</v>
      </c>
      <c r="V66" s="79" t="str">
        <f t="shared" si="5"/>
        <v>-</v>
      </c>
      <c r="W66" s="155"/>
      <c r="X66" s="116" t="str">
        <f>IF($L66="X","-",IF(W66="","-",IF(J66="M",VLOOKUP(W66,T100Pts!U$5:AC$86,(L66+1)),IF(J66="F",VLOOKUP(W66,T100Pts!AE$5:AM$86,(L66+1)),""))))</f>
        <v>-</v>
      </c>
      <c r="Y66" s="163"/>
      <c r="Z66" s="116" t="str">
        <f>IF($L66="X","-",IF(Y66="","-",IF(J66="M",VLOOKUP(Y66,T100Pts!AO$5:AW$126,(L66+1)),IF(J66="F",VLOOKUP(Y66,T100Pts!AY$5:BG$126,(L66+1)),""))))</f>
        <v>-</v>
      </c>
      <c r="AA66" s="165"/>
      <c r="AB66" s="116" t="str">
        <f>IF(OR($L66="X",$L66=6,$L66=7),"-",IF(AA66="","-",IF(J66="M",VLOOKUP(AA66,T100Pts!BI$5:BN$44,(L66+1)),IF(J66="F",VLOOKUP(AA66,T100Pts!BU$5:BZ$44,(L66+1)),""))))</f>
        <v>-</v>
      </c>
      <c r="AC66" s="227"/>
      <c r="AD66" s="116" t="str">
        <f>IF($L66="X","-",IF(AC66="","-",IF(J66="M",VLOOKUP(AC66,T100Pts!A$5:I$1146,(L66+1)),IF(J66="F",VLOOKUP(AC66,T100Pts!K$5:S$1146,(L66+1)),""))))</f>
        <v>-</v>
      </c>
      <c r="AE66" s="117" t="str">
        <f t="shared" si="6"/>
        <v>-</v>
      </c>
      <c r="AF66" s="114" t="str">
        <f t="shared" si="7"/>
        <v>-</v>
      </c>
      <c r="AG66" s="115" t="e">
        <f t="shared" si="8"/>
        <v>#DIV/0!</v>
      </c>
      <c r="AH66" s="114" t="str">
        <f t="shared" si="1"/>
        <v>-</v>
      </c>
      <c r="AI66" s="161"/>
      <c r="AJ66" s="77" t="str">
        <f t="shared" si="12"/>
        <v/>
      </c>
    </row>
    <row r="67" spans="1:37" s="77" customFormat="1" ht="15.75" customHeight="1" x14ac:dyDescent="0.2">
      <c r="A67" s="138">
        <v>54</v>
      </c>
      <c r="B67" s="168"/>
      <c r="C67" s="137"/>
      <c r="D67" s="169"/>
      <c r="E67" s="170"/>
      <c r="F67" s="173"/>
      <c r="G67" s="172"/>
      <c r="H67" s="172"/>
      <c r="I67" s="139" t="str">
        <f t="shared" si="13"/>
        <v>-</v>
      </c>
      <c r="J67" s="203" t="s">
        <v>139</v>
      </c>
      <c r="K67" s="153" t="str">
        <f t="shared" si="14"/>
        <v>-</v>
      </c>
      <c r="L67" s="153" t="str">
        <f>IF(F67="","-",IF(K67&lt;&gt;"",VLOOKUP(K67,T100Pts!CH$4:CI$59,(2))))</f>
        <v>-</v>
      </c>
      <c r="M67" s="155"/>
      <c r="N67" s="153" t="str">
        <f>IF($L67="X","-",IF(M67="","-",IF(J67="M",VLOOKUP(M67,T100Pts!U$5:AC$86,(L67+1)),IF(J67="F",VLOOKUP(M67,T100Pts!AE$5:AM$86,(L67+1)),""))))</f>
        <v>-</v>
      </c>
      <c r="O67" s="155"/>
      <c r="P67" s="140" t="str">
        <f>IF($L67="X","-",IF(O67="","-",IF(J67="M",VLOOKUP(O67,T100Pts!AO$5:AW$126,(L67+1)),IF(J67="F",VLOOKUP(O67,T100Pts!AY$5:BG$126,(L67+1)),""))))</f>
        <v>-</v>
      </c>
      <c r="Q67" s="157"/>
      <c r="R67" s="140" t="str">
        <f>IF(OR($L67="X",$L67=6,$L67=7),"-",IF(Q67="","-",IF(J67="M",VLOOKUP(Q67,T100Pts!BI$5:BN$44,(L67+1)),IF(J67="F",VLOOKUP(Q67,T100Pts!BU$5:BZ$44,(L67+1)),""))))</f>
        <v>-</v>
      </c>
      <c r="S67" s="155"/>
      <c r="T67" s="140" t="str">
        <f>IF($L67="X","-",IF(S67="","-",IF(J67="M",VLOOKUP(S67,T100Pts!A$5:I$1146,(L67+1)),IF(J67="F",VLOOKUP(S67,T100Pts!K$5:S$1147,(L67+1)),""))))</f>
        <v>-</v>
      </c>
      <c r="U67" s="141" t="str">
        <f t="shared" si="4"/>
        <v>-</v>
      </c>
      <c r="V67" s="79" t="str">
        <f t="shared" si="5"/>
        <v>-</v>
      </c>
      <c r="W67" s="155"/>
      <c r="X67" s="116" t="str">
        <f>IF($L67="X","-",IF(W67="","-",IF(J67="M",VLOOKUP(W67,T100Pts!U$5:AC$86,(L67+1)),IF(J67="F",VLOOKUP(W67,T100Pts!AE$5:AM$86,(L67+1)),""))))</f>
        <v>-</v>
      </c>
      <c r="Y67" s="163"/>
      <c r="Z67" s="116" t="str">
        <f>IF($L67="X","-",IF(Y67="","-",IF(J67="M",VLOOKUP(Y67,T100Pts!AO$5:AW$126,(L67+1)),IF(J67="F",VLOOKUP(Y67,T100Pts!AY$5:BG$126,(L67+1)),""))))</f>
        <v>-</v>
      </c>
      <c r="AA67" s="165"/>
      <c r="AB67" s="116" t="str">
        <f>IF(OR($L67="X",$L67=6,$L67=7),"-",IF(AA67="","-",IF(J67="M",VLOOKUP(AA67,T100Pts!BI$5:BN$44,(L67+1)),IF(J67="F",VLOOKUP(AA67,T100Pts!BU$5:BZ$44,(L67+1)),""))))</f>
        <v>-</v>
      </c>
      <c r="AC67" s="227"/>
      <c r="AD67" s="116" t="str">
        <f>IF($L67="X","-",IF(AC67="","-",IF(J67="M",VLOOKUP(AC67,T100Pts!A$5:I$1146,(L67+1)),IF(J67="F",VLOOKUP(AC67,T100Pts!K$5:S$1146,(L67+1)),""))))</f>
        <v>-</v>
      </c>
      <c r="AE67" s="117" t="str">
        <f t="shared" si="6"/>
        <v>-</v>
      </c>
      <c r="AF67" s="114" t="str">
        <f t="shared" si="7"/>
        <v>-</v>
      </c>
      <c r="AG67" s="115" t="e">
        <f t="shared" si="8"/>
        <v>#DIV/0!</v>
      </c>
      <c r="AH67" s="114" t="str">
        <f t="shared" si="1"/>
        <v>-</v>
      </c>
      <c r="AI67" s="161"/>
      <c r="AJ67" s="77" t="str">
        <f t="shared" si="12"/>
        <v/>
      </c>
    </row>
    <row r="68" spans="1:37" s="77" customFormat="1" ht="15.75" customHeight="1" x14ac:dyDescent="0.25">
      <c r="A68" s="138">
        <v>55</v>
      </c>
      <c r="B68" s="168"/>
      <c r="C68" s="137"/>
      <c r="D68" s="174"/>
      <c r="E68" s="175"/>
      <c r="F68" s="176"/>
      <c r="G68" s="177"/>
      <c r="H68" s="178"/>
      <c r="I68" s="139" t="str">
        <f t="shared" si="13"/>
        <v>-</v>
      </c>
      <c r="J68" s="203" t="s">
        <v>139</v>
      </c>
      <c r="K68" s="153" t="str">
        <f t="shared" si="14"/>
        <v>-</v>
      </c>
      <c r="L68" s="153" t="str">
        <f>IF(F68="","-",IF(K68&lt;&gt;"",VLOOKUP(K68,T100Pts!CH$4:CI$59,(2))))</f>
        <v>-</v>
      </c>
      <c r="M68" s="155"/>
      <c r="N68" s="153" t="str">
        <f>IF($L68="X","-",IF(M68="","-",IF(J68="M",VLOOKUP(M68,T100Pts!U$5:AC$86,(L68+1)),IF(J68="F",VLOOKUP(M68,T100Pts!AE$5:AM$86,(L68+1)),""))))</f>
        <v>-</v>
      </c>
      <c r="O68" s="155"/>
      <c r="P68" s="140" t="str">
        <f>IF($L68="X","-",IF(O68="","-",IF(J68="M",VLOOKUP(O68,T100Pts!AO$5:AW$126,(L68+1)),IF(J68="F",VLOOKUP(O68,T100Pts!AY$5:BG$126,(L68+1)),""))))</f>
        <v>-</v>
      </c>
      <c r="Q68" s="157"/>
      <c r="R68" s="140" t="str">
        <f>IF(OR($L68="X",$L68=6,$L68=7),"-",IF(Q68="","-",IF(J68="M",VLOOKUP(Q68,T100Pts!BI$5:BN$44,(L68+1)),IF(J68="F",VLOOKUP(Q68,T100Pts!BU$5:BZ$44,(L68+1)),""))))</f>
        <v>-</v>
      </c>
      <c r="S68" s="155"/>
      <c r="T68" s="140" t="str">
        <f>IF($L68="X","-",IF(S68="","-",IF(J68="M",VLOOKUP(S68,T100Pts!A$5:I$1146,(L68+1)),IF(J68="F",VLOOKUP(S68,T100Pts!K$5:S$1147,(L68+1)),""))))</f>
        <v>-</v>
      </c>
      <c r="U68" s="141" t="str">
        <f t="shared" si="4"/>
        <v>-</v>
      </c>
      <c r="V68" s="79" t="str">
        <f t="shared" si="5"/>
        <v>-</v>
      </c>
      <c r="W68" s="155"/>
      <c r="X68" s="116" t="str">
        <f>IF($L68="X","-",IF(W68="","-",IF(J68="M",VLOOKUP(W68,T100Pts!U$5:AC$86,(L68+1)),IF(J68="F",VLOOKUP(W68,T100Pts!AE$5:AM$86,(L68+1)),""))))</f>
        <v>-</v>
      </c>
      <c r="Y68" s="163"/>
      <c r="Z68" s="116" t="str">
        <f>IF($L68="X","-",IF(Y68="","-",IF(J68="M",VLOOKUP(Y68,T100Pts!AO$5:AW$126,(L68+1)),IF(J68="F",VLOOKUP(Y68,T100Pts!AY$5:BG$126,(L68+1)),""))))</f>
        <v>-</v>
      </c>
      <c r="AA68" s="165"/>
      <c r="AB68" s="116" t="str">
        <f>IF(OR($L68="X",$L68=6,$L68=7),"-",IF(AA68="","-",IF(J68="M",VLOOKUP(AA68,T100Pts!BI$5:BN$44,(L68+1)),IF(J68="F",VLOOKUP(AA68,T100Pts!BU$5:BZ$44,(L68+1)),""))))</f>
        <v>-</v>
      </c>
      <c r="AC68" s="227"/>
      <c r="AD68" s="116" t="str">
        <f>IF($L68="X","-",IF(AC68="","-",IF(J68="M",VLOOKUP(AC68,T100Pts!A$5:I$1146,(L68+1)),IF(J68="F",VLOOKUP(AC68,T100Pts!K$5:S$1146,(L68+1)),""))))</f>
        <v>-</v>
      </c>
      <c r="AE68" s="117" t="str">
        <f t="shared" si="6"/>
        <v>-</v>
      </c>
      <c r="AF68" s="114" t="str">
        <f t="shared" si="7"/>
        <v>-</v>
      </c>
      <c r="AG68" s="115" t="e">
        <f t="shared" si="8"/>
        <v>#DIV/0!</v>
      </c>
      <c r="AH68" s="114" t="str">
        <f t="shared" si="1"/>
        <v>-</v>
      </c>
      <c r="AI68" s="161"/>
      <c r="AJ68" s="77" t="str">
        <f t="shared" si="12"/>
        <v/>
      </c>
    </row>
    <row r="69" spans="1:37" s="77" customFormat="1" ht="15.75" customHeight="1" x14ac:dyDescent="0.25">
      <c r="A69" s="138">
        <v>56</v>
      </c>
      <c r="B69" s="168"/>
      <c r="C69" s="137"/>
      <c r="D69" s="174"/>
      <c r="E69" s="175"/>
      <c r="F69" s="176"/>
      <c r="G69" s="177"/>
      <c r="H69" s="178"/>
      <c r="I69" s="139" t="str">
        <f t="shared" si="13"/>
        <v>-</v>
      </c>
      <c r="J69" s="203" t="s">
        <v>139</v>
      </c>
      <c r="K69" s="153" t="str">
        <f t="shared" si="14"/>
        <v>-</v>
      </c>
      <c r="L69" s="153" t="str">
        <f>IF(F69="","-",IF(K69&lt;&gt;"",VLOOKUP(K69,T100Pts!CH$4:CI$59,(2))))</f>
        <v>-</v>
      </c>
      <c r="M69" s="155"/>
      <c r="N69" s="153" t="str">
        <f>IF($L69="X","-",IF(M69="","-",IF(J69="M",VLOOKUP(M69,T100Pts!U$5:AC$86,(L69+1)),IF(J69="F",VLOOKUP(M69,T100Pts!AE$5:AM$86,(L69+1)),""))))</f>
        <v>-</v>
      </c>
      <c r="O69" s="155"/>
      <c r="P69" s="140" t="str">
        <f>IF($L69="X","-",IF(O69="","-",IF(J69="M",VLOOKUP(O69,T100Pts!AO$5:AW$126,(L69+1)),IF(J69="F",VLOOKUP(O69,T100Pts!AY$5:BG$126,(L69+1)),""))))</f>
        <v>-</v>
      </c>
      <c r="Q69" s="157"/>
      <c r="R69" s="140" t="str">
        <f>IF(OR($L69="X",$L69=6,$L69=7),"-",IF(Q69="","-",IF(J69="M",VLOOKUP(Q69,T100Pts!BI$5:BN$44,(L69+1)),IF(J69="F",VLOOKUP(Q69,T100Pts!BU$5:BZ$44,(L69+1)),""))))</f>
        <v>-</v>
      </c>
      <c r="S69" s="155"/>
      <c r="T69" s="140" t="str">
        <f>IF($L69="X","-",IF(S69="","-",IF(J69="M",VLOOKUP(S69,T100Pts!A$5:I$1146,(L69+1)),IF(J69="F",VLOOKUP(S69,T100Pts!K$5:S$1147,(L69+1)),""))))</f>
        <v>-</v>
      </c>
      <c r="U69" s="141" t="str">
        <f t="shared" si="4"/>
        <v>-</v>
      </c>
      <c r="V69" s="79" t="str">
        <f t="shared" si="5"/>
        <v>-</v>
      </c>
      <c r="W69" s="155"/>
      <c r="X69" s="116" t="str">
        <f>IF($L69="X","-",IF(W69="","-",IF(J69="M",VLOOKUP(W69,T100Pts!U$5:AC$86,(L69+1)),IF(J69="F",VLOOKUP(W69,T100Pts!AE$5:AM$86,(L69+1)),""))))</f>
        <v>-</v>
      </c>
      <c r="Y69" s="163"/>
      <c r="Z69" s="116" t="str">
        <f>IF($L69="X","-",IF(Y69="","-",IF(J69="M",VLOOKUP(Y69,T100Pts!AO$5:AW$126,(L69+1)),IF(J69="F",VLOOKUP(Y69,T100Pts!AY$5:BG$126,(L69+1)),""))))</f>
        <v>-</v>
      </c>
      <c r="AA69" s="165"/>
      <c r="AB69" s="116" t="str">
        <f>IF(OR($L69="X",$L69=6,$L69=7),"-",IF(AA69="","-",IF(J69="M",VLOOKUP(AA69,T100Pts!BI$5:BN$44,(L69+1)),IF(J69="F",VLOOKUP(AA69,T100Pts!BU$5:BZ$44,(L69+1)),""))))</f>
        <v>-</v>
      </c>
      <c r="AC69" s="227"/>
      <c r="AD69" s="116" t="str">
        <f>IF($L69="X","-",IF(AC69="","-",IF(J69="M",VLOOKUP(AC69,T100Pts!A$5:I$1146,(L69+1)),IF(J69="F",VLOOKUP(AC69,T100Pts!K$5:S$1146,(L69+1)),""))))</f>
        <v>-</v>
      </c>
      <c r="AE69" s="117" t="str">
        <f t="shared" si="6"/>
        <v>-</v>
      </c>
      <c r="AF69" s="114" t="str">
        <f t="shared" si="7"/>
        <v>-</v>
      </c>
      <c r="AG69" s="115" t="e">
        <f t="shared" si="8"/>
        <v>#DIV/0!</v>
      </c>
      <c r="AH69" s="114" t="str">
        <f t="shared" si="1"/>
        <v>-</v>
      </c>
      <c r="AI69" s="161"/>
      <c r="AJ69" s="77" t="str">
        <f t="shared" si="12"/>
        <v/>
      </c>
    </row>
    <row r="70" spans="1:37" s="77" customFormat="1" ht="15.75" customHeight="1" x14ac:dyDescent="0.2">
      <c r="A70" s="138">
        <v>57</v>
      </c>
      <c r="B70" s="168"/>
      <c r="C70" s="137"/>
      <c r="D70" s="169"/>
      <c r="E70" s="170"/>
      <c r="F70" s="173"/>
      <c r="G70" s="168"/>
      <c r="H70" s="168"/>
      <c r="I70" s="139" t="str">
        <f t="shared" si="13"/>
        <v>-</v>
      </c>
      <c r="J70" s="203" t="s">
        <v>139</v>
      </c>
      <c r="K70" s="153" t="str">
        <f t="shared" si="14"/>
        <v>-</v>
      </c>
      <c r="L70" s="153" t="str">
        <f>IF(F70="","-",IF(K70&lt;&gt;"",VLOOKUP(K70,T100Pts!CH$4:CI$59,(2))))</f>
        <v>-</v>
      </c>
      <c r="M70" s="155"/>
      <c r="N70" s="153" t="str">
        <f>IF($L70="X","-",IF(M70="","-",IF(J70="M",VLOOKUP(M70,T100Pts!U$5:AC$86,(L70+1)),IF(J70="F",VLOOKUP(M70,T100Pts!AE$5:AM$86,(L70+1)),""))))</f>
        <v>-</v>
      </c>
      <c r="O70" s="155"/>
      <c r="P70" s="140" t="str">
        <f>IF($L70="X","-",IF(O70="","-",IF(J70="M",VLOOKUP(O70,T100Pts!AO$5:AW$126,(L70+1)),IF(J70="F",VLOOKUP(O70,T100Pts!AY$5:BG$126,(L70+1)),""))))</f>
        <v>-</v>
      </c>
      <c r="Q70" s="157"/>
      <c r="R70" s="140" t="str">
        <f>IF(OR($L70="X",$L70=6,$L70=7),"-",IF(Q70="","-",IF(J70="M",VLOOKUP(Q70,T100Pts!BI$5:BN$44,(L70+1)),IF(J70="F",VLOOKUP(Q70,T100Pts!BU$5:BZ$44,(L70+1)),""))))</f>
        <v>-</v>
      </c>
      <c r="S70" s="155"/>
      <c r="T70" s="140" t="str">
        <f>IF($L70="X","-",IF(S70="","-",IF(J70="M",VLOOKUP(S70,T100Pts!A$5:I$1146,(L70+1)),IF(J70="F",VLOOKUP(S70,T100Pts!K$5:S$1147,(L70+1)),""))))</f>
        <v>-</v>
      </c>
      <c r="U70" s="141" t="str">
        <f t="shared" si="4"/>
        <v>-</v>
      </c>
      <c r="V70" s="79" t="str">
        <f t="shared" si="5"/>
        <v>-</v>
      </c>
      <c r="W70" s="155"/>
      <c r="X70" s="116" t="str">
        <f>IF($L70="X","-",IF(W70="","-",IF(J70="M",VLOOKUP(W70,T100Pts!U$5:AC$86,(L70+1)),IF(J70="F",VLOOKUP(W70,T100Pts!AE$5:AM$86,(L70+1)),""))))</f>
        <v>-</v>
      </c>
      <c r="Y70" s="163"/>
      <c r="Z70" s="116" t="str">
        <f>IF($L70="X","-",IF(Y70="","-",IF(J70="M",VLOOKUP(Y70,T100Pts!AO$5:AW$126,(L70+1)),IF(J70="F",VLOOKUP(Y70,T100Pts!AY$5:BG$126,(L70+1)),""))))</f>
        <v>-</v>
      </c>
      <c r="AA70" s="165"/>
      <c r="AB70" s="116" t="str">
        <f>IF(OR($L70="X",$L70=6,$L70=7),"-",IF(AA70="","-",IF(J70="M",VLOOKUP(AA70,T100Pts!BI$5:BN$44,(L70+1)),IF(J70="F",VLOOKUP(AA70,T100Pts!BU$5:BZ$44,(L70+1)),""))))</f>
        <v>-</v>
      </c>
      <c r="AC70" s="163"/>
      <c r="AD70" s="116" t="str">
        <f>IF($L70="X","-",IF(AC70="","-",IF(J70="M",VLOOKUP(AC70,T100Pts!A$5:I$1146,(L70+1)),IF(J70="F",VLOOKUP(AC70,T100Pts!K$5:S$1146,(L70+1)),""))))</f>
        <v>-</v>
      </c>
      <c r="AE70" s="117" t="str">
        <f t="shared" si="6"/>
        <v>-</v>
      </c>
      <c r="AF70" s="114" t="str">
        <f t="shared" si="7"/>
        <v>-</v>
      </c>
      <c r="AG70" s="115" t="e">
        <f t="shared" si="8"/>
        <v>#DIV/0!</v>
      </c>
      <c r="AH70" s="114" t="str">
        <f t="shared" si="1"/>
        <v>-</v>
      </c>
      <c r="AI70" s="161" t="s">
        <v>202</v>
      </c>
      <c r="AJ70" s="77" t="str">
        <f t="shared" si="12"/>
        <v/>
      </c>
    </row>
    <row r="71" spans="1:37" s="77" customFormat="1" ht="15.75" customHeight="1" x14ac:dyDescent="0.2">
      <c r="A71" s="138">
        <v>58</v>
      </c>
      <c r="B71" s="168"/>
      <c r="C71" s="137"/>
      <c r="D71" s="169"/>
      <c r="E71" s="170"/>
      <c r="F71" s="173"/>
      <c r="G71" s="172"/>
      <c r="H71" s="172"/>
      <c r="I71" s="139" t="str">
        <f t="shared" si="13"/>
        <v>-</v>
      </c>
      <c r="J71" s="203" t="s">
        <v>139</v>
      </c>
      <c r="K71" s="153" t="str">
        <f t="shared" si="14"/>
        <v>-</v>
      </c>
      <c r="L71" s="153" t="str">
        <f>IF(F71="","-",IF(K71&lt;&gt;"",VLOOKUP(K71,T100Pts!CH$4:CI$59,(2))))</f>
        <v>-</v>
      </c>
      <c r="M71" s="155"/>
      <c r="N71" s="153" t="str">
        <f>IF($L71="X","-",IF(M71="","-",IF(J71="M",VLOOKUP(M71,T100Pts!U$5:AC$86,(L71+1)),IF(J71="F",VLOOKUP(M71,T100Pts!AE$5:AM$86,(L71+1)),""))))</f>
        <v>-</v>
      </c>
      <c r="O71" s="155"/>
      <c r="P71" s="140" t="str">
        <f>IF($L71="X","-",IF(O71="","-",IF(J71="M",VLOOKUP(O71,T100Pts!AO$5:AW$126,(L71+1)),IF(J71="F",VLOOKUP(O71,T100Pts!AY$5:BG$126,(L71+1)),""))))</f>
        <v>-</v>
      </c>
      <c r="Q71" s="157"/>
      <c r="R71" s="140" t="str">
        <f>IF(OR($L71="X",$L71=6,$L71=7),"-",IF(Q71="","-",IF(J71="M",VLOOKUP(Q71,T100Pts!BI$5:BN$44,(L71+1)),IF(J71="F",VLOOKUP(Q71,T100Pts!BU$5:BZ$44,(L71+1)),""))))</f>
        <v>-</v>
      </c>
      <c r="S71" s="155"/>
      <c r="T71" s="140" t="str">
        <f>IF($L71="X","-",IF(S71="","-",IF(J71="M",VLOOKUP(S71,T100Pts!A$5:I$1146,(L71+1)),IF(J71="F",VLOOKUP(S71,T100Pts!K$5:S$1147,(L71+1)),""))))</f>
        <v>-</v>
      </c>
      <c r="U71" s="141" t="str">
        <f t="shared" si="4"/>
        <v>-</v>
      </c>
      <c r="V71" s="79" t="str">
        <f t="shared" si="5"/>
        <v>-</v>
      </c>
      <c r="W71" s="155"/>
      <c r="X71" s="116" t="str">
        <f>IF($L71="X","-",IF(W71="","-",IF(J71="M",VLOOKUP(W71,T100Pts!U$5:AC$86,(L71+1)),IF(J71="F",VLOOKUP(W71,T100Pts!AE$5:AM$86,(L71+1)),""))))</f>
        <v>-</v>
      </c>
      <c r="Y71" s="163"/>
      <c r="Z71" s="116" t="str">
        <f>IF($L71="X","-",IF(Y71="","-",IF(J71="M",VLOOKUP(Y71,T100Pts!AO$5:AW$126,(L71+1)),IF(J71="F",VLOOKUP(Y71,T100Pts!AY$5:BG$126,(L71+1)),""))))</f>
        <v>-</v>
      </c>
      <c r="AA71" s="165"/>
      <c r="AB71" s="116" t="str">
        <f>IF(OR($L71="X",$L71=6,$L71=7),"-",IF(AA71="","-",IF(J71="M",VLOOKUP(AA71,T100Pts!BI$5:BN$44,(L71+1)),IF(J71="F",VLOOKUP(AA71,T100Pts!BU$5:BZ$44,(L71+1)),""))))</f>
        <v>-</v>
      </c>
      <c r="AC71" s="227"/>
      <c r="AD71" s="116" t="str">
        <f>IF($L71="X","-",IF(AC71="","-",IF(J71="M",VLOOKUP(AC71,T100Pts!A$5:I$1146,(L71+1)),IF(J71="F",VLOOKUP(AC71,T100Pts!K$5:S$1146,(L71+1)),""))))</f>
        <v>-</v>
      </c>
      <c r="AE71" s="117" t="str">
        <f t="shared" si="6"/>
        <v>-</v>
      </c>
      <c r="AF71" s="114" t="str">
        <f t="shared" si="7"/>
        <v>-</v>
      </c>
      <c r="AG71" s="115" t="e">
        <f t="shared" si="8"/>
        <v>#DIV/0!</v>
      </c>
      <c r="AH71" s="114" t="str">
        <f t="shared" si="1"/>
        <v>-</v>
      </c>
      <c r="AI71" s="161"/>
      <c r="AJ71" s="77" t="str">
        <f t="shared" si="12"/>
        <v/>
      </c>
    </row>
    <row r="72" spans="1:37" ht="15.75" customHeight="1" x14ac:dyDescent="0.2">
      <c r="A72" s="138">
        <v>59</v>
      </c>
      <c r="B72" s="168"/>
      <c r="C72" s="137"/>
      <c r="D72" s="169"/>
      <c r="E72" s="170"/>
      <c r="F72" s="173"/>
      <c r="G72" s="168"/>
      <c r="H72" s="168"/>
      <c r="I72" s="139" t="str">
        <f t="shared" si="13"/>
        <v>-</v>
      </c>
      <c r="J72" s="203" t="s">
        <v>139</v>
      </c>
      <c r="K72" s="153" t="str">
        <f t="shared" si="14"/>
        <v>-</v>
      </c>
      <c r="L72" s="153" t="str">
        <f>IF(F72="","-",IF(K72&lt;&gt;"",VLOOKUP(K72,T100Pts!CH$4:CI$59,(2))))</f>
        <v>-</v>
      </c>
      <c r="M72" s="155"/>
      <c r="N72" s="153" t="str">
        <f>IF($L72="X","-",IF(M72="","-",IF(J72="M",VLOOKUP(M72,T100Pts!U$5:AC$86,(L72+1)),IF(J72="F",VLOOKUP(M72,T100Pts!AE$5:AM$86,(L72+1)),""))))</f>
        <v>-</v>
      </c>
      <c r="O72" s="155"/>
      <c r="P72" s="140" t="str">
        <f>IF($L72="X","-",IF(O72="","-",IF(J72="M",VLOOKUP(O72,T100Pts!AO$5:AW$126,(L72+1)),IF(J72="F",VLOOKUP(O72,T100Pts!AY$5:BG$126,(L72+1)),""))))</f>
        <v>-</v>
      </c>
      <c r="Q72" s="157"/>
      <c r="R72" s="140" t="str">
        <f>IF(OR($L72="X",$L72=6,$L72=7),"-",IF(Q72="","-",IF(J72="M",VLOOKUP(Q72,T100Pts!BI$5:BN$44,(L72+1)),IF(J72="F",VLOOKUP(Q72,T100Pts!BU$5:BZ$44,(L72+1)),""))))</f>
        <v>-</v>
      </c>
      <c r="S72" s="155"/>
      <c r="T72" s="140" t="str">
        <f>IF($L72="X","-",IF(S72="","-",IF(J72="M",VLOOKUP(S72,T100Pts!A$5:I$1146,(L72+1)),IF(J72="F",VLOOKUP(S72,T100Pts!K$5:S$1147,(L72+1)),""))))</f>
        <v>-</v>
      </c>
      <c r="U72" s="141" t="str">
        <f t="shared" si="4"/>
        <v>-</v>
      </c>
      <c r="V72" s="79" t="str">
        <f t="shared" si="5"/>
        <v>-</v>
      </c>
      <c r="W72" s="155"/>
      <c r="X72" s="116" t="str">
        <f>IF($L72="X","-",IF(W72="","-",IF(J72="M",VLOOKUP(W72,T100Pts!U$5:AC$86,(L72+1)),IF(J72="F",VLOOKUP(W72,T100Pts!AE$5:AM$86,(L72+1)),""))))</f>
        <v>-</v>
      </c>
      <c r="Y72" s="163"/>
      <c r="Z72" s="116" t="str">
        <f>IF($L72="X","-",IF(Y72="","-",IF(J72="M",VLOOKUP(Y72,T100Pts!AO$5:AW$126,(L72+1)),IF(J72="F",VLOOKUP(Y72,T100Pts!AY$5:BG$126,(L72+1)),""))))</f>
        <v>-</v>
      </c>
      <c r="AA72" s="226"/>
      <c r="AB72" s="116" t="str">
        <f>IF(OR($L72="X",$L72=6,$L72=7),"-",IF(AA72="","-",IF(J72="M",VLOOKUP(AA72,T100Pts!BI$5:BN$44,(L72+1)),IF(J72="F",VLOOKUP(AA72,T100Pts!BU$5:BZ$44,(L72+1)),""))))</f>
        <v>-</v>
      </c>
      <c r="AC72" s="228"/>
      <c r="AD72" s="116" t="str">
        <f>IF($L72="X","-",IF(AC72="","-",IF(J72="M",VLOOKUP(AC72,T100Pts!A$5:I$1146,(L72+1)),IF(J72="F",VLOOKUP(AC72,T100Pts!K$5:S$1146,(L72+1)),""))))</f>
        <v>-</v>
      </c>
      <c r="AE72" s="117" t="str">
        <f t="shared" si="6"/>
        <v>-</v>
      </c>
      <c r="AF72" s="114" t="str">
        <f t="shared" si="7"/>
        <v>-</v>
      </c>
      <c r="AG72" s="115" t="e">
        <f t="shared" si="8"/>
        <v>#DIV/0!</v>
      </c>
      <c r="AH72" s="114" t="str">
        <f t="shared" si="1"/>
        <v>-</v>
      </c>
      <c r="AI72" s="161"/>
      <c r="AJ72" s="77" t="str">
        <f t="shared" si="12"/>
        <v/>
      </c>
      <c r="AK72" s="77"/>
    </row>
    <row r="73" spans="1:37" s="77" customFormat="1" ht="15.75" customHeight="1" x14ac:dyDescent="0.2">
      <c r="A73" s="138">
        <v>60</v>
      </c>
      <c r="B73" s="168"/>
      <c r="C73" s="137"/>
      <c r="D73" s="169"/>
      <c r="E73" s="170"/>
      <c r="F73" s="173"/>
      <c r="G73" s="181"/>
      <c r="H73" s="182"/>
      <c r="I73" s="139" t="str">
        <f t="shared" si="13"/>
        <v>-</v>
      </c>
      <c r="J73" s="203" t="s">
        <v>139</v>
      </c>
      <c r="K73" s="153" t="str">
        <f t="shared" si="14"/>
        <v>-</v>
      </c>
      <c r="L73" s="153" t="str">
        <f>IF(F73="","-",IF(K73&lt;&gt;"",VLOOKUP(K73,T100Pts!CH$4:CI$59,(2))))</f>
        <v>-</v>
      </c>
      <c r="M73" s="155"/>
      <c r="N73" s="153" t="str">
        <f>IF($L73="X","-",IF(M73="","-",IF(J73="M",VLOOKUP(M73,T100Pts!U$5:AC$86,(L73+1)),IF(J73="F",VLOOKUP(M73,T100Pts!AE$5:AM$86,(L73+1)),""))))</f>
        <v>-</v>
      </c>
      <c r="O73" s="155"/>
      <c r="P73" s="140" t="str">
        <f>IF($L73="X","-",IF(O73="","-",IF(J73="M",VLOOKUP(O73,T100Pts!AO$5:AW$126,(L73+1)),IF(J73="F",VLOOKUP(O73,T100Pts!AY$5:BG$126,(L73+1)),""))))</f>
        <v>-</v>
      </c>
      <c r="Q73" s="157"/>
      <c r="R73" s="140" t="str">
        <f>IF(OR($L73="X",$L73=6,$L73=7),"-",IF(Q73="","-",IF(J73="M",VLOOKUP(Q73,T100Pts!BI$5:BN$44,(L73+1)),IF(J73="F",VLOOKUP(Q73,T100Pts!BU$5:BZ$44,(L73+1)),""))))</f>
        <v>-</v>
      </c>
      <c r="S73" s="155"/>
      <c r="T73" s="140" t="str">
        <f>IF($L73="X","-",IF(S73="","-",IF(J73="M",VLOOKUP(S73,T100Pts!A$5:I$1146,(L73+1)),IF(J73="F",VLOOKUP(S73,T100Pts!K$5:S$1147,(L73+1)),""))))</f>
        <v>-</v>
      </c>
      <c r="U73" s="141" t="str">
        <f t="shared" si="4"/>
        <v>-</v>
      </c>
      <c r="V73" s="79" t="str">
        <f t="shared" si="5"/>
        <v>-</v>
      </c>
      <c r="W73" s="155"/>
      <c r="X73" s="116" t="str">
        <f>IF($L73="X","-",IF(W73="","-",IF(J73="M",VLOOKUP(W73,T100Pts!U$5:AC$86,(L73+1)),IF(J73="F",VLOOKUP(W73,T100Pts!AE$5:AM$86,(L73+1)),""))))</f>
        <v>-</v>
      </c>
      <c r="Y73" s="163"/>
      <c r="Z73" s="116" t="str">
        <f>IF($L73="X","-",IF(Y73="","-",IF(J73="M",VLOOKUP(Y73,T100Pts!AO$5:AW$126,(L73+1)),IF(J73="F",VLOOKUP(Y73,T100Pts!AY$5:BG$126,(L73+1)),""))))</f>
        <v>-</v>
      </c>
      <c r="AA73" s="165"/>
      <c r="AB73" s="116" t="str">
        <f>IF(OR($L73="X",$L73=6,$L73=7),"-",IF(AA73="","-",IF(J73="M",VLOOKUP(AA73,T100Pts!BI$5:BN$44,(L73+1)),IF(J73="F",VLOOKUP(AA73,T100Pts!BU$5:BZ$44,(L73+1)),""))))</f>
        <v>-</v>
      </c>
      <c r="AC73" s="163"/>
      <c r="AD73" s="116" t="str">
        <f>IF($L73="X","-",IF(AC73="","-",IF(J73="M",VLOOKUP(AC73,T100Pts!A$5:I$1146,(L73+1)),IF(J73="F",VLOOKUP(AC73,T100Pts!K$5:S$1146,(L73+1)),""))))</f>
        <v>-</v>
      </c>
      <c r="AE73" s="117" t="str">
        <f t="shared" si="6"/>
        <v>-</v>
      </c>
      <c r="AF73" s="114" t="str">
        <f t="shared" si="7"/>
        <v>-</v>
      </c>
      <c r="AG73" s="115" t="e">
        <f t="shared" si="8"/>
        <v>#DIV/0!</v>
      </c>
      <c r="AH73" s="114" t="str">
        <f t="shared" si="1"/>
        <v>-</v>
      </c>
      <c r="AI73" s="161" t="s">
        <v>193</v>
      </c>
      <c r="AJ73" s="77" t="str">
        <f t="shared" si="12"/>
        <v/>
      </c>
    </row>
    <row r="74" spans="1:37" s="77" customFormat="1" ht="15.75" customHeight="1" x14ac:dyDescent="0.2">
      <c r="A74" s="138">
        <v>61</v>
      </c>
      <c r="B74" s="168"/>
      <c r="C74" s="137"/>
      <c r="D74" s="169"/>
      <c r="E74" s="170"/>
      <c r="F74" s="173"/>
      <c r="G74" s="168"/>
      <c r="H74" s="168"/>
      <c r="I74" s="139" t="str">
        <f t="shared" si="13"/>
        <v>-</v>
      </c>
      <c r="J74" s="203" t="s">
        <v>139</v>
      </c>
      <c r="K74" s="153" t="str">
        <f t="shared" si="14"/>
        <v>-</v>
      </c>
      <c r="L74" s="153" t="str">
        <f>IF(F74="","-",IF(K74&lt;&gt;"",VLOOKUP(K74,T100Pts!CH$4:CI$59,(2))))</f>
        <v>-</v>
      </c>
      <c r="M74" s="155"/>
      <c r="N74" s="153" t="str">
        <f>IF($L74="X","-",IF(M74="","-",IF(J74="M",VLOOKUP(M74,T100Pts!U$5:AC$86,(L74+1)),IF(J74="F",VLOOKUP(M74,T100Pts!AE$5:AM$86,(L74+1)),""))))</f>
        <v>-</v>
      </c>
      <c r="O74" s="155"/>
      <c r="P74" s="140" t="str">
        <f>IF($L74="X","-",IF(O74="","-",IF(J74="M",VLOOKUP(O74,T100Pts!AO$5:AW$126,(L74+1)),IF(J74="F",VLOOKUP(O74,T100Pts!AY$5:BG$126,(L74+1)),""))))</f>
        <v>-</v>
      </c>
      <c r="Q74" s="157"/>
      <c r="R74" s="140" t="str">
        <f>IF(OR($L74="X",$L74=6,$L74=7),"-",IF(Q74="","-",IF(J74="M",VLOOKUP(Q74,T100Pts!BI$5:BN$44,(L74+1)),IF(J74="F",VLOOKUP(Q74,T100Pts!BU$5:BZ$44,(L74+1)),""))))</f>
        <v>-</v>
      </c>
      <c r="S74" s="155"/>
      <c r="T74" s="140" t="str">
        <f>IF($L74="X","-",IF(S74="","-",IF(J74="M",VLOOKUP(S74,T100Pts!A$5:I$1146,(L74+1)),IF(J74="F",VLOOKUP(S74,T100Pts!K$5:S$1147,(L74+1)),""))))</f>
        <v>-</v>
      </c>
      <c r="U74" s="141" t="str">
        <f t="shared" si="4"/>
        <v>-</v>
      </c>
      <c r="V74" s="79" t="str">
        <f t="shared" si="5"/>
        <v>-</v>
      </c>
      <c r="W74" s="155"/>
      <c r="X74" s="116" t="str">
        <f>IF($L74="X","-",IF(W74="","-",IF(J74="M",VLOOKUP(W74,T100Pts!U$5:AC$86,(L74+1)),IF(J74="F",VLOOKUP(W74,T100Pts!AE$5:AM$86,(L74+1)),""))))</f>
        <v>-</v>
      </c>
      <c r="Y74" s="163"/>
      <c r="Z74" s="116" t="str">
        <f>IF($L74="X","-",IF(Y74="","-",IF(J74="M",VLOOKUP(Y74,T100Pts!AO$5:AW$126,(L74+1)),IF(J74="F",VLOOKUP(Y74,T100Pts!AY$5:BG$126,(L74+1)),""))))</f>
        <v>-</v>
      </c>
      <c r="AA74" s="165"/>
      <c r="AB74" s="116" t="str">
        <f>IF(OR($L74="X",$L74=6,$L74=7),"-",IF(AA74="","-",IF(J74="M",VLOOKUP(AA74,T100Pts!BI$5:BN$44,(L74+1)),IF(J74="F",VLOOKUP(AA74,T100Pts!BU$5:BZ$44,(L74+1)),""))))</f>
        <v>-</v>
      </c>
      <c r="AC74" s="227"/>
      <c r="AD74" s="116" t="str">
        <f>IF($L74="X","-",IF(AC74="","-",IF(J74="M",VLOOKUP(AC74,T100Pts!A$5:I$1146,(L74+1)),IF(J74="F",VLOOKUP(AC74,T100Pts!K$5:S$1146,(L74+1)),""))))</f>
        <v>-</v>
      </c>
      <c r="AE74" s="117" t="str">
        <f t="shared" si="6"/>
        <v>-</v>
      </c>
      <c r="AF74" s="114" t="str">
        <f t="shared" si="7"/>
        <v>-</v>
      </c>
      <c r="AG74" s="115" t="e">
        <f t="shared" si="8"/>
        <v>#DIV/0!</v>
      </c>
      <c r="AH74" s="114" t="str">
        <f t="shared" si="1"/>
        <v>-</v>
      </c>
      <c r="AI74" s="161"/>
      <c r="AJ74" s="77" t="str">
        <f t="shared" si="12"/>
        <v/>
      </c>
    </row>
    <row r="75" spans="1:37" s="77" customFormat="1" ht="15.75" customHeight="1" x14ac:dyDescent="0.2">
      <c r="A75" s="138">
        <v>62</v>
      </c>
      <c r="B75" s="168"/>
      <c r="C75" s="137"/>
      <c r="D75" s="169"/>
      <c r="E75" s="170"/>
      <c r="F75" s="173"/>
      <c r="G75" s="172"/>
      <c r="H75" s="172"/>
      <c r="I75" s="139" t="str">
        <f t="shared" si="13"/>
        <v>-</v>
      </c>
      <c r="J75" s="203" t="s">
        <v>139</v>
      </c>
      <c r="K75" s="153" t="str">
        <f t="shared" si="14"/>
        <v>-</v>
      </c>
      <c r="L75" s="153" t="str">
        <f>IF(F75="","-",IF(K75&lt;&gt;"",VLOOKUP(K75,T100Pts!CH$4:CI$59,(2))))</f>
        <v>-</v>
      </c>
      <c r="M75" s="155"/>
      <c r="N75" s="153" t="str">
        <f>IF($L75="X","-",IF(M75="","-",IF(J75="M",VLOOKUP(M75,T100Pts!U$5:AC$86,(L75+1)),IF(J75="F",VLOOKUP(M75,T100Pts!AE$5:AM$86,(L75+1)),""))))</f>
        <v>-</v>
      </c>
      <c r="O75" s="155"/>
      <c r="P75" s="140" t="str">
        <f>IF($L75="X","-",IF(O75="","-",IF(J75="M",VLOOKUP(O75,T100Pts!AO$5:AW$126,(L75+1)),IF(J75="F",VLOOKUP(O75,T100Pts!AY$5:BG$126,(L75+1)),""))))</f>
        <v>-</v>
      </c>
      <c r="Q75" s="157"/>
      <c r="R75" s="140" t="str">
        <f>IF(OR($L75="X",$L75=6,$L75=7),"-",IF(Q75="","-",IF(J75="M",VLOOKUP(Q75,T100Pts!BI$5:BN$44,(L75+1)),IF(J75="F",VLOOKUP(Q75,T100Pts!BU$5:BZ$44,(L75+1)),""))))</f>
        <v>-</v>
      </c>
      <c r="S75" s="155"/>
      <c r="T75" s="140" t="str">
        <f>IF($L75="X","-",IF(S75="","-",IF(J75="M",VLOOKUP(S75,T100Pts!A$5:I$1146,(L75+1)),IF(J75="F",VLOOKUP(S75,T100Pts!K$5:S$1147,(L75+1)),""))))</f>
        <v>-</v>
      </c>
      <c r="U75" s="141" t="str">
        <f t="shared" si="4"/>
        <v>-</v>
      </c>
      <c r="V75" s="79" t="str">
        <f t="shared" si="5"/>
        <v>-</v>
      </c>
      <c r="W75" s="155"/>
      <c r="X75" s="116" t="str">
        <f>IF($L75="X","-",IF(W75="","-",IF(J75="M",VLOOKUP(W75,T100Pts!U$5:AC$86,(L75+1)),IF(J75="F",VLOOKUP(W75,T100Pts!AE$5:AM$86,(L75+1)),""))))</f>
        <v>-</v>
      </c>
      <c r="Y75" s="163"/>
      <c r="Z75" s="116" t="str">
        <f>IF($L75="X","-",IF(Y75="","-",IF(J75="M",VLOOKUP(Y75,T100Pts!AO$5:AW$126,(L75+1)),IF(J75="F",VLOOKUP(Y75,T100Pts!AY$5:BG$126,(L75+1)),""))))</f>
        <v>-</v>
      </c>
      <c r="AA75" s="165"/>
      <c r="AB75" s="116" t="str">
        <f>IF(OR($L75="X",$L75=6,$L75=7),"-",IF(AA75="","-",IF(J75="M",VLOOKUP(AA75,T100Pts!BI$5:BN$44,(L75+1)),IF(J75="F",VLOOKUP(AA75,T100Pts!BU$5:BZ$44,(L75+1)),""))))</f>
        <v>-</v>
      </c>
      <c r="AC75" s="228"/>
      <c r="AD75" s="116" t="str">
        <f>IF($L75="X","-",IF(AC75="","-",IF(J75="M",VLOOKUP(AC75,T100Pts!A$5:I$1146,(L75+1)),IF(J75="F",VLOOKUP(AC75,T100Pts!K$5:S$1146,(L75+1)),""))))</f>
        <v>-</v>
      </c>
      <c r="AE75" s="117" t="str">
        <f t="shared" si="6"/>
        <v>-</v>
      </c>
      <c r="AF75" s="114" t="str">
        <f t="shared" si="7"/>
        <v>-</v>
      </c>
      <c r="AG75" s="115" t="e">
        <f t="shared" si="8"/>
        <v>#DIV/0!</v>
      </c>
      <c r="AH75" s="114" t="str">
        <f t="shared" si="1"/>
        <v>-</v>
      </c>
      <c r="AI75" s="161"/>
      <c r="AJ75" s="77" t="str">
        <f t="shared" si="12"/>
        <v/>
      </c>
    </row>
    <row r="76" spans="1:37" s="77" customFormat="1" ht="15.75" customHeight="1" x14ac:dyDescent="0.2">
      <c r="A76" s="138">
        <v>63</v>
      </c>
      <c r="B76" s="168"/>
      <c r="C76" s="137"/>
      <c r="D76" s="169"/>
      <c r="E76" s="170"/>
      <c r="F76" s="173"/>
      <c r="G76" s="172"/>
      <c r="H76" s="172"/>
      <c r="I76" s="139" t="str">
        <f t="shared" si="13"/>
        <v>-</v>
      </c>
      <c r="J76" s="203" t="s">
        <v>139</v>
      </c>
      <c r="K76" s="153" t="str">
        <f t="shared" si="14"/>
        <v>-</v>
      </c>
      <c r="L76" s="153" t="str">
        <f>IF(F76="","-",IF(K76&lt;&gt;"",VLOOKUP(K76,T100Pts!CH$4:CI$59,(2))))</f>
        <v>-</v>
      </c>
      <c r="M76" s="155"/>
      <c r="N76" s="153" t="str">
        <f>IF($L76="X","-",IF(M76="","-",IF(J76="M",VLOOKUP(M76,T100Pts!U$5:AC$86,(L76+1)),IF(J76="F",VLOOKUP(M76,T100Pts!AE$5:AM$86,(L76+1)),""))))</f>
        <v>-</v>
      </c>
      <c r="O76" s="155"/>
      <c r="P76" s="140" t="str">
        <f>IF($L76="X","-",IF(O76="","-",IF(J76="M",VLOOKUP(O76,T100Pts!AO$5:AW$126,(L76+1)),IF(J76="F",VLOOKUP(O76,T100Pts!AY$5:BG$126,(L76+1)),""))))</f>
        <v>-</v>
      </c>
      <c r="Q76" s="157"/>
      <c r="R76" s="140" t="str">
        <f>IF(OR($L76="X",$L76=6,$L76=7),"-",IF(Q76="","-",IF(J76="M",VLOOKUP(Q76,T100Pts!BI$5:BN$44,(L76+1)),IF(J76="F",VLOOKUP(Q76,T100Pts!BU$5:BZ$44,(L76+1)),""))))</f>
        <v>-</v>
      </c>
      <c r="S76" s="155"/>
      <c r="T76" s="140" t="str">
        <f>IF($L76="X","-",IF(S76="","-",IF(J76="M",VLOOKUP(S76,T100Pts!A$5:I$1146,(L76+1)),IF(J76="F",VLOOKUP(S76,T100Pts!K$5:S$1147,(L76+1)),""))))</f>
        <v>-</v>
      </c>
      <c r="U76" s="141" t="str">
        <f t="shared" si="4"/>
        <v>-</v>
      </c>
      <c r="V76" s="79" t="str">
        <f t="shared" si="5"/>
        <v>-</v>
      </c>
      <c r="W76" s="155"/>
      <c r="X76" s="116" t="str">
        <f>IF($L76="X","-",IF(W76="","-",IF(J76="M",VLOOKUP(W76,T100Pts!U$5:AC$86,(L76+1)),IF(J76="F",VLOOKUP(W76,T100Pts!AE$5:AM$86,(L76+1)),""))))</f>
        <v>-</v>
      </c>
      <c r="Y76" s="163"/>
      <c r="Z76" s="116" t="str">
        <f>IF($L76="X","-",IF(Y76="","-",IF(J76="M",VLOOKUP(Y76,T100Pts!AO$5:AW$126,(L76+1)),IF(J76="F",VLOOKUP(Y76,T100Pts!AY$5:BG$126,(L76+1)),""))))</f>
        <v>-</v>
      </c>
      <c r="AA76" s="165"/>
      <c r="AB76" s="116" t="str">
        <f>IF(OR($L76="X",$L76=6,$L76=7),"-",IF(AA76="","-",IF(J76="M",VLOOKUP(AA76,T100Pts!BI$5:BN$44,(L76+1)),IF(J76="F",VLOOKUP(AA76,T100Pts!BU$5:BZ$44,(L76+1)),""))))</f>
        <v>-</v>
      </c>
      <c r="AC76" s="228"/>
      <c r="AD76" s="116" t="str">
        <f>IF($L76="X","-",IF(AC76="","-",IF(J76="M",VLOOKUP(AC76,T100Pts!A$5:I$1146,(L76+1)),IF(J76="F",VLOOKUP(AC76,T100Pts!K$5:S$1146,(L76+1)),""))))</f>
        <v>-</v>
      </c>
      <c r="AE76" s="117" t="str">
        <f t="shared" si="6"/>
        <v>-</v>
      </c>
      <c r="AF76" s="114" t="str">
        <f t="shared" si="7"/>
        <v>-</v>
      </c>
      <c r="AG76" s="115" t="e">
        <f t="shared" si="8"/>
        <v>#DIV/0!</v>
      </c>
      <c r="AH76" s="114" t="str">
        <f t="shared" si="1"/>
        <v>-</v>
      </c>
      <c r="AI76" s="161"/>
      <c r="AJ76" s="77" t="str">
        <f t="shared" si="12"/>
        <v/>
      </c>
    </row>
    <row r="77" spans="1:37" s="77" customFormat="1" ht="15.75" customHeight="1" x14ac:dyDescent="0.2">
      <c r="A77" s="138">
        <v>64</v>
      </c>
      <c r="B77" s="168"/>
      <c r="C77" s="137"/>
      <c r="D77" s="169"/>
      <c r="E77" s="170"/>
      <c r="F77" s="173"/>
      <c r="G77" s="172"/>
      <c r="H77" s="172"/>
      <c r="I77" s="139" t="str">
        <f t="shared" si="13"/>
        <v>-</v>
      </c>
      <c r="J77" s="203" t="s">
        <v>139</v>
      </c>
      <c r="K77" s="153" t="str">
        <f t="shared" si="14"/>
        <v>-</v>
      </c>
      <c r="L77" s="153" t="str">
        <f>IF(F77="","-",IF(K77&lt;&gt;"",VLOOKUP(K77,T100Pts!CH$4:CI$59,(2))))</f>
        <v>-</v>
      </c>
      <c r="M77" s="155"/>
      <c r="N77" s="153" t="str">
        <f>IF($L77="X","-",IF(M77="","-",IF(J77="M",VLOOKUP(M77,T100Pts!U$5:AC$86,(L77+1)),IF(J77="F",VLOOKUP(M77,T100Pts!AE$5:AM$86,(L77+1)),""))))</f>
        <v>-</v>
      </c>
      <c r="O77" s="155"/>
      <c r="P77" s="140" t="str">
        <f>IF($L77="X","-",IF(O77="","-",IF(J77="M",VLOOKUP(O77,T100Pts!AO$5:AW$126,(L77+1)),IF(J77="F",VLOOKUP(O77,T100Pts!AY$5:BG$126,(L77+1)),""))))</f>
        <v>-</v>
      </c>
      <c r="Q77" s="157"/>
      <c r="R77" s="140" t="str">
        <f>IF(OR($L77="X",$L77=6,$L77=7),"-",IF(Q77="","-",IF(J77="M",VLOOKUP(Q77,T100Pts!BI$5:BN$44,(L77+1)),IF(J77="F",VLOOKUP(Q77,T100Pts!BU$5:BZ$44,(L77+1)),""))))</f>
        <v>-</v>
      </c>
      <c r="S77" s="155"/>
      <c r="T77" s="140" t="str">
        <f>IF($L77="X","-",IF(S77="","-",IF(J77="M",VLOOKUP(S77,T100Pts!A$5:I$1146,(L77+1)),IF(J77="F",VLOOKUP(S77,T100Pts!K$5:S$1147,(L77+1)),""))))</f>
        <v>-</v>
      </c>
      <c r="U77" s="141" t="str">
        <f t="shared" si="4"/>
        <v>-</v>
      </c>
      <c r="V77" s="79" t="str">
        <f t="shared" si="5"/>
        <v>-</v>
      </c>
      <c r="W77" s="155"/>
      <c r="X77" s="116" t="str">
        <f>IF($L77="X","-",IF(W77="","-",IF(J77="M",VLOOKUP(W77,T100Pts!U$5:AC$86,(L77+1)),IF(J77="F",VLOOKUP(W77,T100Pts!AE$5:AM$86,(L77+1)),""))))</f>
        <v>-</v>
      </c>
      <c r="Y77" s="163"/>
      <c r="Z77" s="116" t="str">
        <f>IF($L77="X","-",IF(Y77="","-",IF(J77="M",VLOOKUP(Y77,T100Pts!AO$5:AW$126,(L77+1)),IF(J77="F",VLOOKUP(Y77,T100Pts!AY$5:BG$126,(L77+1)),""))))</f>
        <v>-</v>
      </c>
      <c r="AA77" s="165"/>
      <c r="AB77" s="116" t="str">
        <f>IF(OR($L77="X",$L77=6,$L77=7),"-",IF(AA77="","-",IF(J77="M",VLOOKUP(AA77,T100Pts!BI$5:BN$44,(L77+1)),IF(J77="F",VLOOKUP(AA77,T100Pts!BU$5:BZ$44,(L77+1)),""))))</f>
        <v>-</v>
      </c>
      <c r="AC77" s="227"/>
      <c r="AD77" s="116" t="str">
        <f>IF($L77="X","-",IF(AC77="","-",IF(J77="M",VLOOKUP(AC77,T100Pts!A$5:I$1146,(L77+1)),IF(J77="F",VLOOKUP(AC77,T100Pts!K$5:S$1146,(L77+1)),""))))</f>
        <v>-</v>
      </c>
      <c r="AE77" s="117" t="str">
        <f t="shared" si="6"/>
        <v>-</v>
      </c>
      <c r="AF77" s="114" t="str">
        <f t="shared" si="7"/>
        <v>-</v>
      </c>
      <c r="AG77" s="115" t="e">
        <f t="shared" si="8"/>
        <v>#DIV/0!</v>
      </c>
      <c r="AH77" s="114" t="str">
        <f t="shared" ref="AH77:AH140" si="15">IF(NOT(ISNUMBER(AG77)), "-", IF(AG77 &lt; 70, "NA", "A"))</f>
        <v>-</v>
      </c>
      <c r="AI77" s="161"/>
      <c r="AJ77" s="77" t="str">
        <f t="shared" ref="AJ77:AJ108" si="16">IF(OR(B77="TG",B77="GD",B77="GB",B77="CY",B77="CR",B77="TC",B77="MY",B77="CT",B77="TP",B77="TP EC",B77="TT",B77="TT EC",B77="ST",B77="ST EC"),"Oficial",IF(OR(B77="VP",B77="VS",B77="VS EC"),"Vol",IF(B77="","","Subof")))</f>
        <v/>
      </c>
    </row>
    <row r="78" spans="1:37" s="77" customFormat="1" ht="15.75" customHeight="1" x14ac:dyDescent="0.2">
      <c r="A78" s="138">
        <v>65</v>
      </c>
      <c r="B78" s="168"/>
      <c r="C78" s="137"/>
      <c r="D78" s="169"/>
      <c r="E78" s="170"/>
      <c r="F78" s="173"/>
      <c r="G78" s="172"/>
      <c r="H78" s="172"/>
      <c r="I78" s="139" t="str">
        <f t="shared" si="13"/>
        <v>-</v>
      </c>
      <c r="J78" s="203" t="s">
        <v>139</v>
      </c>
      <c r="K78" s="153" t="str">
        <f t="shared" si="14"/>
        <v>-</v>
      </c>
      <c r="L78" s="153" t="str">
        <f>IF(F78="","-",IF(K78&lt;&gt;"",VLOOKUP(K78,T100Pts!CH$4:CI$59,(2))))</f>
        <v>-</v>
      </c>
      <c r="M78" s="155"/>
      <c r="N78" s="153" t="str">
        <f>IF($L78="X","-",IF(M78="","-",IF(J78="M",VLOOKUP(M78,T100Pts!U$5:AC$86,(L78+1)),IF(J78="F",VLOOKUP(M78,T100Pts!AE$5:AM$86,(L78+1)),""))))</f>
        <v>-</v>
      </c>
      <c r="O78" s="155"/>
      <c r="P78" s="140" t="str">
        <f>IF($L78="X","-",IF(O78="","-",IF(J78="M",VLOOKUP(O78,T100Pts!AO$5:AW$126,(L78+1)),IF(J78="F",VLOOKUP(O78,T100Pts!AY$5:BG$126,(L78+1)),""))))</f>
        <v>-</v>
      </c>
      <c r="Q78" s="157"/>
      <c r="R78" s="140" t="str">
        <f>IF(OR($L78="X",$L78=6,$L78=7),"-",IF(Q78="","-",IF(J78="M",VLOOKUP(Q78,T100Pts!BI$5:BN$44,(L78+1)),IF(J78="F",VLOOKUP(Q78,T100Pts!BU$5:BZ$44,(L78+1)),""))))</f>
        <v>-</v>
      </c>
      <c r="S78" s="155"/>
      <c r="T78" s="140" t="str">
        <f>IF($L78="X","-",IF(S78="","-",IF(J78="M",VLOOKUP(S78,T100Pts!A$5:I$1146,(L78+1)),IF(J78="F",VLOOKUP(S78,T100Pts!K$5:S$1147,(L78+1)),""))))</f>
        <v>-</v>
      </c>
      <c r="U78" s="141" t="str">
        <f t="shared" ref="U78:U141" si="17">IF(OR(N78="X",P78="X",R78="X",T78="X"),"NR",IF(AND(N78="-",P78="-",T78="-"),"-",IF(R78="-",AVERAGE(IF(ISNUMBER(N78),N78),IF(ISNUMBER(P78),P78),IF(ISNUMBER(T78),T78)),AVERAGE(IF(ISNUMBER(N78),N78),IF(ISNUMBER(P78),P78),IF(ISNUMBER(R78),R78),IF(ISNUMBER(T78),T78)))))</f>
        <v>-</v>
      </c>
      <c r="V78" s="79" t="str">
        <f t="shared" ref="V78:V141" si="18">IF(NOT(ISNUMBER(U78)), "-", IF(U78 &lt; 70, "NA", "A"))</f>
        <v>-</v>
      </c>
      <c r="W78" s="155"/>
      <c r="X78" s="116" t="str">
        <f>IF($L78="X","-",IF(W78="","-",IF(J78="M",VLOOKUP(W78,T100Pts!U$5:AC$86,(L78+1)),IF(J78="F",VLOOKUP(W78,T100Pts!AE$5:AM$86,(L78+1)),""))))</f>
        <v>-</v>
      </c>
      <c r="Y78" s="163"/>
      <c r="Z78" s="116" t="str">
        <f>IF($L78="X","-",IF(Y78="","-",IF(J78="M",VLOOKUP(Y78,T100Pts!AO$5:AW$126,(L78+1)),IF(J78="F",VLOOKUP(Y78,T100Pts!AY$5:BG$126,(L78+1)),""))))</f>
        <v>-</v>
      </c>
      <c r="AA78" s="165"/>
      <c r="AB78" s="116" t="str">
        <f>IF(OR($L78="X",$L78=6,$L78=7),"-",IF(AA78="","-",IF(J78="M",VLOOKUP(AA78,T100Pts!BI$5:BN$44,(L78+1)),IF(J78="F",VLOOKUP(AA78,T100Pts!BU$5:BZ$44,(L78+1)),""))))</f>
        <v>-</v>
      </c>
      <c r="AC78" s="227"/>
      <c r="AD78" s="116" t="str">
        <f>IF($L78="X","-",IF(AC78="","-",IF(J78="M",VLOOKUP(AC78,T100Pts!A$5:I$1146,(L78+1)),IF(J78="F",VLOOKUP(AC78,T100Pts!K$5:S$1146,(L78+1)),""))))</f>
        <v>-</v>
      </c>
      <c r="AE78" s="117" t="str">
        <f t="shared" ref="AE78:AE141" si="19">IF(OR(X78="X",Z78="X",AB78="X",AD78="X"),"NR",IF(AND(X78="-",Z78="-",AD78="-"),"-",IF(AB78="-",AVERAGE(IF(ISNUMBER(X78),X78),IF(ISNUMBER(Z78),Z78),IF(ISNUMBER(AD78),AD78)),AVERAGE(IF(ISNUMBER(X78),X78),IF(ISNUMBER(Z78),Z78),IF(ISNUMBER(AB78),AB78),IF(ISNUMBER(AD78),AD78)))))</f>
        <v>-</v>
      </c>
      <c r="AF78" s="114" t="str">
        <f t="shared" ref="AF78:AF141" si="20">IF(NOT(ISNUMBER(AE78)), "-", IF(AE78 &lt; 70, "NA", "A"))</f>
        <v>-</v>
      </c>
      <c r="AG78" s="115" t="e">
        <f t="shared" si="8"/>
        <v>#DIV/0!</v>
      </c>
      <c r="AH78" s="114" t="str">
        <f t="shared" si="15"/>
        <v>-</v>
      </c>
      <c r="AI78" s="161"/>
      <c r="AJ78" s="77" t="str">
        <f t="shared" si="16"/>
        <v/>
      </c>
    </row>
    <row r="79" spans="1:37" s="77" customFormat="1" ht="15.75" customHeight="1" x14ac:dyDescent="0.2">
      <c r="A79" s="138">
        <v>66</v>
      </c>
      <c r="B79" s="168"/>
      <c r="C79" s="137"/>
      <c r="D79" s="169"/>
      <c r="E79" s="170"/>
      <c r="F79" s="173"/>
      <c r="G79" s="168"/>
      <c r="H79" s="168"/>
      <c r="I79" s="139" t="str">
        <f t="shared" si="13"/>
        <v>-</v>
      </c>
      <c r="J79" s="203" t="s">
        <v>139</v>
      </c>
      <c r="K79" s="153" t="str">
        <f t="shared" si="14"/>
        <v>-</v>
      </c>
      <c r="L79" s="153" t="str">
        <f>IF(F79="","-",IF(K79&lt;&gt;"",VLOOKUP(K79,T100Pts!CH$4:CI$59,(2))))</f>
        <v>-</v>
      </c>
      <c r="M79" s="155"/>
      <c r="N79" s="153" t="str">
        <f>IF($L79="X","-",IF(M79="","-",IF(J79="M",VLOOKUP(M79,T100Pts!U$5:AC$86,(L79+1)),IF(J79="F",VLOOKUP(M79,T100Pts!AE$5:AM$86,(L79+1)),""))))</f>
        <v>-</v>
      </c>
      <c r="O79" s="155"/>
      <c r="P79" s="140" t="str">
        <f>IF($L79="X","-",IF(O79="","-",IF(J79="M",VLOOKUP(O79,T100Pts!AO$5:AW$126,(L79+1)),IF(J79="F",VLOOKUP(O79,T100Pts!AY$5:BG$126,(L79+1)),""))))</f>
        <v>-</v>
      </c>
      <c r="Q79" s="157"/>
      <c r="R79" s="140" t="str">
        <f>IF(OR($L79="X",$L79=6,$L79=7),"-",IF(Q79="","-",IF(J79="M",VLOOKUP(Q79,T100Pts!BI$5:BN$44,(L79+1)),IF(J79="F",VLOOKUP(Q79,T100Pts!BU$5:BZ$44,(L79+1)),""))))</f>
        <v>-</v>
      </c>
      <c r="S79" s="155"/>
      <c r="T79" s="140" t="str">
        <f>IF($L79="X","-",IF(S79="","-",IF(J79="M",VLOOKUP(S79,T100Pts!A$5:I$1146,(L79+1)),IF(J79="F",VLOOKUP(S79,T100Pts!K$5:S$1147,(L79+1)),""))))</f>
        <v>-</v>
      </c>
      <c r="U79" s="141" t="str">
        <f t="shared" si="17"/>
        <v>-</v>
      </c>
      <c r="V79" s="79" t="str">
        <f t="shared" si="18"/>
        <v>-</v>
      </c>
      <c r="W79" s="155"/>
      <c r="X79" s="116" t="str">
        <f>IF($L79="X","-",IF(W79="","-",IF(J79="M",VLOOKUP(W79,T100Pts!U$5:AC$86,(L79+1)),IF(J79="F",VLOOKUP(W79,T100Pts!AE$5:AM$86,(L79+1)),""))))</f>
        <v>-</v>
      </c>
      <c r="Y79" s="163"/>
      <c r="Z79" s="116" t="str">
        <f>IF($L79="X","-",IF(Y79="","-",IF(J79="M",VLOOKUP(Y79,T100Pts!AO$5:AW$126,(L79+1)),IF(J79="F",VLOOKUP(Y79,T100Pts!AY$5:BG$126,(L79+1)),""))))</f>
        <v>-</v>
      </c>
      <c r="AA79" s="165"/>
      <c r="AB79" s="116" t="str">
        <f>IF(OR($L79="X",$L79=6,$L79=7),"-",IF(AA79="","-",IF(J79="M",VLOOKUP(AA79,T100Pts!BI$5:BN$44,(L79+1)),IF(J79="F",VLOOKUP(AA79,T100Pts!BU$5:BZ$44,(L79+1)),""))))</f>
        <v>-</v>
      </c>
      <c r="AC79" s="227"/>
      <c r="AD79" s="116" t="str">
        <f>IF($L79="X","-",IF(AC79="","-",IF(J79="M",VLOOKUP(AC79,T100Pts!A$5:I$1146,(L79+1)),IF(J79="F",VLOOKUP(AC79,T100Pts!K$5:S$1146,(L79+1)),""))))</f>
        <v>-</v>
      </c>
      <c r="AE79" s="117" t="str">
        <f t="shared" si="19"/>
        <v>-</v>
      </c>
      <c r="AF79" s="114" t="str">
        <f t="shared" si="20"/>
        <v>-</v>
      </c>
      <c r="AG79" s="115" t="e">
        <f t="shared" ref="AG79:AG142" si="21">AVERAGE(U79,AE79)</f>
        <v>#DIV/0!</v>
      </c>
      <c r="AH79" s="114" t="str">
        <f t="shared" si="15"/>
        <v>-</v>
      </c>
      <c r="AI79" s="161"/>
      <c r="AJ79" s="77" t="str">
        <f t="shared" si="16"/>
        <v/>
      </c>
    </row>
    <row r="80" spans="1:37" s="77" customFormat="1" ht="15.75" customHeight="1" x14ac:dyDescent="0.2">
      <c r="A80" s="138">
        <v>67</v>
      </c>
      <c r="B80" s="168"/>
      <c r="C80" s="137"/>
      <c r="D80" s="169"/>
      <c r="E80" s="180"/>
      <c r="F80" s="173"/>
      <c r="G80" s="181"/>
      <c r="H80" s="182"/>
      <c r="I80" s="139" t="str">
        <f t="shared" si="13"/>
        <v>-</v>
      </c>
      <c r="J80" s="203" t="s">
        <v>139</v>
      </c>
      <c r="K80" s="153" t="str">
        <f t="shared" si="14"/>
        <v>-</v>
      </c>
      <c r="L80" s="153" t="str">
        <f>IF(F80="","-",IF(K80&lt;&gt;"",VLOOKUP(K80,T100Pts!CH$4:CI$59,(2))))</f>
        <v>-</v>
      </c>
      <c r="M80" s="155"/>
      <c r="N80" s="153" t="str">
        <f>IF($L80="X","-",IF(M80="","-",IF(J80="M",VLOOKUP(M80,T100Pts!U$5:AC$86,(L80+1)),IF(J80="F",VLOOKUP(M80,T100Pts!AE$5:AM$86,(L80+1)),""))))</f>
        <v>-</v>
      </c>
      <c r="O80" s="155"/>
      <c r="P80" s="140" t="str">
        <f>IF($L80="X","-",IF(O80="","-",IF(J80="M",VLOOKUP(O80,T100Pts!AO$5:AW$126,(L80+1)),IF(J80="F",VLOOKUP(O80,T100Pts!AY$5:BG$126,(L80+1)),""))))</f>
        <v>-</v>
      </c>
      <c r="Q80" s="157"/>
      <c r="R80" s="140" t="str">
        <f>IF(OR($L80="X",$L80=6,$L80=7),"-",IF(Q80="","-",IF(J80="M",VLOOKUP(Q80,T100Pts!BI$5:BN$44,(L80+1)),IF(J80="F",VLOOKUP(Q80,T100Pts!BU$5:BZ$44,(L80+1)),""))))</f>
        <v>-</v>
      </c>
      <c r="S80" s="155"/>
      <c r="T80" s="140" t="str">
        <f>IF($L80="X","-",IF(S80="","-",IF(J80="M",VLOOKUP(S80,T100Pts!A$5:I$1146,(L80+1)),IF(J80="F",VLOOKUP(S80,T100Pts!K$5:S$1147,(L80+1)),""))))</f>
        <v>-</v>
      </c>
      <c r="U80" s="141" t="str">
        <f t="shared" si="17"/>
        <v>-</v>
      </c>
      <c r="V80" s="79" t="str">
        <f t="shared" si="18"/>
        <v>-</v>
      </c>
      <c r="W80" s="155"/>
      <c r="X80" s="116" t="str">
        <f>IF($L80="X","-",IF(W80="","-",IF(J80="M",VLOOKUP(W80,T100Pts!U$5:AC$86,(L80+1)),IF(J80="F",VLOOKUP(W80,T100Pts!AE$5:AM$86,(L80+1)),""))))</f>
        <v>-</v>
      </c>
      <c r="Y80" s="163"/>
      <c r="Z80" s="116" t="str">
        <f>IF($L80="X","-",IF(Y80="","-",IF(J80="M",VLOOKUP(Y80,T100Pts!AO$5:AW$126,(L80+1)),IF(J80="F",VLOOKUP(Y80,T100Pts!AY$5:BG$126,(L80+1)),""))))</f>
        <v>-</v>
      </c>
      <c r="AA80" s="165"/>
      <c r="AB80" s="116" t="str">
        <f>IF(OR($L80="X",$L80=6,$L80=7),"-",IF(AA80="","-",IF(J80="M",VLOOKUP(AA80,T100Pts!BI$5:BN$44,(L80+1)),IF(J80="F",VLOOKUP(AA80,T100Pts!BU$5:BZ$44,(L80+1)),""))))</f>
        <v>-</v>
      </c>
      <c r="AC80" s="163"/>
      <c r="AD80" s="116" t="str">
        <f>IF($L80="X","-",IF(AC80="","-",IF(J80="M",VLOOKUP(AC80,T100Pts!A$5:I$1146,(L80+1)),IF(J80="F",VLOOKUP(AC80,T100Pts!K$5:S$1146,(L80+1)),""))))</f>
        <v>-</v>
      </c>
      <c r="AE80" s="117" t="str">
        <f t="shared" si="19"/>
        <v>-</v>
      </c>
      <c r="AF80" s="114" t="str">
        <f t="shared" si="20"/>
        <v>-</v>
      </c>
      <c r="AG80" s="115" t="e">
        <f t="shared" si="21"/>
        <v>#DIV/0!</v>
      </c>
      <c r="AH80" s="114" t="str">
        <f t="shared" si="15"/>
        <v>-</v>
      </c>
      <c r="AI80" s="161" t="s">
        <v>212</v>
      </c>
      <c r="AJ80" s="77" t="str">
        <f t="shared" si="16"/>
        <v/>
      </c>
    </row>
    <row r="81" spans="1:37" s="77" customFormat="1" ht="15.75" customHeight="1" x14ac:dyDescent="0.2">
      <c r="A81" s="138">
        <v>68</v>
      </c>
      <c r="B81" s="168"/>
      <c r="C81" s="137"/>
      <c r="D81" s="169"/>
      <c r="E81" s="170"/>
      <c r="F81" s="173"/>
      <c r="G81" s="181"/>
      <c r="H81" s="182"/>
      <c r="I81" s="139" t="str">
        <f t="shared" si="13"/>
        <v>-</v>
      </c>
      <c r="J81" s="203" t="s">
        <v>139</v>
      </c>
      <c r="K81" s="153" t="str">
        <f t="shared" si="14"/>
        <v>-</v>
      </c>
      <c r="L81" s="153" t="str">
        <f>IF(F81="","-",IF(K81&lt;&gt;"",VLOOKUP(K81,T100Pts!CH$4:CI$59,(2))))</f>
        <v>-</v>
      </c>
      <c r="M81" s="155"/>
      <c r="N81" s="153" t="str">
        <f>IF($L81="X","-",IF(M81="","-",IF(J81="M",VLOOKUP(M81,T100Pts!U$5:AC$86,(L81+1)),IF(J81="F",VLOOKUP(M81,T100Pts!AE$5:AM$86,(L81+1)),""))))</f>
        <v>-</v>
      </c>
      <c r="O81" s="155"/>
      <c r="P81" s="140" t="str">
        <f>IF($L81="X","-",IF(O81="","-",IF(J81="M",VLOOKUP(O81,T100Pts!AO$5:AW$126,(L81+1)),IF(J81="F",VLOOKUP(O81,T100Pts!AY$5:BG$126,(L81+1)),""))))</f>
        <v>-</v>
      </c>
      <c r="Q81" s="157"/>
      <c r="R81" s="140" t="str">
        <f>IF(OR($L81="X",$L81=6,$L81=7),"-",IF(Q81="","-",IF(J81="M",VLOOKUP(Q81,T100Pts!BI$5:BN$44,(L81+1)),IF(J81="F",VLOOKUP(Q81,T100Pts!BU$5:BZ$44,(L81+1)),""))))</f>
        <v>-</v>
      </c>
      <c r="S81" s="155"/>
      <c r="T81" s="140" t="str">
        <f>IF($L81="X","-",IF(S81="","-",IF(J81="M",VLOOKUP(S81,T100Pts!A$5:I$1146,(L81+1)),IF(J81="F",VLOOKUP(S81,T100Pts!K$5:S$1147,(L81+1)),""))))</f>
        <v>-</v>
      </c>
      <c r="U81" s="141" t="str">
        <f t="shared" si="17"/>
        <v>-</v>
      </c>
      <c r="V81" s="79" t="str">
        <f t="shared" si="18"/>
        <v>-</v>
      </c>
      <c r="W81" s="155"/>
      <c r="X81" s="116" t="str">
        <f>IF($L81="X","-",IF(W81="","-",IF(J81="M",VLOOKUP(W81,T100Pts!U$5:AC$86,(L81+1)),IF(J81="F",VLOOKUP(W81,T100Pts!AE$5:AM$86,(L81+1)),""))))</f>
        <v>-</v>
      </c>
      <c r="Y81" s="163"/>
      <c r="Z81" s="116" t="str">
        <f>IF($L81="X","-",IF(Y81="","-",IF(J81="M",VLOOKUP(Y81,T100Pts!AO$5:AW$126,(L81+1)),IF(J81="F",VLOOKUP(Y81,T100Pts!AY$5:BG$126,(L81+1)),""))))</f>
        <v>-</v>
      </c>
      <c r="AA81" s="165"/>
      <c r="AB81" s="116" t="str">
        <f>IF(OR($L81="X",$L81=6,$L81=7),"-",IF(AA81="","-",IF(J81="M",VLOOKUP(AA81,T100Pts!BI$5:BN$44,(L81+1)),IF(J81="F",VLOOKUP(AA81,T100Pts!BU$5:BZ$44,(L81+1)),""))))</f>
        <v>-</v>
      </c>
      <c r="AC81" s="227"/>
      <c r="AD81" s="116" t="str">
        <f>IF($L81="X","-",IF(AC81="","-",IF(J81="M",VLOOKUP(AC81,T100Pts!A$5:I$1146,(L81+1)),IF(J81="F",VLOOKUP(AC81,T100Pts!K$5:S$1146,(L81+1)),""))))</f>
        <v>-</v>
      </c>
      <c r="AE81" s="117" t="str">
        <f t="shared" si="19"/>
        <v>-</v>
      </c>
      <c r="AF81" s="114" t="str">
        <f t="shared" si="20"/>
        <v>-</v>
      </c>
      <c r="AG81" s="115" t="e">
        <f t="shared" si="21"/>
        <v>#DIV/0!</v>
      </c>
      <c r="AH81" s="114" t="str">
        <f t="shared" si="15"/>
        <v>-</v>
      </c>
      <c r="AI81" s="161"/>
      <c r="AJ81" s="77" t="str">
        <f t="shared" si="16"/>
        <v/>
      </c>
    </row>
    <row r="82" spans="1:37" s="77" customFormat="1" ht="15.75" customHeight="1" x14ac:dyDescent="0.2">
      <c r="A82" s="138">
        <v>69</v>
      </c>
      <c r="B82" s="168"/>
      <c r="C82" s="137"/>
      <c r="D82" s="169"/>
      <c r="E82" s="170"/>
      <c r="F82" s="173"/>
      <c r="G82" s="172"/>
      <c r="H82" s="172"/>
      <c r="I82" s="139" t="str">
        <f t="shared" si="13"/>
        <v>-</v>
      </c>
      <c r="J82" s="203" t="s">
        <v>139</v>
      </c>
      <c r="K82" s="153" t="str">
        <f t="shared" si="14"/>
        <v>-</v>
      </c>
      <c r="L82" s="153" t="str">
        <f>IF(F82="","-",IF(K82&lt;&gt;"",VLOOKUP(K82,T100Pts!CH$4:CI$59,(2))))</f>
        <v>-</v>
      </c>
      <c r="M82" s="155"/>
      <c r="N82" s="153" t="str">
        <f>IF($L82="X","-",IF(M82="","-",IF(J82="M",VLOOKUP(M82,T100Pts!U$5:AC$86,(L82+1)),IF(J82="F",VLOOKUP(M82,T100Pts!AE$5:AM$86,(L82+1)),""))))</f>
        <v>-</v>
      </c>
      <c r="O82" s="155"/>
      <c r="P82" s="140" t="str">
        <f>IF($L82="X","-",IF(O82="","-",IF(J82="M",VLOOKUP(O82,T100Pts!AO$5:AW$126,(L82+1)),IF(J82="F",VLOOKUP(O82,T100Pts!AY$5:BG$126,(L82+1)),""))))</f>
        <v>-</v>
      </c>
      <c r="Q82" s="157"/>
      <c r="R82" s="140" t="str">
        <f>IF(OR($L82="X",$L82=6,$L82=7),"-",IF(Q82="","-",IF(J82="M",VLOOKUP(Q82,T100Pts!BI$5:BN$44,(L82+1)),IF(J82="F",VLOOKUP(Q82,T100Pts!BU$5:BZ$44,(L82+1)),""))))</f>
        <v>-</v>
      </c>
      <c r="S82" s="155"/>
      <c r="T82" s="140" t="str">
        <f>IF($L82="X","-",IF(S82="","-",IF(J82="M",VLOOKUP(S82,T100Pts!A$5:I$1146,(L82+1)),IF(J82="F",VLOOKUP(S82,T100Pts!K$5:S$1147,(L82+1)),""))))</f>
        <v>-</v>
      </c>
      <c r="U82" s="141" t="str">
        <f t="shared" si="17"/>
        <v>-</v>
      </c>
      <c r="V82" s="79" t="str">
        <f t="shared" si="18"/>
        <v>-</v>
      </c>
      <c r="W82" s="155"/>
      <c r="X82" s="116" t="str">
        <f>IF($L82="X","-",IF(W82="","-",IF(J82="M",VLOOKUP(W82,T100Pts!U$5:AC$86,(L82+1)),IF(J82="F",VLOOKUP(W82,T100Pts!AE$5:AM$86,(L82+1)),""))))</f>
        <v>-</v>
      </c>
      <c r="Y82" s="163"/>
      <c r="Z82" s="116" t="str">
        <f>IF($L82="X","-",IF(Y82="","-",IF(J82="M",VLOOKUP(Y82,T100Pts!AO$5:AW$126,(L82+1)),IF(J82="F",VLOOKUP(Y82,T100Pts!AY$5:BG$126,(L82+1)),""))))</f>
        <v>-</v>
      </c>
      <c r="AA82" s="165"/>
      <c r="AB82" s="116" t="str">
        <f>IF(OR($L82="X",$L82=6,$L82=7),"-",IF(AA82="","-",IF(J82="M",VLOOKUP(AA82,T100Pts!BI$5:BN$44,(L82+1)),IF(J82="F",VLOOKUP(AA82,T100Pts!BU$5:BZ$44,(L82+1)),""))))</f>
        <v>-</v>
      </c>
      <c r="AC82" s="163"/>
      <c r="AD82" s="116" t="str">
        <f>IF($L82="X","-",IF(AC82="","-",IF(J82="M",VLOOKUP(AC82,T100Pts!A$5:I$1146,(L82+1)),IF(J82="F",VLOOKUP(AC82,T100Pts!K$5:S$1146,(L82+1)),""))))</f>
        <v>-</v>
      </c>
      <c r="AE82" s="117" t="str">
        <f t="shared" si="19"/>
        <v>-</v>
      </c>
      <c r="AF82" s="114" t="str">
        <f t="shared" si="20"/>
        <v>-</v>
      </c>
      <c r="AG82" s="115" t="e">
        <f t="shared" si="21"/>
        <v>#DIV/0!</v>
      </c>
      <c r="AH82" s="114" t="str">
        <f t="shared" si="15"/>
        <v>-</v>
      </c>
      <c r="AI82" s="161" t="s">
        <v>213</v>
      </c>
      <c r="AJ82" s="77" t="str">
        <f t="shared" si="16"/>
        <v/>
      </c>
    </row>
    <row r="83" spans="1:37" s="77" customFormat="1" ht="15.75" customHeight="1" x14ac:dyDescent="0.2">
      <c r="A83" s="138">
        <v>70</v>
      </c>
      <c r="B83" s="168"/>
      <c r="C83" s="137"/>
      <c r="D83" s="169"/>
      <c r="E83" s="170"/>
      <c r="F83" s="173"/>
      <c r="G83" s="172"/>
      <c r="H83" s="172"/>
      <c r="I83" s="139" t="str">
        <f t="shared" si="13"/>
        <v>-</v>
      </c>
      <c r="J83" s="203" t="s">
        <v>139</v>
      </c>
      <c r="K83" s="153" t="str">
        <f t="shared" si="14"/>
        <v>-</v>
      </c>
      <c r="L83" s="153" t="str">
        <f>IF(F83="","-",IF(K83&lt;&gt;"",VLOOKUP(K83,T100Pts!CH$4:CI$59,(2))))</f>
        <v>-</v>
      </c>
      <c r="M83" s="155"/>
      <c r="N83" s="153" t="str">
        <f>IF($L83="X","-",IF(M83="","-",IF(J83="M",VLOOKUP(M83,T100Pts!U$5:AC$86,(L83+1)),IF(J83="F",VLOOKUP(M83,T100Pts!AE$5:AM$86,(L83+1)),""))))</f>
        <v>-</v>
      </c>
      <c r="O83" s="155"/>
      <c r="P83" s="140" t="str">
        <f>IF($L83="X","-",IF(O83="","-",IF(J83="M",VLOOKUP(O83,T100Pts!AO$5:AW$126,(L83+1)),IF(J83="F",VLOOKUP(O83,T100Pts!AY$5:BG$126,(L83+1)),""))))</f>
        <v>-</v>
      </c>
      <c r="Q83" s="157"/>
      <c r="R83" s="140" t="str">
        <f>IF(OR($L83="X",$L83=6,$L83=7),"-",IF(Q83="","-",IF(J83="M",VLOOKUP(Q83,T100Pts!BI$5:BN$44,(L83+1)),IF(J83="F",VLOOKUP(Q83,T100Pts!BU$5:BZ$44,(L83+1)),""))))</f>
        <v>-</v>
      </c>
      <c r="S83" s="155"/>
      <c r="T83" s="140" t="str">
        <f>IF($L83="X","-",IF(S83="","-",IF(J83="M",VLOOKUP(S83,T100Pts!A$5:I$1146,(L83+1)),IF(J83="F",VLOOKUP(S83,T100Pts!K$5:S$1147,(L83+1)),""))))</f>
        <v>-</v>
      </c>
      <c r="U83" s="141" t="str">
        <f t="shared" si="17"/>
        <v>-</v>
      </c>
      <c r="V83" s="79" t="str">
        <f t="shared" si="18"/>
        <v>-</v>
      </c>
      <c r="W83" s="155"/>
      <c r="X83" s="116" t="str">
        <f>IF($L83="X","-",IF(W83="","-",IF(J83="M",VLOOKUP(W83,T100Pts!U$5:AC$86,(L83+1)),IF(J83="F",VLOOKUP(W83,T100Pts!AE$5:AM$86,(L83+1)),""))))</f>
        <v>-</v>
      </c>
      <c r="Y83" s="163"/>
      <c r="Z83" s="116" t="str">
        <f>IF($L83="X","-",IF(Y83="","-",IF(J83="M",VLOOKUP(Y83,T100Pts!AO$5:AW$126,(L83+1)),IF(J83="F",VLOOKUP(Y83,T100Pts!AY$5:BG$126,(L83+1)),""))))</f>
        <v>-</v>
      </c>
      <c r="AA83" s="165"/>
      <c r="AB83" s="116" t="str">
        <f>IF(OR($L83="X",$L83=6,$L83=7),"-",IF(AA83="","-",IF(J83="M",VLOOKUP(AA83,T100Pts!BI$5:BN$44,(L83+1)),IF(J83="F",VLOOKUP(AA83,T100Pts!BU$5:BZ$44,(L83+1)),""))))</f>
        <v>-</v>
      </c>
      <c r="AC83" s="228"/>
      <c r="AD83" s="116" t="str">
        <f>IF($L83="X","-",IF(AC83="","-",IF(J83="M",VLOOKUP(AC83,T100Pts!A$5:I$1146,(L83+1)),IF(J83="F",VLOOKUP(AC83,T100Pts!K$5:S$1146,(L83+1)),""))))</f>
        <v>-</v>
      </c>
      <c r="AE83" s="117" t="str">
        <f t="shared" si="19"/>
        <v>-</v>
      </c>
      <c r="AF83" s="114" t="str">
        <f t="shared" si="20"/>
        <v>-</v>
      </c>
      <c r="AG83" s="115" t="e">
        <f t="shared" si="21"/>
        <v>#DIV/0!</v>
      </c>
      <c r="AH83" s="114" t="str">
        <f t="shared" si="15"/>
        <v>-</v>
      </c>
      <c r="AI83" s="161"/>
      <c r="AJ83" s="77" t="str">
        <f t="shared" si="16"/>
        <v/>
      </c>
    </row>
    <row r="84" spans="1:37" s="77" customFormat="1" ht="15.75" customHeight="1" x14ac:dyDescent="0.2">
      <c r="A84" s="138">
        <v>71</v>
      </c>
      <c r="B84" s="168"/>
      <c r="C84" s="137"/>
      <c r="D84" s="169"/>
      <c r="E84" s="170"/>
      <c r="F84" s="173"/>
      <c r="G84" s="172"/>
      <c r="H84" s="172"/>
      <c r="I84" s="139" t="str">
        <f t="shared" si="13"/>
        <v>-</v>
      </c>
      <c r="J84" s="203" t="s">
        <v>139</v>
      </c>
      <c r="K84" s="153" t="str">
        <f t="shared" si="14"/>
        <v>-</v>
      </c>
      <c r="L84" s="153" t="str">
        <f>IF(F84="","-",IF(K84&lt;&gt;"",VLOOKUP(K84,T100Pts!CH$4:CI$59,(2))))</f>
        <v>-</v>
      </c>
      <c r="M84" s="155"/>
      <c r="N84" s="153" t="str">
        <f>IF($L84="X","-",IF(M84="","-",IF(J84="M",VLOOKUP(M84,T100Pts!U$5:AC$86,(L84+1)),IF(J84="F",VLOOKUP(M84,T100Pts!AE$5:AM$86,(L84+1)),""))))</f>
        <v>-</v>
      </c>
      <c r="O84" s="155"/>
      <c r="P84" s="140" t="str">
        <f>IF($L84="X","-",IF(O84="","-",IF(J84="M",VLOOKUP(O84,T100Pts!AO$5:AW$126,(L84+1)),IF(J84="F",VLOOKUP(O84,T100Pts!AY$5:BG$126,(L84+1)),""))))</f>
        <v>-</v>
      </c>
      <c r="Q84" s="157"/>
      <c r="R84" s="140" t="str">
        <f>IF(OR($L84="X",$L84=6,$L84=7),"-",IF(Q84="","-",IF(J84="M",VLOOKUP(Q84,T100Pts!BI$5:BN$44,(L84+1)),IF(J84="F",VLOOKUP(Q84,T100Pts!BU$5:BZ$44,(L84+1)),""))))</f>
        <v>-</v>
      </c>
      <c r="S84" s="155"/>
      <c r="T84" s="140" t="str">
        <f>IF($L84="X","-",IF(S84="","-",IF(J84="M",VLOOKUP(S84,T100Pts!A$5:I$1146,(L84+1)),IF(J84="F",VLOOKUP(S84,T100Pts!K$5:S$1147,(L84+1)),""))))</f>
        <v>-</v>
      </c>
      <c r="U84" s="141" t="str">
        <f t="shared" si="17"/>
        <v>-</v>
      </c>
      <c r="V84" s="79" t="str">
        <f t="shared" si="18"/>
        <v>-</v>
      </c>
      <c r="W84" s="155"/>
      <c r="X84" s="116" t="str">
        <f>IF($L84="X","-",IF(W84="","-",IF(J84="M",VLOOKUP(W84,T100Pts!U$5:AC$86,(L84+1)),IF(J84="F",VLOOKUP(W84,T100Pts!AE$5:AM$86,(L84+1)),""))))</f>
        <v>-</v>
      </c>
      <c r="Y84" s="163"/>
      <c r="Z84" s="116" t="str">
        <f>IF($L84="X","-",IF(Y84="","-",IF(J84="M",VLOOKUP(Y84,T100Pts!AO$5:AW$126,(L84+1)),IF(J84="F",VLOOKUP(Y84,T100Pts!AY$5:BG$126,(L84+1)),""))))</f>
        <v>-</v>
      </c>
      <c r="AA84" s="165"/>
      <c r="AB84" s="116" t="str">
        <f>IF(OR($L84="X",$L84=6,$L84=7),"-",IF(AA84="","-",IF(J84="M",VLOOKUP(AA84,T100Pts!BI$5:BN$44,(L84+1)),IF(J84="F",VLOOKUP(AA84,T100Pts!BU$5:BZ$44,(L84+1)),""))))</f>
        <v>-</v>
      </c>
      <c r="AC84" s="227"/>
      <c r="AD84" s="116" t="str">
        <f>IF($L84="X","-",IF(AC84="","-",IF(J84="M",VLOOKUP(AC84,T100Pts!A$5:I$1146,(L84+1)),IF(J84="F",VLOOKUP(AC84,T100Pts!K$5:S$1146,(L84+1)),""))))</f>
        <v>-</v>
      </c>
      <c r="AE84" s="117" t="str">
        <f t="shared" si="19"/>
        <v>-</v>
      </c>
      <c r="AF84" s="114" t="str">
        <f t="shared" si="20"/>
        <v>-</v>
      </c>
      <c r="AG84" s="115" t="e">
        <f t="shared" si="21"/>
        <v>#DIV/0!</v>
      </c>
      <c r="AH84" s="114" t="str">
        <f t="shared" si="15"/>
        <v>-</v>
      </c>
      <c r="AI84" s="161"/>
      <c r="AJ84" s="77" t="str">
        <f t="shared" si="16"/>
        <v/>
      </c>
    </row>
    <row r="85" spans="1:37" s="77" customFormat="1" ht="15.75" customHeight="1" x14ac:dyDescent="0.2">
      <c r="A85" s="138">
        <v>72</v>
      </c>
      <c r="B85" s="168"/>
      <c r="C85" s="137"/>
      <c r="D85" s="169"/>
      <c r="E85" s="170"/>
      <c r="F85" s="173"/>
      <c r="G85" s="172"/>
      <c r="H85" s="172"/>
      <c r="I85" s="139" t="str">
        <f t="shared" si="13"/>
        <v>-</v>
      </c>
      <c r="J85" s="203" t="s">
        <v>139</v>
      </c>
      <c r="K85" s="153" t="str">
        <f t="shared" si="14"/>
        <v>-</v>
      </c>
      <c r="L85" s="153" t="str">
        <f>IF(F85="","-",IF(K85&lt;&gt;"",VLOOKUP(K85,T100Pts!CH$4:CI$59,(2))))</f>
        <v>-</v>
      </c>
      <c r="M85" s="155"/>
      <c r="N85" s="153" t="str">
        <f>IF($L85="X","-",IF(M85="","-",IF(J85="M",VLOOKUP(M85,T100Pts!U$5:AC$86,(L85+1)),IF(J85="F",VLOOKUP(M85,T100Pts!AE$5:AM$86,(L85+1)),""))))</f>
        <v>-</v>
      </c>
      <c r="O85" s="155"/>
      <c r="P85" s="140" t="str">
        <f>IF($L85="X","-",IF(O85="","-",IF(J85="M",VLOOKUP(O85,T100Pts!AO$5:AW$126,(L85+1)),IF(J85="F",VLOOKUP(O85,T100Pts!AY$5:BG$126,(L85+1)),""))))</f>
        <v>-</v>
      </c>
      <c r="Q85" s="157"/>
      <c r="R85" s="140" t="str">
        <f>IF(OR($L85="X",$L85=6,$L85=7),"-",IF(Q85="","-",IF(J85="M",VLOOKUP(Q85,T100Pts!BI$5:BN$44,(L85+1)),IF(J85="F",VLOOKUP(Q85,T100Pts!BU$5:BZ$44,(L85+1)),""))))</f>
        <v>-</v>
      </c>
      <c r="S85" s="155"/>
      <c r="T85" s="140" t="str">
        <f>IF($L85="X","-",IF(S85="","-",IF(J85="M",VLOOKUP(S85,T100Pts!A$5:I$1146,(L85+1)),IF(J85="F",VLOOKUP(S85,T100Pts!K$5:S$1147,(L85+1)),""))))</f>
        <v>-</v>
      </c>
      <c r="U85" s="141" t="str">
        <f t="shared" si="17"/>
        <v>-</v>
      </c>
      <c r="V85" s="79" t="str">
        <f t="shared" si="18"/>
        <v>-</v>
      </c>
      <c r="W85" s="155"/>
      <c r="X85" s="116" t="str">
        <f>IF($L85="X","-",IF(W85="","-",IF(J85="M",VLOOKUP(W85,T100Pts!U$5:AC$86,(L85+1)),IF(J85="F",VLOOKUP(W85,T100Pts!AE$5:AM$86,(L85+1)),""))))</f>
        <v>-</v>
      </c>
      <c r="Y85" s="163"/>
      <c r="Z85" s="116" t="str">
        <f>IF($L85="X","-",IF(Y85="","-",IF(J85="M",VLOOKUP(Y85,T100Pts!AO$5:AW$126,(L85+1)),IF(J85="F",VLOOKUP(Y85,T100Pts!AY$5:BG$126,(L85+1)),""))))</f>
        <v>-</v>
      </c>
      <c r="AA85" s="165"/>
      <c r="AB85" s="116" t="str">
        <f>IF(OR($L85="X",$L85=6,$L85=7),"-",IF(AA85="","-",IF(J85="M",VLOOKUP(AA85,T100Pts!BI$5:BN$44,(L85+1)),IF(J85="F",VLOOKUP(AA85,T100Pts!BU$5:BZ$44,(L85+1)),""))))</f>
        <v>-</v>
      </c>
      <c r="AC85" s="163"/>
      <c r="AD85" s="116" t="str">
        <f>IF($L85="X","-",IF(AC85="","-",IF(J85="M",VLOOKUP(AC85,T100Pts!A$5:I$1146,(L85+1)),IF(J85="F",VLOOKUP(AC85,T100Pts!K$5:S$1146,(L85+1)),""))))</f>
        <v>-</v>
      </c>
      <c r="AE85" s="117" t="str">
        <f t="shared" si="19"/>
        <v>-</v>
      </c>
      <c r="AF85" s="114" t="str">
        <f t="shared" si="20"/>
        <v>-</v>
      </c>
      <c r="AG85" s="115" t="e">
        <f t="shared" si="21"/>
        <v>#DIV/0!</v>
      </c>
      <c r="AH85" s="114" t="str">
        <f t="shared" si="15"/>
        <v>-</v>
      </c>
      <c r="AI85" s="161" t="s">
        <v>214</v>
      </c>
      <c r="AJ85" s="77" t="str">
        <f t="shared" si="16"/>
        <v/>
      </c>
    </row>
    <row r="86" spans="1:37" s="77" customFormat="1" ht="15.75" customHeight="1" x14ac:dyDescent="0.2">
      <c r="A86" s="138">
        <v>73</v>
      </c>
      <c r="B86" s="168"/>
      <c r="C86" s="137"/>
      <c r="D86" s="169"/>
      <c r="E86" s="170"/>
      <c r="F86" s="173"/>
      <c r="G86" s="172"/>
      <c r="H86" s="172"/>
      <c r="I86" s="139" t="str">
        <f t="shared" si="13"/>
        <v>-</v>
      </c>
      <c r="J86" s="203" t="s">
        <v>139</v>
      </c>
      <c r="K86" s="153" t="str">
        <f t="shared" si="14"/>
        <v>-</v>
      </c>
      <c r="L86" s="153" t="str">
        <f>IF(F86="","-",IF(K86&lt;&gt;"",VLOOKUP(K86,T100Pts!CH$4:CI$59,(2))))</f>
        <v>-</v>
      </c>
      <c r="M86" s="155"/>
      <c r="N86" s="153" t="str">
        <f>IF($L86="X","-",IF(M86="","-",IF(J86="M",VLOOKUP(M86,T100Pts!U$5:AC$86,(L86+1)),IF(J86="F",VLOOKUP(M86,T100Pts!AE$5:AM$86,(L86+1)),""))))</f>
        <v>-</v>
      </c>
      <c r="O86" s="155"/>
      <c r="P86" s="140" t="str">
        <f>IF($L86="X","-",IF(O86="","-",IF(J86="M",VLOOKUP(O86,T100Pts!AO$5:AW$126,(L86+1)),IF(J86="F",VLOOKUP(O86,T100Pts!AY$5:BG$126,(L86+1)),""))))</f>
        <v>-</v>
      </c>
      <c r="Q86" s="157"/>
      <c r="R86" s="140" t="str">
        <f>IF(OR($L86="X",$L86=6,$L86=7),"-",IF(Q86="","-",IF(J86="M",VLOOKUP(Q86,T100Pts!BI$5:BN$44,(L86+1)),IF(J86="F",VLOOKUP(Q86,T100Pts!BU$5:BZ$44,(L86+1)),""))))</f>
        <v>-</v>
      </c>
      <c r="S86" s="156"/>
      <c r="T86" s="140" t="str">
        <f>IF($L86="X","-",IF(S86="","-",IF(J86="M",VLOOKUP(S86,T100Pts!A$5:I$1146,(L86+1)),IF(J86="F",VLOOKUP(S86,T100Pts!K$5:S$1147,(L86+1)),""))))</f>
        <v>-</v>
      </c>
      <c r="U86" s="141" t="str">
        <f t="shared" si="17"/>
        <v>-</v>
      </c>
      <c r="V86" s="79" t="str">
        <f t="shared" si="18"/>
        <v>-</v>
      </c>
      <c r="W86" s="155"/>
      <c r="X86" s="116" t="str">
        <f>IF($L86="X","-",IF(W86="","-",IF(J86="M",VLOOKUP(W86,T100Pts!U$5:AC$86,(L86+1)),IF(J86="F",VLOOKUP(W86,T100Pts!AE$5:AM$86,(L86+1)),""))))</f>
        <v>-</v>
      </c>
      <c r="Y86" s="163"/>
      <c r="Z86" s="116" t="str">
        <f>IF($L86="X","-",IF(Y86="","-",IF(J86="M",VLOOKUP(Y86,T100Pts!AO$5:AW$126,(L86+1)),IF(J86="F",VLOOKUP(Y86,T100Pts!AY$5:BG$126,(L86+1)),""))))</f>
        <v>-</v>
      </c>
      <c r="AA86" s="165"/>
      <c r="AB86" s="116" t="str">
        <f>IF(OR($L86="X",$L86=6,$L86=7),"-",IF(AA86="","-",IF(J86="M",VLOOKUP(AA86,T100Pts!BI$5:BN$44,(L86+1)),IF(J86="F",VLOOKUP(AA86,T100Pts!BU$5:BZ$44,(L86+1)),""))))</f>
        <v>-</v>
      </c>
      <c r="AC86" s="227"/>
      <c r="AD86" s="116" t="str">
        <f>IF($L86="X","-",IF(AC86="","-",IF(J86="M",VLOOKUP(AC86,T100Pts!A$5:I$1146,(L86+1)),IF(J86="F",VLOOKUP(AC86,T100Pts!K$5:S$1146,(L86+1)),""))))</f>
        <v>-</v>
      </c>
      <c r="AE86" s="117" t="str">
        <f t="shared" si="19"/>
        <v>-</v>
      </c>
      <c r="AF86" s="114" t="str">
        <f t="shared" si="20"/>
        <v>-</v>
      </c>
      <c r="AG86" s="115" t="e">
        <f t="shared" si="21"/>
        <v>#DIV/0!</v>
      </c>
      <c r="AH86" s="114" t="str">
        <f t="shared" si="15"/>
        <v>-</v>
      </c>
      <c r="AI86" s="161" t="s">
        <v>215</v>
      </c>
      <c r="AJ86" s="77" t="str">
        <f t="shared" si="16"/>
        <v/>
      </c>
    </row>
    <row r="87" spans="1:37" s="77" customFormat="1" ht="15.75" customHeight="1" x14ac:dyDescent="0.2">
      <c r="A87" s="138">
        <v>74</v>
      </c>
      <c r="B87" s="172"/>
      <c r="C87" s="137"/>
      <c r="D87" s="169"/>
      <c r="E87" s="170"/>
      <c r="F87" s="173"/>
      <c r="G87" s="181"/>
      <c r="H87" s="182"/>
      <c r="I87" s="139" t="str">
        <f t="shared" si="13"/>
        <v>-</v>
      </c>
      <c r="J87" s="203" t="s">
        <v>140</v>
      </c>
      <c r="K87" s="153" t="str">
        <f t="shared" si="14"/>
        <v>-</v>
      </c>
      <c r="L87" s="153" t="str">
        <f>IF(F87="","-",IF(K87&lt;&gt;"",VLOOKUP(K87,T100Pts!CH$4:CI$59,(2))))</f>
        <v>-</v>
      </c>
      <c r="M87" s="155"/>
      <c r="N87" s="153" t="str">
        <f>IF($L87="X","-",IF(M87="","-",IF(J87="M",VLOOKUP(M87,T100Pts!U$5:AC$86,(L87+1)),IF(J87="F",VLOOKUP(M87,T100Pts!AE$5:AM$86,(L87+1)),""))))</f>
        <v>-</v>
      </c>
      <c r="O87" s="155"/>
      <c r="P87" s="140" t="str">
        <f>IF($L87="X","-",IF(O87="","-",IF(J87="M",VLOOKUP(O87,T100Pts!AO$5:AW$126,(L87+1)),IF(J87="F",VLOOKUP(O87,T100Pts!AY$5:BG$126,(L87+1)),""))))</f>
        <v>-</v>
      </c>
      <c r="Q87" s="157"/>
      <c r="R87" s="140" t="str">
        <f>IF(OR($L87="X",$L87=6,$L87=7),"-",IF(Q87="","-",IF(J87="M",VLOOKUP(Q87,T100Pts!BI$5:BN$44,(L87+1)),IF(J87="F",VLOOKUP(Q87,T100Pts!BU$5:BZ$44,(L87+1)),""))))</f>
        <v>-</v>
      </c>
      <c r="S87" s="155"/>
      <c r="T87" s="140" t="str">
        <f>IF($L87="X","-",IF(S87="","-",IF(J87="M",VLOOKUP(S87,T100Pts!A$5:I$1146,(L87+1)),IF(J87="F",VLOOKUP(S87,T100Pts!K$5:S$1147,(L87+1)),""))))</f>
        <v>-</v>
      </c>
      <c r="U87" s="141" t="str">
        <f t="shared" si="17"/>
        <v>-</v>
      </c>
      <c r="V87" s="79" t="str">
        <f t="shared" si="18"/>
        <v>-</v>
      </c>
      <c r="W87" s="155"/>
      <c r="X87" s="116" t="str">
        <f>IF($L87="X","-",IF(W87="","-",IF(J87="M",VLOOKUP(W87,T100Pts!U$5:AC$86,(L87+1)),IF(J87="F",VLOOKUP(W87,T100Pts!AE$5:AM$86,(L87+1)),""))))</f>
        <v>-</v>
      </c>
      <c r="Y87" s="163"/>
      <c r="Z87" s="116" t="str">
        <f>IF($L87="X","-",IF(Y87="","-",IF(J87="M",VLOOKUP(Y87,T100Pts!AO$5:AW$126,(L87+1)),IF(J87="F",VLOOKUP(Y87,T100Pts!AY$5:BG$126,(L87+1)),""))))</f>
        <v>-</v>
      </c>
      <c r="AA87" s="165"/>
      <c r="AB87" s="116" t="str">
        <f>IF(OR($L87="X",$L87=6,$L87=7),"-",IF(AA87="","-",IF(J87="M",VLOOKUP(AA87,T100Pts!BI$5:BN$44,(L87+1)),IF(J87="F",VLOOKUP(AA87,T100Pts!BU$5:BZ$44,(L87+1)),""))))</f>
        <v>-</v>
      </c>
      <c r="AC87" s="227"/>
      <c r="AD87" s="116" t="str">
        <f>IF($L87="X","-",IF(AC87="","-",IF(J87="M",VLOOKUP(AC87,T100Pts!A$5:I$1146,(L87+1)),IF(J87="F",VLOOKUP(AC87,T100Pts!K$5:S$1146,(L87+1)),""))))</f>
        <v>-</v>
      </c>
      <c r="AE87" s="117" t="str">
        <f t="shared" si="19"/>
        <v>-</v>
      </c>
      <c r="AF87" s="114" t="str">
        <f t="shared" si="20"/>
        <v>-</v>
      </c>
      <c r="AG87" s="115" t="e">
        <f t="shared" si="21"/>
        <v>#DIV/0!</v>
      </c>
      <c r="AH87" s="114" t="str">
        <f t="shared" si="15"/>
        <v>-</v>
      </c>
      <c r="AI87" s="161"/>
      <c r="AJ87" s="77" t="str">
        <f t="shared" si="16"/>
        <v/>
      </c>
    </row>
    <row r="88" spans="1:37" s="77" customFormat="1" ht="15.75" customHeight="1" x14ac:dyDescent="0.2">
      <c r="A88" s="138">
        <v>75</v>
      </c>
      <c r="B88" s="172"/>
      <c r="C88" s="137"/>
      <c r="D88" s="169"/>
      <c r="E88" s="180"/>
      <c r="F88" s="173"/>
      <c r="G88" s="181"/>
      <c r="H88" s="182"/>
      <c r="I88" s="139" t="str">
        <f t="shared" si="13"/>
        <v>-</v>
      </c>
      <c r="J88" s="203" t="s">
        <v>139</v>
      </c>
      <c r="K88" s="153" t="str">
        <f t="shared" si="14"/>
        <v>-</v>
      </c>
      <c r="L88" s="153" t="str">
        <f>IF(F88="","-",IF(K88&lt;&gt;"",VLOOKUP(K88,T100Pts!CH$4:CI$59,(2))))</f>
        <v>-</v>
      </c>
      <c r="M88" s="155"/>
      <c r="N88" s="153" t="str">
        <f>IF($L88="X","-",IF(M88="","-",IF(J88="M",VLOOKUP(M88,T100Pts!U$5:AC$86,(L88+1)),IF(J88="F",VLOOKUP(M88,T100Pts!AE$5:AM$86,(L88+1)),""))))</f>
        <v>-</v>
      </c>
      <c r="O88" s="155"/>
      <c r="P88" s="140" t="str">
        <f>IF($L88="X","-",IF(O88="","-",IF(J88="M",VLOOKUP(O88,T100Pts!AO$5:AW$126,(L88+1)),IF(J88="F",VLOOKUP(O88,T100Pts!AY$5:BG$126,(L88+1)),""))))</f>
        <v>-</v>
      </c>
      <c r="Q88" s="157"/>
      <c r="R88" s="140" t="str">
        <f>IF(OR($L88="X",$L88=6,$L88=7),"-",IF(Q88="","-",IF(J88="M",VLOOKUP(Q88,T100Pts!BI$5:BN$44,(L88+1)),IF(J88="F",VLOOKUP(Q88,T100Pts!BU$5:BZ$44,(L88+1)),""))))</f>
        <v>-</v>
      </c>
      <c r="S88" s="155"/>
      <c r="T88" s="140" t="str">
        <f>IF($L88="X","-",IF(S88="","-",IF(J88="M",VLOOKUP(S88,T100Pts!A$5:I$1146,(L88+1)),IF(J88="F",VLOOKUP(S88,T100Pts!K$5:S$1147,(L88+1)),""))))</f>
        <v>-</v>
      </c>
      <c r="U88" s="141" t="str">
        <f t="shared" si="17"/>
        <v>-</v>
      </c>
      <c r="V88" s="79" t="str">
        <f t="shared" si="18"/>
        <v>-</v>
      </c>
      <c r="W88" s="155"/>
      <c r="X88" s="116" t="str">
        <f>IF($L88="X","-",IF(W88="","-",IF(J88="M",VLOOKUP(W88,T100Pts!U$5:AC$86,(L88+1)),IF(J88="F",VLOOKUP(W88,T100Pts!AE$5:AM$86,(L88+1)),""))))</f>
        <v>-</v>
      </c>
      <c r="Y88" s="163"/>
      <c r="Z88" s="116" t="str">
        <f>IF($L88="X","-",IF(Y88="","-",IF(J88="M",VLOOKUP(Y88,T100Pts!AO$5:AW$126,(L88+1)),IF(J88="F",VLOOKUP(Y88,T100Pts!AY$5:BG$126,(L88+1)),""))))</f>
        <v>-</v>
      </c>
      <c r="AA88" s="165"/>
      <c r="AB88" s="116" t="str">
        <f>IF(OR($L88="X",$L88=6,$L88=7),"-",IF(AA88="","-",IF(J88="M",VLOOKUP(AA88,T100Pts!BI$5:BN$44,(L88+1)),IF(J88="F",VLOOKUP(AA88,T100Pts!BU$5:BZ$44,(L88+1)),""))))</f>
        <v>-</v>
      </c>
      <c r="AC88" s="227"/>
      <c r="AD88" s="116" t="str">
        <f>IF($L88="X","-",IF(AC88="","-",IF(J88="M",VLOOKUP(AC88,T100Pts!A$5:I$1146,(L88+1)),IF(J88="F",VLOOKUP(AC88,T100Pts!K$5:S$1146,(L88+1)),""))))</f>
        <v>-</v>
      </c>
      <c r="AE88" s="117" t="str">
        <f t="shared" si="19"/>
        <v>-</v>
      </c>
      <c r="AF88" s="114" t="str">
        <f t="shared" si="20"/>
        <v>-</v>
      </c>
      <c r="AG88" s="115" t="e">
        <f t="shared" si="21"/>
        <v>#DIV/0!</v>
      </c>
      <c r="AH88" s="114" t="str">
        <f t="shared" si="15"/>
        <v>-</v>
      </c>
      <c r="AI88" s="161"/>
      <c r="AJ88" s="77" t="str">
        <f t="shared" si="16"/>
        <v/>
      </c>
    </row>
    <row r="89" spans="1:37" s="77" customFormat="1" ht="15.75" customHeight="1" x14ac:dyDescent="0.25">
      <c r="A89" s="138">
        <v>76</v>
      </c>
      <c r="B89" s="172"/>
      <c r="C89" s="137"/>
      <c r="D89" s="174"/>
      <c r="E89" s="175"/>
      <c r="F89" s="176"/>
      <c r="G89" s="177"/>
      <c r="H89" s="178"/>
      <c r="I89" s="139" t="str">
        <f t="shared" si="13"/>
        <v>-</v>
      </c>
      <c r="J89" s="181" t="s">
        <v>139</v>
      </c>
      <c r="K89" s="153" t="str">
        <f t="shared" si="14"/>
        <v>-</v>
      </c>
      <c r="L89" s="153" t="str">
        <f>IF(F89="","-",IF(K89&lt;&gt;"",VLOOKUP(K89,T100Pts!CH$4:CI$59,(2))))</f>
        <v>-</v>
      </c>
      <c r="M89" s="155"/>
      <c r="N89" s="153" t="str">
        <f>IF($L89="X","-",IF(M89="","-",IF(J89="M",VLOOKUP(M89,T100Pts!U$5:AC$86,(L89+1)),IF(J89="F",VLOOKUP(M89,T100Pts!AE$5:AM$86,(L89+1)),""))))</f>
        <v>-</v>
      </c>
      <c r="O89" s="155"/>
      <c r="P89" s="140" t="str">
        <f>IF($L89="X","-",IF(O89="","-",IF(J89="M",VLOOKUP(O89,T100Pts!AO$5:AW$126,(L89+1)),IF(J89="F",VLOOKUP(O89,T100Pts!AY$5:BG$126,(L89+1)),""))))</f>
        <v>-</v>
      </c>
      <c r="Q89" s="157"/>
      <c r="R89" s="140" t="str">
        <f>IF(OR($L89="X",$L89=6,$L89=7),"-",IF(Q89="","-",IF(J89="M",VLOOKUP(Q89,T100Pts!BI$5:BN$44,(L89+1)),IF(J89="F",VLOOKUP(Q89,T100Pts!BU$5:BZ$44,(L89+1)),""))))</f>
        <v>-</v>
      </c>
      <c r="S89" s="155"/>
      <c r="T89" s="140" t="str">
        <f>IF($L89="X","-",IF(S89="","-",IF(J89="M",VLOOKUP(S89,T100Pts!A$5:I$1146,(L89+1)),IF(J89="F",VLOOKUP(S89,T100Pts!K$5:S$1147,(L89+1)),""))))</f>
        <v>-</v>
      </c>
      <c r="U89" s="141" t="str">
        <f t="shared" si="17"/>
        <v>-</v>
      </c>
      <c r="V89" s="79" t="str">
        <f t="shared" si="18"/>
        <v>-</v>
      </c>
      <c r="W89" s="155"/>
      <c r="X89" s="116" t="str">
        <f>IF($L89="X","-",IF(W89="","-",IF(J89="M",VLOOKUP(W89,T100Pts!U$5:AC$86,(L89+1)),IF(J89="F",VLOOKUP(W89,T100Pts!AE$5:AM$86,(L89+1)),""))))</f>
        <v>-</v>
      </c>
      <c r="Y89" s="163"/>
      <c r="Z89" s="116" t="str">
        <f>IF($L89="X","-",IF(Y89="","-",IF(J89="M",VLOOKUP(Y89,T100Pts!AO$5:AW$126,(L89+1)),IF(J89="F",VLOOKUP(Y89,T100Pts!AY$5:BG$126,(L89+1)),""))))</f>
        <v>-</v>
      </c>
      <c r="AA89" s="165"/>
      <c r="AB89" s="116" t="str">
        <f>IF(OR($L89="X",$L89=6,$L89=7),"-",IF(AA89="","-",IF(J89="M",VLOOKUP(AA89,T100Pts!BI$5:BN$44,(L89+1)),IF(J89="F",VLOOKUP(AA89,T100Pts!BU$5:BZ$44,(L89+1)),""))))</f>
        <v>-</v>
      </c>
      <c r="AC89" s="228"/>
      <c r="AD89" s="116" t="str">
        <f>IF($L89="X","-",IF(AC89="","-",IF(J89="M",VLOOKUP(AC89,T100Pts!A$5:I$1146,(L89+1)),IF(J89="F",VLOOKUP(AC89,T100Pts!K$5:S$1146,(L89+1)),""))))</f>
        <v>-</v>
      </c>
      <c r="AE89" s="117" t="str">
        <f t="shared" si="19"/>
        <v>-</v>
      </c>
      <c r="AF89" s="114" t="str">
        <f t="shared" si="20"/>
        <v>-</v>
      </c>
      <c r="AG89" s="115" t="e">
        <f t="shared" si="21"/>
        <v>#DIV/0!</v>
      </c>
      <c r="AH89" s="114" t="str">
        <f t="shared" si="15"/>
        <v>-</v>
      </c>
      <c r="AI89" s="161"/>
      <c r="AJ89" s="77" t="str">
        <f t="shared" si="16"/>
        <v/>
      </c>
    </row>
    <row r="90" spans="1:37" s="77" customFormat="1" ht="15.75" customHeight="1" x14ac:dyDescent="0.2">
      <c r="A90" s="138">
        <v>77</v>
      </c>
      <c r="B90" s="172"/>
      <c r="C90" s="137"/>
      <c r="D90" s="169"/>
      <c r="E90" s="170"/>
      <c r="F90" s="173"/>
      <c r="G90" s="172"/>
      <c r="H90" s="172"/>
      <c r="I90" s="139" t="str">
        <f t="shared" si="13"/>
        <v>-</v>
      </c>
      <c r="J90" s="203" t="s">
        <v>139</v>
      </c>
      <c r="K90" s="153" t="str">
        <f t="shared" si="14"/>
        <v>-</v>
      </c>
      <c r="L90" s="153" t="str">
        <f>IF(F90="","-",IF(K90&lt;&gt;"",VLOOKUP(K90,T100Pts!CH$4:CI$59,(2))))</f>
        <v>-</v>
      </c>
      <c r="M90" s="155"/>
      <c r="N90" s="153" t="str">
        <f>IF($L90="X","-",IF(M90="","-",IF(J90="M",VLOOKUP(M90,T100Pts!U$5:AC$86,(L90+1)),IF(J90="F",VLOOKUP(M90,T100Pts!AE$5:AM$86,(L90+1)),""))))</f>
        <v>-</v>
      </c>
      <c r="O90" s="155"/>
      <c r="P90" s="140" t="str">
        <f>IF($L90="X","-",IF(O90="","-",IF(J90="M",VLOOKUP(O90,T100Pts!AO$5:AW$126,(L90+1)),IF(J90="F",VLOOKUP(O90,T100Pts!AY$5:BG$126,(L90+1)),""))))</f>
        <v>-</v>
      </c>
      <c r="Q90" s="157"/>
      <c r="R90" s="140" t="str">
        <f>IF(OR($L90="X",$L90=6,$L90=7),"-",IF(Q90="","-",IF(J90="M",VLOOKUP(Q90,T100Pts!BI$5:BN$44,(L90+1)),IF(J90="F",VLOOKUP(Q90,T100Pts!BU$5:BZ$44,(L90+1)),""))))</f>
        <v>-</v>
      </c>
      <c r="S90" s="155"/>
      <c r="T90" s="140" t="str">
        <f>IF($L90="X","-",IF(S90="","-",IF(J90="M",VLOOKUP(S90,T100Pts!A$5:I$1146,(L90+1)),IF(J90="F",VLOOKUP(S90,T100Pts!K$5:S$1147,(L90+1)),""))))</f>
        <v>-</v>
      </c>
      <c r="U90" s="224" t="str">
        <f t="shared" si="17"/>
        <v>-</v>
      </c>
      <c r="V90" s="79" t="str">
        <f t="shared" si="18"/>
        <v>-</v>
      </c>
      <c r="W90" s="155"/>
      <c r="X90" s="116" t="str">
        <f>IF($L90="X","-",IF(W90="","-",IF(J90="M",VLOOKUP(W90,T100Pts!U$5:AC$86,(L90+1)),IF(J90="F",VLOOKUP(W90,T100Pts!AE$5:AM$86,(L90+1)),""))))</f>
        <v>-</v>
      </c>
      <c r="Y90" s="163"/>
      <c r="Z90" s="116" t="str">
        <f>IF($L90="X","-",IF(Y90="","-",IF(J90="M",VLOOKUP(Y90,T100Pts!AO$5:AW$126,(L90+1)),IF(J90="F",VLOOKUP(Y90,T100Pts!AY$5:BG$126,(L90+1)),""))))</f>
        <v>-</v>
      </c>
      <c r="AA90" s="165"/>
      <c r="AB90" s="116" t="str">
        <f>IF(OR($L90="X",$L90=6,$L90=7),"-",IF(AA90="","-",IF(J90="M",VLOOKUP(AA90,T100Pts!BI$5:BN$44,(L90+1)),IF(J90="F",VLOOKUP(AA90,T100Pts!BU$5:BZ$44,(L90+1)),""))))</f>
        <v>-</v>
      </c>
      <c r="AC90" s="227"/>
      <c r="AD90" s="116" t="str">
        <f>IF($L90="X","-",IF(AC90="","-",IF(J90="M",VLOOKUP(AC90,T100Pts!A$5:I$1146,(L90+1)),IF(J90="F",VLOOKUP(AC90,T100Pts!K$5:S$1146,(L90+1)),""))))</f>
        <v>-</v>
      </c>
      <c r="AE90" s="117" t="str">
        <f t="shared" si="19"/>
        <v>-</v>
      </c>
      <c r="AF90" s="114" t="str">
        <f t="shared" si="20"/>
        <v>-</v>
      </c>
      <c r="AG90" s="115" t="e">
        <f t="shared" si="21"/>
        <v>#DIV/0!</v>
      </c>
      <c r="AH90" s="114" t="str">
        <f t="shared" si="15"/>
        <v>-</v>
      </c>
      <c r="AI90" s="161"/>
      <c r="AJ90" s="77" t="str">
        <f t="shared" si="16"/>
        <v/>
      </c>
    </row>
    <row r="91" spans="1:37" s="77" customFormat="1" ht="15.75" customHeight="1" x14ac:dyDescent="0.2">
      <c r="A91" s="138">
        <v>78</v>
      </c>
      <c r="B91" s="172"/>
      <c r="C91" s="137"/>
      <c r="D91" s="169"/>
      <c r="E91" s="170"/>
      <c r="F91" s="173"/>
      <c r="G91" s="172"/>
      <c r="H91" s="172"/>
      <c r="I91" s="139" t="str">
        <f t="shared" si="13"/>
        <v>-</v>
      </c>
      <c r="J91" s="203" t="s">
        <v>140</v>
      </c>
      <c r="K91" s="153" t="str">
        <f t="shared" si="14"/>
        <v>-</v>
      </c>
      <c r="L91" s="153" t="str">
        <f>IF(F91="","-",IF(K91&lt;&gt;"",VLOOKUP(K91,T100Pts!CH$4:CI$59,(2))))</f>
        <v>-</v>
      </c>
      <c r="M91" s="155"/>
      <c r="N91" s="153" t="str">
        <f>IF($L91="X","-",IF(M91="","-",IF(J91="M",VLOOKUP(M91,T100Pts!U$5:AC$86,(L91+1)),IF(J91="F",VLOOKUP(M91,T100Pts!AE$5:AM$86,(L91+1)),""))))</f>
        <v>-</v>
      </c>
      <c r="O91" s="155"/>
      <c r="P91" s="140" t="str">
        <f>IF($L91="X","-",IF(O91="","-",IF(J91="M",VLOOKUP(O91,T100Pts!AO$5:AW$126,(L91+1)),IF(J91="F",VLOOKUP(O91,T100Pts!AY$5:BG$126,(L91+1)),""))))</f>
        <v>-</v>
      </c>
      <c r="Q91" s="157"/>
      <c r="R91" s="140" t="str">
        <f>IF(OR($L91="X",$L91=6,$L91=7),"-",IF(Q91="","-",IF(J91="M",VLOOKUP(Q91,T100Pts!BI$5:BN$44,(L91+1)),IF(J91="F",VLOOKUP(Q91,T100Pts!BU$5:BZ$44,(L91+1)),""))))</f>
        <v>-</v>
      </c>
      <c r="S91" s="155"/>
      <c r="T91" s="140" t="str">
        <f>IF($L91="X","-",IF(S91="","-",IF(J91="M",VLOOKUP(S91,T100Pts!A$5:I$1146,(L91+1)),IF(J91="F",VLOOKUP(S91,T100Pts!K$5:S$1147,(L91+1)),""))))</f>
        <v>-</v>
      </c>
      <c r="U91" s="141" t="str">
        <f t="shared" si="17"/>
        <v>-</v>
      </c>
      <c r="V91" s="79" t="str">
        <f t="shared" si="18"/>
        <v>-</v>
      </c>
      <c r="W91" s="155"/>
      <c r="X91" s="116" t="str">
        <f>IF($L91="X","-",IF(W91="","-",IF(J91="M",VLOOKUP(W91,T100Pts!U$5:AC$86,(L91+1)),IF(J91="F",VLOOKUP(W91,T100Pts!AE$5:AM$86,(L91+1)),""))))</f>
        <v>-</v>
      </c>
      <c r="Y91" s="163"/>
      <c r="Z91" s="116" t="str">
        <f>IF($L91="X","-",IF(Y91="","-",IF(J91="M",VLOOKUP(Y91,T100Pts!AO$5:AW$126,(L91+1)),IF(J91="F",VLOOKUP(Y91,T100Pts!AY$5:BG$126,(L91+1)),""))))</f>
        <v>-</v>
      </c>
      <c r="AA91" s="165"/>
      <c r="AB91" s="116" t="str">
        <f>IF(OR($L91="X",$L91=6,$L91=7),"-",IF(AA91="","-",IF(J91="M",VLOOKUP(AA91,T100Pts!BI$5:BN$44,(L91+1)),IF(J91="F",VLOOKUP(AA91,T100Pts!BU$5:BZ$44,(L91+1)),""))))</f>
        <v>-</v>
      </c>
      <c r="AC91" s="228"/>
      <c r="AD91" s="116" t="str">
        <f>IF($L91="X","-",IF(AC91="","-",IF(J91="M",VLOOKUP(AC91,T100Pts!A$5:I$1146,(L91+1)),IF(J91="F",VLOOKUP(AC91,T100Pts!K$5:S$1146,(L91+1)),""))))</f>
        <v>-</v>
      </c>
      <c r="AE91" s="117" t="str">
        <f t="shared" si="19"/>
        <v>-</v>
      </c>
      <c r="AF91" s="114" t="str">
        <f t="shared" si="20"/>
        <v>-</v>
      </c>
      <c r="AG91" s="115" t="e">
        <f t="shared" si="21"/>
        <v>#DIV/0!</v>
      </c>
      <c r="AH91" s="114" t="str">
        <f t="shared" si="15"/>
        <v>-</v>
      </c>
      <c r="AI91" s="161"/>
      <c r="AJ91" s="77" t="str">
        <f t="shared" si="16"/>
        <v/>
      </c>
    </row>
    <row r="92" spans="1:37" ht="15.75" customHeight="1" x14ac:dyDescent="0.2">
      <c r="A92" s="138">
        <v>79</v>
      </c>
      <c r="B92" s="172"/>
      <c r="C92" s="137"/>
      <c r="D92" s="169"/>
      <c r="E92" s="170"/>
      <c r="F92" s="173"/>
      <c r="G92" s="172"/>
      <c r="H92" s="172"/>
      <c r="I92" s="139" t="str">
        <f t="shared" si="13"/>
        <v>-</v>
      </c>
      <c r="J92" s="203" t="s">
        <v>139</v>
      </c>
      <c r="K92" s="153" t="str">
        <f t="shared" si="14"/>
        <v>-</v>
      </c>
      <c r="L92" s="153" t="str">
        <f>IF(F92="","-",IF(K92&lt;&gt;"",VLOOKUP(K92,T100Pts!CH$4:CI$59,(2))))</f>
        <v>-</v>
      </c>
      <c r="M92" s="155"/>
      <c r="N92" s="153" t="str">
        <f>IF($L92="X","-",IF(M92="","-",IF(J92="M",VLOOKUP(M92,T100Pts!U$5:AC$86,(L92+1)),IF(J92="F",VLOOKUP(M92,T100Pts!AE$5:AM$86,(L92+1)),""))))</f>
        <v>-</v>
      </c>
      <c r="O92" s="155"/>
      <c r="P92" s="140" t="str">
        <f>IF($L92="X","-",IF(O92="","-",IF(J92="M",VLOOKUP(O92,T100Pts!AO$5:AW$126,(L92+1)),IF(J92="F",VLOOKUP(O92,T100Pts!AY$5:BG$126,(L92+1)),""))))</f>
        <v>-</v>
      </c>
      <c r="Q92" s="157"/>
      <c r="R92" s="140" t="str">
        <f>IF(OR($L92="X",$L92=6,$L92=7),"-",IF(Q92="","-",IF(J92="M",VLOOKUP(Q92,T100Pts!BI$5:BN$44,(L92+1)),IF(J92="F",VLOOKUP(Q92,T100Pts!BU$5:BZ$44,(L92+1)),""))))</f>
        <v>-</v>
      </c>
      <c r="S92" s="155"/>
      <c r="T92" s="140" t="str">
        <f>IF($L92="X","-",IF(S92="","-",IF(J92="M",VLOOKUP(S92,T100Pts!A$5:I$1146,(L92+1)),IF(J92="F",VLOOKUP(S92,T100Pts!K$5:S$1147,(L92+1)),""))))</f>
        <v>-</v>
      </c>
      <c r="U92" s="141" t="str">
        <f t="shared" si="17"/>
        <v>-</v>
      </c>
      <c r="V92" s="79" t="str">
        <f t="shared" si="18"/>
        <v>-</v>
      </c>
      <c r="W92" s="155"/>
      <c r="X92" s="116" t="str">
        <f>IF($L92="X","-",IF(W92="","-",IF(J92="M",VLOOKUP(W92,T100Pts!U$5:AC$86,(L92+1)),IF(J92="F",VLOOKUP(W92,T100Pts!AE$5:AM$86,(L92+1)),""))))</f>
        <v>-</v>
      </c>
      <c r="Y92" s="163"/>
      <c r="Z92" s="116" t="str">
        <f>IF($L92="X","-",IF(Y92="","-",IF(J92="M",VLOOKUP(Y92,T100Pts!AO$5:AW$126,(L92+1)),IF(J92="F",VLOOKUP(Y92,T100Pts!AY$5:BG$126,(L92+1)),""))))</f>
        <v>-</v>
      </c>
      <c r="AA92" s="165"/>
      <c r="AB92" s="116" t="str">
        <f>IF(OR($L92="X",$L92=6,$L92=7),"-",IF(AA92="","-",IF(J92="M",VLOOKUP(AA92,T100Pts!BI$5:BN$44,(L92+1)),IF(J92="F",VLOOKUP(AA92,T100Pts!BU$5:BZ$44,(L92+1)),""))))</f>
        <v>-</v>
      </c>
      <c r="AC92" s="227"/>
      <c r="AD92" s="116" t="str">
        <f>IF($L92="X","-",IF(AC92="","-",IF(J92="M",VLOOKUP(AC92,T100Pts!A$5:I$1146,(L92+1)),IF(J92="F",VLOOKUP(AC92,T100Pts!K$5:S$1146,(L92+1)),""))))</f>
        <v>-</v>
      </c>
      <c r="AE92" s="117" t="str">
        <f t="shared" si="19"/>
        <v>-</v>
      </c>
      <c r="AF92" s="114" t="str">
        <f t="shared" si="20"/>
        <v>-</v>
      </c>
      <c r="AG92" s="115" t="e">
        <f t="shared" si="21"/>
        <v>#DIV/0!</v>
      </c>
      <c r="AH92" s="114" t="str">
        <f t="shared" si="15"/>
        <v>-</v>
      </c>
      <c r="AI92" s="161"/>
      <c r="AJ92" s="77" t="str">
        <f t="shared" si="16"/>
        <v/>
      </c>
      <c r="AK92" s="77"/>
    </row>
    <row r="93" spans="1:37" ht="15.75" customHeight="1" x14ac:dyDescent="0.2">
      <c r="A93" s="138">
        <v>80</v>
      </c>
      <c r="B93" s="168"/>
      <c r="C93" s="137"/>
      <c r="D93" s="169"/>
      <c r="E93" s="183"/>
      <c r="F93" s="173"/>
      <c r="G93" s="168"/>
      <c r="H93" s="168"/>
      <c r="I93" s="139" t="str">
        <f t="shared" ref="I93:I124" si="22">IF(OR(G93="",H93=""),"-",ROUND(G93/(H93^2),0))</f>
        <v>-</v>
      </c>
      <c r="J93" s="203" t="s">
        <v>140</v>
      </c>
      <c r="K93" s="153" t="str">
        <f t="shared" ref="K93:K124" si="23">IF(F93&gt;0,DATEDIF(F93,$L$1,"Y"),"-")</f>
        <v>-</v>
      </c>
      <c r="L93" s="153" t="str">
        <f>IF(F93="","-",IF(K93&lt;&gt;"",VLOOKUP(K93,T100Pts!CH$4:CI$59,(2))))</f>
        <v>-</v>
      </c>
      <c r="M93" s="155"/>
      <c r="N93" s="153" t="str">
        <f>IF($L93="X","-",IF(M93="","-",IF(J93="M",VLOOKUP(M93,T100Pts!U$5:AC$86,(L93+1)),IF(J93="F",VLOOKUP(M93,T100Pts!AE$5:AM$86,(L93+1)),""))))</f>
        <v>-</v>
      </c>
      <c r="O93" s="155"/>
      <c r="P93" s="140" t="str">
        <f>IF($L93="X","-",IF(O93="","-",IF(J93="M",VLOOKUP(O93,T100Pts!AO$5:AW$126,(L93+1)),IF(J93="F",VLOOKUP(O93,T100Pts!AY$5:BG$126,(L93+1)),""))))</f>
        <v>-</v>
      </c>
      <c r="Q93" s="157"/>
      <c r="R93" s="140" t="str">
        <f>IF(OR($L93="X",$L93=6,$L93=7),"-",IF(Q93="","-",IF(J93="M",VLOOKUP(Q93,T100Pts!BI$5:BN$44,(L93+1)),IF(J93="F",VLOOKUP(Q93,T100Pts!BU$5:BZ$44,(L93+1)),""))))</f>
        <v>-</v>
      </c>
      <c r="S93" s="155"/>
      <c r="T93" s="140" t="str">
        <f>IF($L93="X","-",IF(S93="","-",IF(J93="M",VLOOKUP(S93,T100Pts!A$5:I$1146,(L93+1)),IF(J93="F",VLOOKUP(S93,T100Pts!K$5:S$1147,(L93+1)),""))))</f>
        <v>-</v>
      </c>
      <c r="U93" s="141" t="str">
        <f t="shared" si="17"/>
        <v>-</v>
      </c>
      <c r="V93" s="79" t="str">
        <f t="shared" si="18"/>
        <v>-</v>
      </c>
      <c r="W93" s="155"/>
      <c r="X93" s="116" t="str">
        <f>IF($L93="X","-",IF(W93="","-",IF(J93="M",VLOOKUP(W93,T100Pts!U$5:AC$86,(L93+1)),IF(J93="F",VLOOKUP(W93,T100Pts!AE$5:AM$86,(L93+1)),""))))</f>
        <v>-</v>
      </c>
      <c r="Y93" s="163"/>
      <c r="Z93" s="116" t="str">
        <f>IF($L93="X","-",IF(Y93="","-",IF(J93="M",VLOOKUP(Y93,T100Pts!AO$5:AW$126,(L93+1)),IF(J93="F",VLOOKUP(Y93,T100Pts!AY$5:BG$126,(L93+1)),""))))</f>
        <v>-</v>
      </c>
      <c r="AA93" s="165"/>
      <c r="AB93" s="116" t="str">
        <f>IF(OR($L93="X",$L93=6,$L93=7),"-",IF(AA93="","-",IF(J93="M",VLOOKUP(AA93,T100Pts!BI$5:BN$44,(L93+1)),IF(J93="F",VLOOKUP(AA93,T100Pts!BU$5:BZ$44,(L93+1)),""))))</f>
        <v>-</v>
      </c>
      <c r="AC93" s="228"/>
      <c r="AD93" s="116" t="str">
        <f>IF($L93="X","-",IF(AC93="","-",IF(J93="M",VLOOKUP(AC93,T100Pts!A$5:I$1146,(L93+1)),IF(J93="F",VLOOKUP(AC93,T100Pts!K$5:S$1146,(L93+1)),""))))</f>
        <v>-</v>
      </c>
      <c r="AE93" s="117" t="str">
        <f t="shared" si="19"/>
        <v>-</v>
      </c>
      <c r="AF93" s="114" t="str">
        <f t="shared" si="20"/>
        <v>-</v>
      </c>
      <c r="AG93" s="115" t="e">
        <f t="shared" si="21"/>
        <v>#DIV/0!</v>
      </c>
      <c r="AH93" s="114" t="str">
        <f t="shared" si="15"/>
        <v>-</v>
      </c>
      <c r="AI93" s="161"/>
      <c r="AJ93" s="77" t="str">
        <f t="shared" si="16"/>
        <v/>
      </c>
      <c r="AK93" s="77"/>
    </row>
    <row r="94" spans="1:37" ht="15.75" customHeight="1" x14ac:dyDescent="0.2">
      <c r="A94" s="138">
        <v>81</v>
      </c>
      <c r="B94" s="172"/>
      <c r="C94" s="137"/>
      <c r="D94" s="169"/>
      <c r="E94" s="170"/>
      <c r="F94" s="173"/>
      <c r="G94" s="172"/>
      <c r="H94" s="172"/>
      <c r="I94" s="139" t="str">
        <f t="shared" si="22"/>
        <v>-</v>
      </c>
      <c r="J94" s="203" t="s">
        <v>139</v>
      </c>
      <c r="K94" s="153" t="str">
        <f t="shared" si="23"/>
        <v>-</v>
      </c>
      <c r="L94" s="153" t="str">
        <f>IF(F94="","-",IF(K94&lt;&gt;"",VLOOKUP(K94,T100Pts!CH$4:CI$59,(2))))</f>
        <v>-</v>
      </c>
      <c r="M94" s="155"/>
      <c r="N94" s="153" t="str">
        <f>IF($L94="X","-",IF(M94="","-",IF(J94="M",VLOOKUP(M94,T100Pts!U$5:AC$86,(L94+1)),IF(J94="F",VLOOKUP(M94,T100Pts!AE$5:AM$86,(L94+1)),""))))</f>
        <v>-</v>
      </c>
      <c r="O94" s="155"/>
      <c r="P94" s="140" t="str">
        <f>IF($L94="X","-",IF(O94="","-",IF(J94="M",VLOOKUP(O94,T100Pts!AO$5:AW$126,(L94+1)),IF(J94="F",VLOOKUP(O94,T100Pts!AY$5:BG$126,(L94+1)),""))))</f>
        <v>-</v>
      </c>
      <c r="Q94" s="157"/>
      <c r="R94" s="140" t="str">
        <f>IF(OR($L94="X",$L94=6,$L94=7),"-",IF(Q94="","-",IF(J94="M",VLOOKUP(Q94,T100Pts!BI$5:BN$44,(L94+1)),IF(J94="F",VLOOKUP(Q94,T100Pts!BU$5:BZ$44,(L94+1)),""))))</f>
        <v>-</v>
      </c>
      <c r="S94" s="155"/>
      <c r="T94" s="140" t="str">
        <f>IF($L94="X","-",IF(S94="","-",IF(J94="M",VLOOKUP(S94,T100Pts!A$5:I$1146,(L94+1)),IF(J94="F",VLOOKUP(S94,T100Pts!K$5:S$1147,(L94+1)),""))))</f>
        <v>-</v>
      </c>
      <c r="U94" s="141" t="str">
        <f t="shared" si="17"/>
        <v>-</v>
      </c>
      <c r="V94" s="79" t="str">
        <f t="shared" si="18"/>
        <v>-</v>
      </c>
      <c r="W94" s="155"/>
      <c r="X94" s="116" t="str">
        <f>IF($L94="X","-",IF(W94="","-",IF(J94="M",VLOOKUP(W94,T100Pts!U$5:AC$86,(L94+1)),IF(J94="F",VLOOKUP(W94,T100Pts!AE$5:AM$86,(L94+1)),""))))</f>
        <v>-</v>
      </c>
      <c r="Y94" s="163"/>
      <c r="Z94" s="116" t="str">
        <f>IF($L94="X","-",IF(Y94="","-",IF(J94="M",VLOOKUP(Y94,T100Pts!AO$5:AW$126,(L94+1)),IF(J94="F",VLOOKUP(Y94,T100Pts!AY$5:BG$126,(L94+1)),""))))</f>
        <v>-</v>
      </c>
      <c r="AA94" s="165"/>
      <c r="AB94" s="116" t="str">
        <f>IF(OR($L94="X",$L94=6,$L94=7),"-",IF(AA94="","-",IF(J94="M",VLOOKUP(AA94,T100Pts!BI$5:BN$44,(L94+1)),IF(J94="F",VLOOKUP(AA94,T100Pts!BU$5:BZ$44,(L94+1)),""))))</f>
        <v>-</v>
      </c>
      <c r="AC94" s="227"/>
      <c r="AD94" s="116" t="str">
        <f>IF($L94="X","-",IF(AC94="","-",IF(J94="M",VLOOKUP(AC94,T100Pts!A$5:I$1146,(L94+1)),IF(J94="F",VLOOKUP(AC94,T100Pts!K$5:S$1146,(L94+1)),""))))</f>
        <v>-</v>
      </c>
      <c r="AE94" s="117" t="str">
        <f t="shared" si="19"/>
        <v>-</v>
      </c>
      <c r="AF94" s="114" t="str">
        <f t="shared" si="20"/>
        <v>-</v>
      </c>
      <c r="AG94" s="115" t="e">
        <f t="shared" si="21"/>
        <v>#DIV/0!</v>
      </c>
      <c r="AH94" s="114" t="str">
        <f t="shared" si="15"/>
        <v>-</v>
      </c>
      <c r="AI94" s="161"/>
      <c r="AJ94" s="77" t="str">
        <f t="shared" si="16"/>
        <v/>
      </c>
      <c r="AK94" s="77"/>
    </row>
    <row r="95" spans="1:37" ht="15.75" customHeight="1" x14ac:dyDescent="0.2">
      <c r="A95" s="138">
        <v>82</v>
      </c>
      <c r="B95" s="172"/>
      <c r="C95" s="137"/>
      <c r="D95" s="169"/>
      <c r="E95" s="170"/>
      <c r="F95" s="173"/>
      <c r="G95" s="172"/>
      <c r="H95" s="172"/>
      <c r="I95" s="139" t="str">
        <f t="shared" si="22"/>
        <v>-</v>
      </c>
      <c r="J95" s="203" t="s">
        <v>139</v>
      </c>
      <c r="K95" s="153" t="str">
        <f t="shared" si="23"/>
        <v>-</v>
      </c>
      <c r="L95" s="153" t="str">
        <f>IF(F95="","-",IF(K95&lt;&gt;"",VLOOKUP(K95,T100Pts!CH$4:CI$59,(2))))</f>
        <v>-</v>
      </c>
      <c r="M95" s="155"/>
      <c r="N95" s="153" t="str">
        <f>IF($L95="X","-",IF(M95="","-",IF(J95="M",VLOOKUP(M95,T100Pts!U$5:AC$86,(L95+1)),IF(J95="F",VLOOKUP(M95,T100Pts!AE$5:AM$86,(L95+1)),""))))</f>
        <v>-</v>
      </c>
      <c r="O95" s="155"/>
      <c r="P95" s="140" t="str">
        <f>IF($L95="X","-",IF(O95="","-",IF(J95="M",VLOOKUP(O95,T100Pts!AO$5:AW$126,(L95+1)),IF(J95="F",VLOOKUP(O95,T100Pts!AY$5:BG$126,(L95+1)),""))))</f>
        <v>-</v>
      </c>
      <c r="Q95" s="157"/>
      <c r="R95" s="140" t="str">
        <f>IF(OR($L95="X",$L95=6,$L95=7),"-",IF(Q95="","-",IF(J95="M",VLOOKUP(Q95,T100Pts!BI$5:BN$44,(L95+1)),IF(J95="F",VLOOKUP(Q95,T100Pts!BU$5:BZ$44,(L95+1)),""))))</f>
        <v>-</v>
      </c>
      <c r="S95" s="155"/>
      <c r="T95" s="140" t="str">
        <f>IF($L95="X","-",IF(S95="","-",IF(J95="M",VLOOKUP(S95,T100Pts!A$5:I$1146,(L95+1)),IF(J95="F",VLOOKUP(S95,T100Pts!K$5:S$1147,(L95+1)),""))))</f>
        <v>-</v>
      </c>
      <c r="U95" s="141" t="str">
        <f t="shared" si="17"/>
        <v>-</v>
      </c>
      <c r="V95" s="79" t="str">
        <f t="shared" si="18"/>
        <v>-</v>
      </c>
      <c r="W95" s="155"/>
      <c r="X95" s="116" t="str">
        <f>IF($L95="X","-",IF(W95="","-",IF(J95="M",VLOOKUP(W95,T100Pts!U$5:AC$86,(L95+1)),IF(J95="F",VLOOKUP(W95,T100Pts!AE$5:AM$86,(L95+1)),""))))</f>
        <v>-</v>
      </c>
      <c r="Y95" s="163"/>
      <c r="Z95" s="116" t="str">
        <f>IF($L95="X","-",IF(Y95="","-",IF(J95="M",VLOOKUP(Y95,T100Pts!AO$5:AW$126,(L95+1)),IF(J95="F",VLOOKUP(Y95,T100Pts!AY$5:BG$126,(L95+1)),""))))</f>
        <v>-</v>
      </c>
      <c r="AA95" s="165"/>
      <c r="AB95" s="116" t="str">
        <f>IF(OR($L95="X",$L95=6,$L95=7),"-",IF(AA95="","-",IF(J95="M",VLOOKUP(AA95,T100Pts!BI$5:BN$44,(L95+1)),IF(J95="F",VLOOKUP(AA95,T100Pts!BU$5:BZ$44,(L95+1)),""))))</f>
        <v>-</v>
      </c>
      <c r="AC95" s="227"/>
      <c r="AD95" s="116" t="str">
        <f>IF($L95="X","-",IF(AC95="","-",IF(J95="M",VLOOKUP(AC95,T100Pts!A$5:I$1146,(L95+1)),IF(J95="F",VLOOKUP(AC95,T100Pts!K$5:S$1146,(L95+1)),""))))</f>
        <v>-</v>
      </c>
      <c r="AE95" s="117" t="str">
        <f t="shared" si="19"/>
        <v>-</v>
      </c>
      <c r="AF95" s="114" t="str">
        <f t="shared" si="20"/>
        <v>-</v>
      </c>
      <c r="AG95" s="115" t="e">
        <f t="shared" si="21"/>
        <v>#DIV/0!</v>
      </c>
      <c r="AH95" s="114" t="str">
        <f t="shared" si="15"/>
        <v>-</v>
      </c>
      <c r="AI95" s="161"/>
      <c r="AJ95" s="77" t="str">
        <f t="shared" si="16"/>
        <v/>
      </c>
      <c r="AK95" s="77"/>
    </row>
    <row r="96" spans="1:37" ht="15.75" customHeight="1" x14ac:dyDescent="0.2">
      <c r="A96" s="138">
        <v>83</v>
      </c>
      <c r="B96" s="172"/>
      <c r="C96" s="137"/>
      <c r="D96" s="169"/>
      <c r="E96" s="170"/>
      <c r="F96" s="173"/>
      <c r="G96" s="172"/>
      <c r="H96" s="172"/>
      <c r="I96" s="139" t="str">
        <f t="shared" si="22"/>
        <v>-</v>
      </c>
      <c r="J96" s="203" t="s">
        <v>139</v>
      </c>
      <c r="K96" s="153" t="str">
        <f t="shared" si="23"/>
        <v>-</v>
      </c>
      <c r="L96" s="153" t="str">
        <f>IF(F96="","-",IF(K96&lt;&gt;"",VLOOKUP(K96,T100Pts!CH$4:CI$59,(2))))</f>
        <v>-</v>
      </c>
      <c r="M96" s="155"/>
      <c r="N96" s="153" t="str">
        <f>IF($L96="X","-",IF(M96="","-",IF(J96="M",VLOOKUP(M96,T100Pts!U$5:AC$86,(L96+1)),IF(J96="F",VLOOKUP(M96,T100Pts!AE$5:AM$86,(L96+1)),""))))</f>
        <v>-</v>
      </c>
      <c r="O96" s="155"/>
      <c r="P96" s="140" t="str">
        <f>IF($L96="X","-",IF(O96="","-",IF(J96="M",VLOOKUP(O96,T100Pts!AO$5:AW$126,(L96+1)),IF(J96="F",VLOOKUP(O96,T100Pts!AY$5:BG$126,(L96+1)),""))))</f>
        <v>-</v>
      </c>
      <c r="Q96" s="157"/>
      <c r="R96" s="140" t="str">
        <f>IF(OR($L96="X",$L96=6,$L96=7),"-",IF(Q96="","-",IF(J96="M",VLOOKUP(Q96,T100Pts!BI$5:BN$44,(L96+1)),IF(J96="F",VLOOKUP(Q96,T100Pts!BU$5:BZ$44,(L96+1)),""))))</f>
        <v>-</v>
      </c>
      <c r="S96" s="155"/>
      <c r="T96" s="140" t="str">
        <f>IF($L96="X","-",IF(S96="","-",IF(J96="M",VLOOKUP(S96,T100Pts!A$5:I$1146,(L96+1)),IF(J96="F",VLOOKUP(S96,T100Pts!K$5:S$1147,(L96+1)),""))))</f>
        <v>-</v>
      </c>
      <c r="U96" s="141" t="str">
        <f t="shared" si="17"/>
        <v>-</v>
      </c>
      <c r="V96" s="79" t="str">
        <f t="shared" si="18"/>
        <v>-</v>
      </c>
      <c r="W96" s="155"/>
      <c r="X96" s="116" t="str">
        <f>IF($L96="X","-",IF(W96="","-",IF(J96="M",VLOOKUP(W96,T100Pts!U$5:AC$86,(L96+1)),IF(J96="F",VLOOKUP(W96,T100Pts!AE$5:AM$86,(L96+1)),""))))</f>
        <v>-</v>
      </c>
      <c r="Y96" s="163"/>
      <c r="Z96" s="116" t="str">
        <f>IF($L96="X","-",IF(Y96="","-",IF(J96="M",VLOOKUP(Y96,T100Pts!AO$5:AW$126,(L96+1)),IF(J96="F",VLOOKUP(Y96,T100Pts!AY$5:BG$126,(L96+1)),""))))</f>
        <v>-</v>
      </c>
      <c r="AA96" s="165"/>
      <c r="AB96" s="116" t="str">
        <f>IF(OR($L96="X",$L96=6,$L96=7),"-",IF(AA96="","-",IF(J96="M",VLOOKUP(AA96,T100Pts!BI$5:BN$44,(L96+1)),IF(J96="F",VLOOKUP(AA96,T100Pts!BU$5:BZ$44,(L96+1)),""))))</f>
        <v>-</v>
      </c>
      <c r="AC96" s="227"/>
      <c r="AD96" s="116" t="str">
        <f>IF($L96="X","-",IF(AC96="","-",IF(J96="M",VLOOKUP(AC96,T100Pts!A$5:I$1146,(L96+1)),IF(J96="F",VLOOKUP(AC96,T100Pts!K$5:S$1146,(L96+1)),""))))</f>
        <v>-</v>
      </c>
      <c r="AE96" s="117" t="str">
        <f t="shared" si="19"/>
        <v>-</v>
      </c>
      <c r="AF96" s="114" t="str">
        <f t="shared" si="20"/>
        <v>-</v>
      </c>
      <c r="AG96" s="115" t="e">
        <f t="shared" si="21"/>
        <v>#DIV/0!</v>
      </c>
      <c r="AH96" s="114" t="str">
        <f t="shared" si="15"/>
        <v>-</v>
      </c>
      <c r="AI96" s="161"/>
      <c r="AJ96" s="77" t="str">
        <f t="shared" si="16"/>
        <v/>
      </c>
      <c r="AK96" s="77"/>
    </row>
    <row r="97" spans="1:37" ht="15.75" customHeight="1" x14ac:dyDescent="0.2">
      <c r="A97" s="138">
        <v>84</v>
      </c>
      <c r="B97" s="168"/>
      <c r="C97" s="137"/>
      <c r="D97" s="169"/>
      <c r="E97" s="183"/>
      <c r="F97" s="173"/>
      <c r="G97" s="184"/>
      <c r="H97" s="168"/>
      <c r="I97" s="139" t="str">
        <f t="shared" si="22"/>
        <v>-</v>
      </c>
      <c r="J97" s="181" t="s">
        <v>139</v>
      </c>
      <c r="K97" s="153" t="str">
        <f t="shared" si="23"/>
        <v>-</v>
      </c>
      <c r="L97" s="153" t="str">
        <f>IF(F97="","-",IF(K97&lt;&gt;"",VLOOKUP(K97,T100Pts!CH$4:CI$59,(2))))</f>
        <v>-</v>
      </c>
      <c r="M97" s="155"/>
      <c r="N97" s="153" t="str">
        <f>IF($L97="X","-",IF(M97="","-",IF(J97="M",VLOOKUP(M97,T100Pts!U$5:AC$86,(L97+1)),IF(J97="F",VLOOKUP(M97,T100Pts!AE$5:AM$86,(L97+1)),""))))</f>
        <v>-</v>
      </c>
      <c r="O97" s="155"/>
      <c r="P97" s="140" t="str">
        <f>IF($L97="X","-",IF(O97="","-",IF(J97="M",VLOOKUP(O97,T100Pts!AO$5:AW$126,(L97+1)),IF(J97="F",VLOOKUP(O97,T100Pts!AY$5:BG$126,(L97+1)),""))))</f>
        <v>-</v>
      </c>
      <c r="Q97" s="157"/>
      <c r="R97" s="140" t="str">
        <f>IF(OR($L97="X",$L97=6,$L97=7),"-",IF(Q97="","-",IF(J97="M",VLOOKUP(Q97,T100Pts!BI$5:BN$44,(L97+1)),IF(J97="F",VLOOKUP(Q97,T100Pts!BU$5:BZ$44,(L97+1)),""))))</f>
        <v>-</v>
      </c>
      <c r="S97" s="155"/>
      <c r="T97" s="140" t="str">
        <f>IF($L97="X","-",IF(S97="","-",IF(J97="M",VLOOKUP(S97,T100Pts!A$5:I$1146,(L97+1)),IF(J97="F",VLOOKUP(S97,T100Pts!K$5:S$1147,(L97+1)),""))))</f>
        <v>-</v>
      </c>
      <c r="U97" s="141" t="str">
        <f t="shared" si="17"/>
        <v>-</v>
      </c>
      <c r="V97" s="79" t="str">
        <f t="shared" si="18"/>
        <v>-</v>
      </c>
      <c r="W97" s="155"/>
      <c r="X97" s="116" t="str">
        <f>IF($L97="X","-",IF(W97="","-",IF(J97="M",VLOOKUP(W97,T100Pts!U$5:AC$86,(L97+1)),IF(J97="F",VLOOKUP(W97,T100Pts!AE$5:AM$86,(L97+1)),""))))</f>
        <v>-</v>
      </c>
      <c r="Y97" s="163"/>
      <c r="Z97" s="116" t="str">
        <f>IF($L97="X","-",IF(Y97="","-",IF(J97="M",VLOOKUP(Y97,T100Pts!AO$5:AW$126,(L97+1)),IF(J97="F",VLOOKUP(Y97,T100Pts!AY$5:BG$126,(L97+1)),""))))</f>
        <v>-</v>
      </c>
      <c r="AA97" s="165"/>
      <c r="AB97" s="116" t="str">
        <f>IF(OR($L97="X",$L97=6,$L97=7),"-",IF(AA97="","-",IF(J97="M",VLOOKUP(AA97,T100Pts!BI$5:BN$44,(L97+1)),IF(J97="F",VLOOKUP(AA97,T100Pts!BU$5:BZ$44,(L97+1)),""))))</f>
        <v>-</v>
      </c>
      <c r="AC97" s="227"/>
      <c r="AD97" s="116" t="str">
        <f>IF($L97="X","-",IF(AC97="","-",IF(J97="M",VLOOKUP(AC97,T100Pts!A$5:I$1146,(L97+1)),IF(J97="F",VLOOKUP(AC97,T100Pts!K$5:S$1146,(L97+1)),""))))</f>
        <v>-</v>
      </c>
      <c r="AE97" s="117" t="str">
        <f t="shared" si="19"/>
        <v>-</v>
      </c>
      <c r="AF97" s="114" t="str">
        <f t="shared" si="20"/>
        <v>-</v>
      </c>
      <c r="AG97" s="115" t="e">
        <f t="shared" si="21"/>
        <v>#DIV/0!</v>
      </c>
      <c r="AH97" s="114" t="str">
        <f t="shared" si="15"/>
        <v>-</v>
      </c>
      <c r="AI97" s="161"/>
      <c r="AJ97" s="77" t="str">
        <f t="shared" si="16"/>
        <v/>
      </c>
      <c r="AK97" s="77"/>
    </row>
    <row r="98" spans="1:37" ht="15.75" customHeight="1" x14ac:dyDescent="0.25">
      <c r="A98" s="138">
        <v>85</v>
      </c>
      <c r="B98" s="168"/>
      <c r="C98" s="137"/>
      <c r="D98" s="174"/>
      <c r="E98" s="175"/>
      <c r="F98" s="176"/>
      <c r="G98" s="177"/>
      <c r="H98" s="178"/>
      <c r="I98" s="139" t="str">
        <f t="shared" si="22"/>
        <v>-</v>
      </c>
      <c r="J98" s="181" t="s">
        <v>139</v>
      </c>
      <c r="K98" s="153" t="str">
        <f t="shared" si="23"/>
        <v>-</v>
      </c>
      <c r="L98" s="153" t="str">
        <f>IF(F98="","-",IF(K98&lt;&gt;"",VLOOKUP(K98,T100Pts!CH$4:CI$59,(2))))</f>
        <v>-</v>
      </c>
      <c r="M98" s="155"/>
      <c r="N98" s="153" t="str">
        <f>IF($L98="X","-",IF(M98="","-",IF(J98="M",VLOOKUP(M98,T100Pts!U$5:AC$86,(L98+1)),IF(J98="F",VLOOKUP(M98,T100Pts!AE$5:AM$86,(L98+1)),""))))</f>
        <v>-</v>
      </c>
      <c r="O98" s="155"/>
      <c r="P98" s="140" t="str">
        <f>IF($L98="X","-",IF(O98="","-",IF(J98="M",VLOOKUP(O98,T100Pts!AO$5:AW$126,(L98+1)),IF(J98="F",VLOOKUP(O98,T100Pts!AY$5:BG$126,(L98+1)),""))))</f>
        <v>-</v>
      </c>
      <c r="Q98" s="157"/>
      <c r="R98" s="140" t="str">
        <f>IF(OR($L98="X",$L98=6,$L98=7),"-",IF(Q98="","-",IF(J98="M",VLOOKUP(Q98,T100Pts!BI$5:BN$44,(L98+1)),IF(J98="F",VLOOKUP(Q98,T100Pts!BU$5:BZ$44,(L98+1)),""))))</f>
        <v>-</v>
      </c>
      <c r="S98" s="155"/>
      <c r="T98" s="140" t="str">
        <f>IF($L98="X","-",IF(S98="","-",IF(J98="M",VLOOKUP(S98,T100Pts!A$5:I$1146,(L98+1)),IF(J98="F",VLOOKUP(S98,T100Pts!K$5:S$1147,(L98+1)),""))))</f>
        <v>-</v>
      </c>
      <c r="U98" s="141" t="str">
        <f t="shared" si="17"/>
        <v>-</v>
      </c>
      <c r="V98" s="79" t="str">
        <f t="shared" si="18"/>
        <v>-</v>
      </c>
      <c r="W98" s="155"/>
      <c r="X98" s="116" t="str">
        <f>IF($L98="X","-",IF(W98="","-",IF(J98="M",VLOOKUP(W98,T100Pts!U$5:AC$86,(L98+1)),IF(J98="F",VLOOKUP(W98,T100Pts!AE$5:AM$86,(L98+1)),""))))</f>
        <v>-</v>
      </c>
      <c r="Y98" s="163"/>
      <c r="Z98" s="116" t="str">
        <f>IF($L98="X","-",IF(Y98="","-",IF(J98="M",VLOOKUP(Y98,T100Pts!AO$5:AW$126,(L98+1)),IF(J98="F",VLOOKUP(Y98,T100Pts!AY$5:BG$126,(L98+1)),""))))</f>
        <v>-</v>
      </c>
      <c r="AA98" s="165"/>
      <c r="AB98" s="116" t="str">
        <f>IF(OR($L98="X",$L98=6,$L98=7),"-",IF(AA98="","-",IF(J98="M",VLOOKUP(AA98,T100Pts!BI$5:BN$44,(L98+1)),IF(J98="F",VLOOKUP(AA98,T100Pts!BU$5:BZ$44,(L98+1)),""))))</f>
        <v>-</v>
      </c>
      <c r="AC98" s="227"/>
      <c r="AD98" s="116" t="str">
        <f>IF($L98="X","-",IF(AC98="","-",IF(J98="M",VLOOKUP(AC98,T100Pts!A$5:I$1146,(L98+1)),IF(J98="F",VLOOKUP(AC98,T100Pts!K$5:S$1146,(L98+1)),""))))</f>
        <v>-</v>
      </c>
      <c r="AE98" s="117" t="str">
        <f t="shared" si="19"/>
        <v>-</v>
      </c>
      <c r="AF98" s="114" t="str">
        <f t="shared" si="20"/>
        <v>-</v>
      </c>
      <c r="AG98" s="115" t="e">
        <f t="shared" si="21"/>
        <v>#DIV/0!</v>
      </c>
      <c r="AH98" s="114" t="str">
        <f t="shared" si="15"/>
        <v>-</v>
      </c>
      <c r="AI98" s="161"/>
      <c r="AJ98" s="77" t="str">
        <f t="shared" si="16"/>
        <v/>
      </c>
      <c r="AK98" s="77"/>
    </row>
    <row r="99" spans="1:37" ht="15.75" customHeight="1" x14ac:dyDescent="0.2">
      <c r="A99" s="138">
        <v>86</v>
      </c>
      <c r="B99" s="168"/>
      <c r="C99" s="137"/>
      <c r="D99" s="169"/>
      <c r="E99" s="170"/>
      <c r="F99" s="173"/>
      <c r="G99" s="168"/>
      <c r="H99" s="168"/>
      <c r="I99" s="139" t="str">
        <f t="shared" si="22"/>
        <v>-</v>
      </c>
      <c r="J99" s="203" t="s">
        <v>139</v>
      </c>
      <c r="K99" s="153" t="str">
        <f t="shared" si="23"/>
        <v>-</v>
      </c>
      <c r="L99" s="153" t="str">
        <f>IF(F99="","-",IF(K99&lt;&gt;"",VLOOKUP(K99,T100Pts!CH$4:CI$59,(2))))</f>
        <v>-</v>
      </c>
      <c r="M99" s="155"/>
      <c r="N99" s="153" t="str">
        <f>IF($L99="X","-",IF(M99="","-",IF(J99="M",VLOOKUP(M99,T100Pts!U$5:AC$86,(L99+1)),IF(J99="F",VLOOKUP(M99,T100Pts!AE$5:AM$86,(L99+1)),""))))</f>
        <v>-</v>
      </c>
      <c r="O99" s="155"/>
      <c r="P99" s="140" t="str">
        <f>IF($L99="X","-",IF(O99="","-",IF(J99="M",VLOOKUP(O99,T100Pts!AO$5:AW$126,(L99+1)),IF(J99="F",VLOOKUP(O99,T100Pts!AY$5:BG$126,(L99+1)),""))))</f>
        <v>-</v>
      </c>
      <c r="Q99" s="157"/>
      <c r="R99" s="140" t="str">
        <f>IF(OR($L99="X",$L99=6,$L99=7),"-",IF(Q99="","-",IF(J99="M",VLOOKUP(Q99,T100Pts!BI$5:BN$44,(L99+1)),IF(J99="F",VLOOKUP(Q99,T100Pts!BU$5:BZ$44,(L99+1)),""))))</f>
        <v>-</v>
      </c>
      <c r="S99" s="155"/>
      <c r="T99" s="140" t="str">
        <f>IF($L99="X","-",IF(S99="","-",IF(J99="M",VLOOKUP(S99,T100Pts!A$5:I$1146,(L99+1)),IF(J99="F",VLOOKUP(S99,T100Pts!K$5:S$1147,(L99+1)),""))))</f>
        <v>-</v>
      </c>
      <c r="U99" s="141" t="str">
        <f t="shared" si="17"/>
        <v>-</v>
      </c>
      <c r="V99" s="79" t="str">
        <f t="shared" si="18"/>
        <v>-</v>
      </c>
      <c r="W99" s="155"/>
      <c r="X99" s="116" t="str">
        <f>IF($L99="X","-",IF(W99="","-",IF(J99="M",VLOOKUP(W99,T100Pts!U$5:AC$86,(L99+1)),IF(J99="F",VLOOKUP(W99,T100Pts!AE$5:AM$86,(L99+1)),""))))</f>
        <v>-</v>
      </c>
      <c r="Y99" s="163"/>
      <c r="Z99" s="116" t="str">
        <f>IF($L99="X","-",IF(Y99="","-",IF(J99="M",VLOOKUP(Y99,T100Pts!AO$5:AW$126,(L99+1)),IF(J99="F",VLOOKUP(Y99,T100Pts!AY$5:BG$126,(L99+1)),""))))</f>
        <v>-</v>
      </c>
      <c r="AA99" s="165"/>
      <c r="AB99" s="116" t="str">
        <f>IF(OR($L99="X",$L99=6,$L99=7),"-",IF(AA99="","-",IF(J99="M",VLOOKUP(AA99,T100Pts!BI$5:BN$44,(L99+1)),IF(J99="F",VLOOKUP(AA99,T100Pts!BU$5:BZ$44,(L99+1)),""))))</f>
        <v>-</v>
      </c>
      <c r="AC99" s="163"/>
      <c r="AD99" s="116" t="str">
        <f>IF($L99="X","-",IF(AC99="","-",IF(J99="M",VLOOKUP(AC99,T100Pts!A$5:I$1146,(L99+1)),IF(J99="F",VLOOKUP(AC99,T100Pts!K$5:S$1146,(L99+1)),""))))</f>
        <v>-</v>
      </c>
      <c r="AE99" s="117" t="str">
        <f t="shared" si="19"/>
        <v>-</v>
      </c>
      <c r="AF99" s="114" t="str">
        <f t="shared" si="20"/>
        <v>-</v>
      </c>
      <c r="AG99" s="115" t="e">
        <f t="shared" si="21"/>
        <v>#DIV/0!</v>
      </c>
      <c r="AH99" s="114" t="str">
        <f t="shared" si="15"/>
        <v>-</v>
      </c>
      <c r="AI99" s="161" t="s">
        <v>207</v>
      </c>
      <c r="AJ99" s="77" t="str">
        <f t="shared" si="16"/>
        <v/>
      </c>
      <c r="AK99" s="77"/>
    </row>
    <row r="100" spans="1:37" ht="15.75" customHeight="1" x14ac:dyDescent="0.2">
      <c r="A100" s="138">
        <v>87</v>
      </c>
      <c r="B100" s="168"/>
      <c r="C100" s="137"/>
      <c r="D100" s="169"/>
      <c r="E100" s="170"/>
      <c r="F100" s="173"/>
      <c r="G100" s="168"/>
      <c r="H100" s="168"/>
      <c r="I100" s="139" t="str">
        <f t="shared" si="22"/>
        <v>-</v>
      </c>
      <c r="J100" s="203" t="s">
        <v>139</v>
      </c>
      <c r="K100" s="153" t="str">
        <f t="shared" si="23"/>
        <v>-</v>
      </c>
      <c r="L100" s="153" t="str">
        <f>IF(F100="","-",IF(K100&lt;&gt;"",VLOOKUP(K100,T100Pts!CH$4:CI$59,(2))))</f>
        <v>-</v>
      </c>
      <c r="M100" s="155"/>
      <c r="N100" s="153" t="str">
        <f>IF($L100="X","-",IF(M100="","-",IF(J100="M",VLOOKUP(M100,T100Pts!U$5:AC$86,(L100+1)),IF(J100="F",VLOOKUP(M100,T100Pts!AE$5:AM$86,(L100+1)),""))))</f>
        <v>-</v>
      </c>
      <c r="O100" s="155"/>
      <c r="P100" s="140" t="str">
        <f>IF($L100="X","-",IF(O100="","-",IF(J100="M",VLOOKUP(O100,T100Pts!AO$5:AW$126,(L100+1)),IF(J100="F",VLOOKUP(O100,T100Pts!AY$5:BG$126,(L100+1)),""))))</f>
        <v>-</v>
      </c>
      <c r="Q100" s="157"/>
      <c r="R100" s="140" t="str">
        <f>IF(OR($L100="X",$L100=6,$L100=7),"-",IF(Q100="","-",IF(J100="M",VLOOKUP(Q100,T100Pts!BI$5:BN$44,(L100+1)),IF(J100="F",VLOOKUP(Q100,T100Pts!BU$5:BZ$44,(L100+1)),""))))</f>
        <v>-</v>
      </c>
      <c r="S100" s="155"/>
      <c r="T100" s="140" t="str">
        <f>IF($L100="X","-",IF(S100="","-",IF(J100="M",VLOOKUP(S100,T100Pts!A$5:I$1146,(L100+1)),IF(J100="F",VLOOKUP(S100,T100Pts!K$5:S$1147,(L100+1)),""))))</f>
        <v>-</v>
      </c>
      <c r="U100" s="141" t="str">
        <f t="shared" si="17"/>
        <v>-</v>
      </c>
      <c r="V100" s="79" t="str">
        <f t="shared" si="18"/>
        <v>-</v>
      </c>
      <c r="W100" s="155"/>
      <c r="X100" s="116" t="str">
        <f>IF($L100="X","-",IF(W100="","-",IF(J100="M",VLOOKUP(W100,T100Pts!U$5:AC$86,(L100+1)),IF(J100="F",VLOOKUP(W100,T100Pts!AE$5:AM$86,(L100+1)),""))))</f>
        <v>-</v>
      </c>
      <c r="Y100" s="163"/>
      <c r="Z100" s="116" t="str">
        <f>IF($L100="X","-",IF(Y100="","-",IF(J100="M",VLOOKUP(Y100,T100Pts!AO$5:AW$126,(L100+1)),IF(J100="F",VLOOKUP(Y100,T100Pts!AY$5:BG$126,(L100+1)),""))))</f>
        <v>-</v>
      </c>
      <c r="AA100" s="165"/>
      <c r="AB100" s="116" t="str">
        <f>IF(OR($L100="X",$L100=6,$L100=7),"-",IF(AA100="","-",IF(J100="M",VLOOKUP(AA100,T100Pts!BI$5:BN$44,(L100+1)),IF(J100="F",VLOOKUP(AA100,T100Pts!BU$5:BZ$44,(L100+1)),""))))</f>
        <v>-</v>
      </c>
      <c r="AC100" s="228"/>
      <c r="AD100" s="116" t="str">
        <f>IF($L100="X","-",IF(AC100="","-",IF(J100="M",VLOOKUP(AC100,T100Pts!A$5:I$1146,(L100+1)),IF(J100="F",VLOOKUP(AC100,T100Pts!K$5:S$1146,(L100+1)),""))))</f>
        <v>-</v>
      </c>
      <c r="AE100" s="117" t="str">
        <f t="shared" si="19"/>
        <v>-</v>
      </c>
      <c r="AF100" s="114" t="str">
        <f t="shared" si="20"/>
        <v>-</v>
      </c>
      <c r="AG100" s="115" t="e">
        <f t="shared" si="21"/>
        <v>#DIV/0!</v>
      </c>
      <c r="AH100" s="114" t="str">
        <f t="shared" si="15"/>
        <v>-</v>
      </c>
      <c r="AI100" s="161"/>
      <c r="AJ100" s="77" t="str">
        <f t="shared" si="16"/>
        <v/>
      </c>
      <c r="AK100" s="77"/>
    </row>
    <row r="101" spans="1:37" ht="15.75" customHeight="1" x14ac:dyDescent="0.2">
      <c r="A101" s="138">
        <v>88</v>
      </c>
      <c r="B101" s="168"/>
      <c r="C101" s="137"/>
      <c r="D101" s="169"/>
      <c r="E101" s="183"/>
      <c r="F101" s="173"/>
      <c r="G101" s="168"/>
      <c r="H101" s="168"/>
      <c r="I101" s="139" t="str">
        <f t="shared" si="22"/>
        <v>-</v>
      </c>
      <c r="J101" s="203" t="s">
        <v>139</v>
      </c>
      <c r="K101" s="153" t="str">
        <f t="shared" si="23"/>
        <v>-</v>
      </c>
      <c r="L101" s="153" t="str">
        <f>IF(F101="","-",IF(K101&lt;&gt;"",VLOOKUP(K101,T100Pts!CH$4:CI$59,(2))))</f>
        <v>-</v>
      </c>
      <c r="M101" s="155"/>
      <c r="N101" s="153" t="str">
        <f>IF($L101="X","-",IF(M101="","-",IF(J101="M",VLOOKUP(M101,T100Pts!U$5:AC$86,(L101+1)),IF(J101="F",VLOOKUP(M101,T100Pts!AE$5:AM$86,(L101+1)),""))))</f>
        <v>-</v>
      </c>
      <c r="O101" s="155"/>
      <c r="P101" s="140" t="str">
        <f>IF($L101="X","-",IF(O101="","-",IF(J101="M",VLOOKUP(O101,T100Pts!AO$5:AW$126,(L101+1)),IF(J101="F",VLOOKUP(O101,T100Pts!AY$5:BG$126,(L101+1)),""))))</f>
        <v>-</v>
      </c>
      <c r="Q101" s="157"/>
      <c r="R101" s="140" t="str">
        <f>IF(OR($L101="X",$L101=6,$L101=7),"-",IF(Q101="","-",IF(J101="M",VLOOKUP(Q101,T100Pts!BI$5:BN$44,(L101+1)),IF(J101="F",VLOOKUP(Q101,T100Pts!BU$5:BZ$44,(L101+1)),""))))</f>
        <v>-</v>
      </c>
      <c r="S101" s="155"/>
      <c r="T101" s="140" t="str">
        <f>IF($L101="X","-",IF(S101="","-",IF(J101="M",VLOOKUP(S101,T100Pts!A$5:I$1146,(L101+1)),IF(J101="F",VLOOKUP(S101,T100Pts!K$5:S$1147,(L101+1)),""))))</f>
        <v>-</v>
      </c>
      <c r="U101" s="141" t="str">
        <f t="shared" si="17"/>
        <v>-</v>
      </c>
      <c r="V101" s="79" t="str">
        <f t="shared" si="18"/>
        <v>-</v>
      </c>
      <c r="W101" s="155"/>
      <c r="X101" s="116" t="str">
        <f>IF($L101="X","-",IF(W101="","-",IF(J101="M",VLOOKUP(W101,T100Pts!U$5:AC$86,(L101+1)),IF(J101="F",VLOOKUP(W101,T100Pts!AE$5:AM$86,(L101+1)),""))))</f>
        <v>-</v>
      </c>
      <c r="Y101" s="163"/>
      <c r="Z101" s="116" t="str">
        <f>IF($L101="X","-",IF(Y101="","-",IF(J101="M",VLOOKUP(Y101,T100Pts!AO$5:AW$126,(L101+1)),IF(J101="F",VLOOKUP(Y101,T100Pts!AY$5:BG$126,(L101+1)),""))))</f>
        <v>-</v>
      </c>
      <c r="AA101" s="165"/>
      <c r="AB101" s="116" t="str">
        <f>IF(OR($L101="X",$L101=6,$L101=7),"-",IF(AA101="","-",IF(J101="M",VLOOKUP(AA101,T100Pts!BI$5:BN$44,(L101+1)),IF(J101="F",VLOOKUP(AA101,T100Pts!BU$5:BZ$44,(L101+1)),""))))</f>
        <v>-</v>
      </c>
      <c r="AC101" s="228"/>
      <c r="AD101" s="116" t="str">
        <f>IF($L101="X","-",IF(AC101="","-",IF(J101="M",VLOOKUP(AC101,T100Pts!A$5:I$1146,(L101+1)),IF(J101="F",VLOOKUP(AC101,T100Pts!K$5:S$1146,(L101+1)),""))))</f>
        <v>-</v>
      </c>
      <c r="AE101" s="117" t="str">
        <f t="shared" si="19"/>
        <v>-</v>
      </c>
      <c r="AF101" s="114" t="str">
        <f t="shared" si="20"/>
        <v>-</v>
      </c>
      <c r="AG101" s="115" t="e">
        <f t="shared" si="21"/>
        <v>#DIV/0!</v>
      </c>
      <c r="AH101" s="114" t="str">
        <f t="shared" si="15"/>
        <v>-</v>
      </c>
      <c r="AI101" s="161"/>
      <c r="AJ101" s="77" t="str">
        <f t="shared" si="16"/>
        <v/>
      </c>
      <c r="AK101" s="77"/>
    </row>
    <row r="102" spans="1:37" ht="15.75" customHeight="1" x14ac:dyDescent="0.2">
      <c r="A102" s="138">
        <v>89</v>
      </c>
      <c r="B102" s="168"/>
      <c r="C102" s="137"/>
      <c r="D102" s="169"/>
      <c r="E102" s="170"/>
      <c r="F102" s="173"/>
      <c r="G102" s="172"/>
      <c r="H102" s="172"/>
      <c r="I102" s="139" t="str">
        <f t="shared" si="22"/>
        <v>-</v>
      </c>
      <c r="J102" s="203" t="s">
        <v>139</v>
      </c>
      <c r="K102" s="153" t="str">
        <f t="shared" si="23"/>
        <v>-</v>
      </c>
      <c r="L102" s="153" t="str">
        <f>IF(F102="","-",IF(K102&lt;&gt;"",VLOOKUP(K102,T100Pts!CH$4:CI$59,(2))))</f>
        <v>-</v>
      </c>
      <c r="M102" s="155"/>
      <c r="N102" s="153" t="str">
        <f>IF($L102="X","-",IF(M102="","-",IF(J102="M",VLOOKUP(M102,T100Pts!U$5:AC$86,(L102+1)),IF(J102="F",VLOOKUP(M102,T100Pts!AE$5:AM$86,(L102+1)),""))))</f>
        <v>-</v>
      </c>
      <c r="O102" s="155"/>
      <c r="P102" s="140" t="str">
        <f>IF($L102="X","-",IF(O102="","-",IF(J102="M",VLOOKUP(O102,T100Pts!AO$5:AW$126,(L102+1)),IF(J102="F",VLOOKUP(O102,T100Pts!AY$5:BG$126,(L102+1)),""))))</f>
        <v>-</v>
      </c>
      <c r="Q102" s="157"/>
      <c r="R102" s="140" t="str">
        <f>IF(OR($L102="X",$L102=6,$L102=7),"-",IF(Q102="","-",IF(J102="M",VLOOKUP(Q102,T100Pts!BI$5:BN$44,(L102+1)),IF(J102="F",VLOOKUP(Q102,T100Pts!BU$5:BZ$44,(L102+1)),""))))</f>
        <v>-</v>
      </c>
      <c r="S102" s="155"/>
      <c r="T102" s="140" t="str">
        <f>IF($L102="X","-",IF(S102="","-",IF(J102="M",VLOOKUP(S102,T100Pts!A$5:I$1146,(L102+1)),IF(J102="F",VLOOKUP(S102,T100Pts!K$5:S$1147,(L102+1)),""))))</f>
        <v>-</v>
      </c>
      <c r="U102" s="141" t="str">
        <f t="shared" si="17"/>
        <v>-</v>
      </c>
      <c r="V102" s="79" t="str">
        <f t="shared" si="18"/>
        <v>-</v>
      </c>
      <c r="W102" s="155"/>
      <c r="X102" s="116" t="str">
        <f>IF($L102="X","-",IF(W102="","-",IF(J102="M",VLOOKUP(W102,T100Pts!U$5:AC$86,(L102+1)),IF(J102="F",VLOOKUP(W102,T100Pts!AE$5:AM$86,(L102+1)),""))))</f>
        <v>-</v>
      </c>
      <c r="Y102" s="163"/>
      <c r="Z102" s="116" t="str">
        <f>IF($L102="X","-",IF(Y102="","-",IF(J102="M",VLOOKUP(Y102,T100Pts!AO$5:AW$126,(L102+1)),IF(J102="F",VLOOKUP(Y102,T100Pts!AY$5:BG$126,(L102+1)),""))))</f>
        <v>-</v>
      </c>
      <c r="AA102" s="165"/>
      <c r="AB102" s="116" t="str">
        <f>IF(OR($L102="X",$L102=6,$L102=7),"-",IF(AA102="","-",IF(J102="M",VLOOKUP(AA102,T100Pts!BI$5:BN$44,(L102+1)),IF(J102="F",VLOOKUP(AA102,T100Pts!BU$5:BZ$44,(L102+1)),""))))</f>
        <v>-</v>
      </c>
      <c r="AC102" s="163"/>
      <c r="AD102" s="116" t="str">
        <f>IF($L102="X","-",IF(AC102="","-",IF(J102="M",VLOOKUP(AC102,T100Pts!A$5:I$1146,(L102+1)),IF(J102="F",VLOOKUP(AC102,T100Pts!K$5:S$1146,(L102+1)),""))))</f>
        <v>-</v>
      </c>
      <c r="AE102" s="117" t="str">
        <f t="shared" si="19"/>
        <v>-</v>
      </c>
      <c r="AF102" s="114" t="str">
        <f t="shared" si="20"/>
        <v>-</v>
      </c>
      <c r="AG102" s="115" t="e">
        <f t="shared" si="21"/>
        <v>#DIV/0!</v>
      </c>
      <c r="AH102" s="114" t="str">
        <f t="shared" si="15"/>
        <v>-</v>
      </c>
      <c r="AI102" s="161"/>
      <c r="AJ102" s="77" t="str">
        <f t="shared" si="16"/>
        <v/>
      </c>
      <c r="AK102" s="77"/>
    </row>
    <row r="103" spans="1:37" ht="15.75" customHeight="1" x14ac:dyDescent="0.2">
      <c r="A103" s="138">
        <v>90</v>
      </c>
      <c r="B103" s="168"/>
      <c r="C103" s="137"/>
      <c r="D103" s="169"/>
      <c r="E103" s="170"/>
      <c r="F103" s="173"/>
      <c r="G103" s="172"/>
      <c r="H103" s="172"/>
      <c r="I103" s="139" t="str">
        <f t="shared" si="22"/>
        <v>-</v>
      </c>
      <c r="J103" s="203" t="s">
        <v>139</v>
      </c>
      <c r="K103" s="153" t="str">
        <f t="shared" si="23"/>
        <v>-</v>
      </c>
      <c r="L103" s="153" t="str">
        <f>IF(F103="","-",IF(K103&lt;&gt;"",VLOOKUP(K103,T100Pts!CH$4:CI$59,(2))))</f>
        <v>-</v>
      </c>
      <c r="M103" s="155"/>
      <c r="N103" s="153" t="str">
        <f>IF($L103="X","-",IF(M103="","-",IF(J103="M",VLOOKUP(M103,T100Pts!U$5:AC$86,(L103+1)),IF(J103="F",VLOOKUP(M103,T100Pts!AE$5:AM$86,(L103+1)),""))))</f>
        <v>-</v>
      </c>
      <c r="O103" s="155"/>
      <c r="P103" s="140" t="str">
        <f>IF($L103="X","-",IF(O103="","-",IF(J103="M",VLOOKUP(O103,T100Pts!AO$5:AW$126,(L103+1)),IF(J103="F",VLOOKUP(O103,T100Pts!AY$5:BG$126,(L103+1)),""))))</f>
        <v>-</v>
      </c>
      <c r="Q103" s="157"/>
      <c r="R103" s="140" t="str">
        <f>IF(OR($L103="X",$L103=6,$L103=7),"-",IF(Q103="","-",IF(J103="M",VLOOKUP(Q103,T100Pts!BI$5:BN$44,(L103+1)),IF(J103="F",VLOOKUP(Q103,T100Pts!BU$5:BZ$44,(L103+1)),""))))</f>
        <v>-</v>
      </c>
      <c r="S103" s="155"/>
      <c r="T103" s="140" t="str">
        <f>IF($L103="X","-",IF(S103="","-",IF(J103="M",VLOOKUP(S103,T100Pts!A$5:I$1146,(L103+1)),IF(J103="F",VLOOKUP(S103,T100Pts!K$5:S$1147,(L103+1)),""))))</f>
        <v>-</v>
      </c>
      <c r="U103" s="141" t="str">
        <f t="shared" si="17"/>
        <v>-</v>
      </c>
      <c r="V103" s="79" t="str">
        <f t="shared" si="18"/>
        <v>-</v>
      </c>
      <c r="W103" s="155"/>
      <c r="X103" s="116" t="str">
        <f>IF($L103="X","-",IF(W103="","-",IF(J103="M",VLOOKUP(W103,T100Pts!U$5:AC$86,(L103+1)),IF(J103="F",VLOOKUP(W103,T100Pts!AE$5:AM$86,(L103+1)),""))))</f>
        <v>-</v>
      </c>
      <c r="Y103" s="163"/>
      <c r="Z103" s="116" t="str">
        <f>IF($L103="X","-",IF(Y103="","-",IF(J103="M",VLOOKUP(Y103,T100Pts!AO$5:AW$126,(L103+1)),IF(J103="F",VLOOKUP(Y103,T100Pts!AY$5:BG$126,(L103+1)),""))))</f>
        <v>-</v>
      </c>
      <c r="AA103" s="165"/>
      <c r="AB103" s="116" t="str">
        <f>IF(OR($L103="X",$L103=6,$L103=7),"-",IF(AA103="","-",IF(J103="M",VLOOKUP(AA103,T100Pts!BI$5:BN$44,(L103+1)),IF(J103="F",VLOOKUP(AA103,T100Pts!BU$5:BZ$44,(L103+1)),""))))</f>
        <v>-</v>
      </c>
      <c r="AC103" s="163"/>
      <c r="AD103" s="116" t="str">
        <f>IF($L103="X","-",IF(AC103="","-",IF(J103="M",VLOOKUP(AC103,T100Pts!A$5:I$1146,(L103+1)),IF(J103="F",VLOOKUP(AC103,T100Pts!K$5:S$1146,(L103+1)),""))))</f>
        <v>-</v>
      </c>
      <c r="AE103" s="117" t="str">
        <f t="shared" si="19"/>
        <v>-</v>
      </c>
      <c r="AF103" s="114" t="str">
        <f t="shared" si="20"/>
        <v>-</v>
      </c>
      <c r="AG103" s="115" t="e">
        <f t="shared" si="21"/>
        <v>#DIV/0!</v>
      </c>
      <c r="AH103" s="114" t="str">
        <f t="shared" si="15"/>
        <v>-</v>
      </c>
      <c r="AI103" s="161" t="s">
        <v>187</v>
      </c>
      <c r="AJ103" s="77" t="str">
        <f t="shared" si="16"/>
        <v/>
      </c>
      <c r="AK103" s="77"/>
    </row>
    <row r="104" spans="1:37" ht="15.75" customHeight="1" x14ac:dyDescent="0.2">
      <c r="A104" s="138">
        <v>91</v>
      </c>
      <c r="B104" s="168"/>
      <c r="C104" s="137"/>
      <c r="D104" s="169"/>
      <c r="E104" s="170"/>
      <c r="F104" s="173"/>
      <c r="G104" s="172"/>
      <c r="H104" s="172"/>
      <c r="I104" s="139" t="str">
        <f t="shared" si="22"/>
        <v>-</v>
      </c>
      <c r="J104" s="203" t="s">
        <v>140</v>
      </c>
      <c r="K104" s="153" t="str">
        <f t="shared" si="23"/>
        <v>-</v>
      </c>
      <c r="L104" s="153" t="str">
        <f>IF(F104="","-",IF(K104&lt;&gt;"",VLOOKUP(K104,T100Pts!CH$4:CI$59,(2))))</f>
        <v>-</v>
      </c>
      <c r="M104" s="155"/>
      <c r="N104" s="153" t="str">
        <f>IF($L104="X","-",IF(M104="","-",IF(J104="M",VLOOKUP(M104,T100Pts!U$5:AC$86,(L104+1)),IF(J104="F",VLOOKUP(M104,T100Pts!AE$5:AM$86,(L104+1)),""))))</f>
        <v>-</v>
      </c>
      <c r="O104" s="155"/>
      <c r="P104" s="140" t="str">
        <f>IF($L104="X","-",IF(O104="","-",IF(J104="M",VLOOKUP(O104,T100Pts!AO$5:AW$126,(L104+1)),IF(J104="F",VLOOKUP(O104,T100Pts!AY$5:BG$126,(L104+1)),""))))</f>
        <v>-</v>
      </c>
      <c r="Q104" s="157"/>
      <c r="R104" s="140" t="str">
        <f>IF(OR($L104="X",$L104=6,$L104=7),"-",IF(Q104="","-",IF(J104="M",VLOOKUP(Q104,T100Pts!BI$5:BN$44,(L104+1)),IF(J104="F",VLOOKUP(Q104,T100Pts!BU$5:BZ$44,(L104+1)),""))))</f>
        <v>-</v>
      </c>
      <c r="S104" s="155"/>
      <c r="T104" s="140" t="str">
        <f>IF($L104="X","-",IF(S104="","-",IF(J104="M",VLOOKUP(S104,T100Pts!A$5:I$1146,(L104+1)),IF(J104="F",VLOOKUP(S104,T100Pts!K$5:S$1147,(L104+1)),""))))</f>
        <v>-</v>
      </c>
      <c r="U104" s="141" t="str">
        <f t="shared" si="17"/>
        <v>-</v>
      </c>
      <c r="V104" s="79" t="str">
        <f t="shared" si="18"/>
        <v>-</v>
      </c>
      <c r="W104" s="155"/>
      <c r="X104" s="116" t="str">
        <f>IF($L104="X","-",IF(W104="","-",IF(J104="M",VLOOKUP(W104,T100Pts!U$5:AC$86,(L104+1)),IF(J104="F",VLOOKUP(W104,T100Pts!AE$5:AM$86,(L104+1)),""))))</f>
        <v>-</v>
      </c>
      <c r="Y104" s="163"/>
      <c r="Z104" s="116" t="str">
        <f>IF($L104="X","-",IF(Y104="","-",IF(J104="M",VLOOKUP(Y104,T100Pts!AO$5:AW$126,(L104+1)),IF(J104="F",VLOOKUP(Y104,T100Pts!AY$5:BG$126,(L104+1)),""))))</f>
        <v>-</v>
      </c>
      <c r="AA104" s="165"/>
      <c r="AB104" s="116" t="str">
        <f>IF(OR($L104="X",$L104=6,$L104=7),"-",IF(AA104="","-",IF(J104="M",VLOOKUP(AA104,T100Pts!BI$5:BN$44,(L104+1)),IF(J104="F",VLOOKUP(AA104,T100Pts!BU$5:BZ$44,(L104+1)),""))))</f>
        <v>-</v>
      </c>
      <c r="AC104" s="227"/>
      <c r="AD104" s="116" t="str">
        <f>IF($L104="X","-",IF(AC104="","-",IF(J104="M",VLOOKUP(AC104,T100Pts!A$5:I$1146,(L104+1)),IF(J104="F",VLOOKUP(AC104,T100Pts!K$5:S$1146,(L104+1)),""))))</f>
        <v>-</v>
      </c>
      <c r="AE104" s="117" t="str">
        <f t="shared" si="19"/>
        <v>-</v>
      </c>
      <c r="AF104" s="114" t="str">
        <f t="shared" si="20"/>
        <v>-</v>
      </c>
      <c r="AG104" s="115" t="e">
        <f t="shared" si="21"/>
        <v>#DIV/0!</v>
      </c>
      <c r="AH104" s="114" t="str">
        <f t="shared" si="15"/>
        <v>-</v>
      </c>
      <c r="AI104" s="161"/>
      <c r="AJ104" s="77" t="str">
        <f t="shared" si="16"/>
        <v/>
      </c>
      <c r="AK104" s="77"/>
    </row>
    <row r="105" spans="1:37" ht="15.75" customHeight="1" x14ac:dyDescent="0.2">
      <c r="A105" s="138">
        <v>92</v>
      </c>
      <c r="B105" s="168"/>
      <c r="C105" s="137"/>
      <c r="D105" s="169"/>
      <c r="E105" s="183"/>
      <c r="F105" s="173"/>
      <c r="G105" s="168"/>
      <c r="H105" s="168"/>
      <c r="I105" s="139" t="str">
        <f t="shared" si="22"/>
        <v>-</v>
      </c>
      <c r="J105" s="203" t="s">
        <v>139</v>
      </c>
      <c r="K105" s="153" t="str">
        <f t="shared" si="23"/>
        <v>-</v>
      </c>
      <c r="L105" s="153" t="str">
        <f>IF(F105="","-",IF(K105&lt;&gt;"",VLOOKUP(K105,T100Pts!CH$4:CI$59,(2))))</f>
        <v>-</v>
      </c>
      <c r="M105" s="155"/>
      <c r="N105" s="153" t="str">
        <f>IF($L105="X","-",IF(M105="","-",IF(J105="M",VLOOKUP(M105,T100Pts!U$5:AC$86,(L105+1)),IF(J105="F",VLOOKUP(M105,T100Pts!AE$5:AM$86,(L105+1)),""))))</f>
        <v>-</v>
      </c>
      <c r="O105" s="155"/>
      <c r="P105" s="140" t="str">
        <f>IF($L105="X","-",IF(O105="","-",IF(J105="M",VLOOKUP(O105,T100Pts!AO$5:AW$126,(L105+1)),IF(J105="F",VLOOKUP(O105,T100Pts!AY$5:BG$126,(L105+1)),""))))</f>
        <v>-</v>
      </c>
      <c r="Q105" s="157"/>
      <c r="R105" s="140" t="str">
        <f>IF(OR($L105="X",$L105=6,$L105=7),"-",IF(Q105="","-",IF(J105="M",VLOOKUP(Q105,T100Pts!BI$5:BN$44,(L105+1)),IF(J105="F",VLOOKUP(Q105,T100Pts!BU$5:BZ$44,(L105+1)),""))))</f>
        <v>-</v>
      </c>
      <c r="S105" s="155"/>
      <c r="T105" s="140" t="str">
        <f>IF($L105="X","-",IF(S105="","-",IF(J105="M",VLOOKUP(S105,T100Pts!A$5:I$1146,(L105+1)),IF(J105="F",VLOOKUP(S105,T100Pts!K$5:S$1147,(L105+1)),""))))</f>
        <v>-</v>
      </c>
      <c r="U105" s="141" t="str">
        <f t="shared" si="17"/>
        <v>-</v>
      </c>
      <c r="V105" s="79" t="str">
        <f t="shared" si="18"/>
        <v>-</v>
      </c>
      <c r="W105" s="155"/>
      <c r="X105" s="116" t="str">
        <f>IF($L105="X","-",IF(W105="","-",IF(J105="M",VLOOKUP(W105,T100Pts!U$5:AC$86,(L105+1)),IF(J105="F",VLOOKUP(W105,T100Pts!AE$5:AM$86,(L105+1)),""))))</f>
        <v>-</v>
      </c>
      <c r="Y105" s="163"/>
      <c r="Z105" s="116" t="str">
        <f>IF($L105="X","-",IF(Y105="","-",IF(J105="M",VLOOKUP(Y105,T100Pts!AO$5:AW$126,(L105+1)),IF(J105="F",VLOOKUP(Y105,T100Pts!AY$5:BG$126,(L105+1)),""))))</f>
        <v>-</v>
      </c>
      <c r="AA105" s="165"/>
      <c r="AB105" s="116" t="str">
        <f>IF(OR($L105="X",$L105=6,$L105=7),"-",IF(AA105="","-",IF(J105="M",VLOOKUP(AA105,T100Pts!BI$5:BN$44,(L105+1)),IF(J105="F",VLOOKUP(AA105,T100Pts!BU$5:BZ$44,(L105+1)),""))))</f>
        <v>-</v>
      </c>
      <c r="AC105" s="227"/>
      <c r="AD105" s="116" t="str">
        <f>IF($L105="X","-",IF(AC105="","-",IF(J105="M",VLOOKUP(AC105,T100Pts!A$5:I$1146,(L105+1)),IF(J105="F",VLOOKUP(AC105,T100Pts!K$5:S$1146,(L105+1)),""))))</f>
        <v>-</v>
      </c>
      <c r="AE105" s="117" t="str">
        <f t="shared" si="19"/>
        <v>-</v>
      </c>
      <c r="AF105" s="114" t="str">
        <f t="shared" si="20"/>
        <v>-</v>
      </c>
      <c r="AG105" s="115" t="e">
        <f t="shared" si="21"/>
        <v>#DIV/0!</v>
      </c>
      <c r="AH105" s="114" t="str">
        <f t="shared" si="15"/>
        <v>-</v>
      </c>
      <c r="AI105" s="161"/>
      <c r="AJ105" s="77" t="str">
        <f t="shared" si="16"/>
        <v/>
      </c>
      <c r="AK105" s="77"/>
    </row>
    <row r="106" spans="1:37" ht="15.75" customHeight="1" x14ac:dyDescent="0.25">
      <c r="A106" s="138">
        <v>93</v>
      </c>
      <c r="B106" s="168"/>
      <c r="C106" s="137"/>
      <c r="D106" s="174"/>
      <c r="E106" s="175"/>
      <c r="F106" s="176"/>
      <c r="G106" s="177"/>
      <c r="H106" s="178"/>
      <c r="I106" s="139" t="str">
        <f t="shared" si="22"/>
        <v>-</v>
      </c>
      <c r="J106" s="181" t="s">
        <v>139</v>
      </c>
      <c r="K106" s="153" t="str">
        <f t="shared" si="23"/>
        <v>-</v>
      </c>
      <c r="L106" s="153" t="str">
        <f>IF(F106="","-",IF(K106&lt;&gt;"",VLOOKUP(K106,T100Pts!CH$4:CI$59,(2))))</f>
        <v>-</v>
      </c>
      <c r="M106" s="155"/>
      <c r="N106" s="153" t="str">
        <f>IF($L106="X","-",IF(M106="","-",IF(J106="M",VLOOKUP(M106,T100Pts!U$5:AC$86,(L106+1)),IF(J106="F",VLOOKUP(M106,T100Pts!AE$5:AM$86,(L106+1)),""))))</f>
        <v>-</v>
      </c>
      <c r="O106" s="155"/>
      <c r="P106" s="140" t="str">
        <f>IF($L106="X","-",IF(O106="","-",IF(J106="M",VLOOKUP(O106,T100Pts!AO$5:AW$126,(L106+1)),IF(J106="F",VLOOKUP(O106,T100Pts!AY$5:BG$126,(L106+1)),""))))</f>
        <v>-</v>
      </c>
      <c r="Q106" s="157"/>
      <c r="R106" s="140" t="str">
        <f>IF(OR($L106="X",$L106=6,$L106=7),"-",IF(Q106="","-",IF(J106="M",VLOOKUP(Q106,T100Pts!BI$5:BN$44,(L106+1)),IF(J106="F",VLOOKUP(Q106,T100Pts!BU$5:BZ$44,(L106+1)),""))))</f>
        <v>-</v>
      </c>
      <c r="S106" s="155"/>
      <c r="T106" s="140" t="str">
        <f>IF($L106="X","-",IF(S106="","-",IF(J106="M",VLOOKUP(S106,T100Pts!A$5:I$1146,(L106+1)),IF(J106="F",VLOOKUP(S106,T100Pts!K$5:S$1147,(L106+1)),""))))</f>
        <v>-</v>
      </c>
      <c r="U106" s="141" t="str">
        <f t="shared" si="17"/>
        <v>-</v>
      </c>
      <c r="V106" s="79" t="str">
        <f t="shared" si="18"/>
        <v>-</v>
      </c>
      <c r="W106" s="155"/>
      <c r="X106" s="116" t="str">
        <f>IF($L106="X","-",IF(W106="","-",IF(J106="M",VLOOKUP(W106,T100Pts!U$5:AC$86,(L106+1)),IF(J106="F",VLOOKUP(W106,T100Pts!AE$5:AM$86,(L106+1)),""))))</f>
        <v>-</v>
      </c>
      <c r="Y106" s="163"/>
      <c r="Z106" s="116" t="str">
        <f>IF($L106="X","-",IF(Y106="","-",IF(J106="M",VLOOKUP(Y106,T100Pts!AO$5:AW$126,(L106+1)),IF(J106="F",VLOOKUP(Y106,T100Pts!AY$5:BG$126,(L106+1)),""))))</f>
        <v>-</v>
      </c>
      <c r="AA106" s="165"/>
      <c r="AB106" s="116" t="str">
        <f>IF(OR($L106="X",$L106=6,$L106=7),"-",IF(AA106="","-",IF(J106="M",VLOOKUP(AA106,T100Pts!BI$5:BN$44,(L106+1)),IF(J106="F",VLOOKUP(AA106,T100Pts!BU$5:BZ$44,(L106+1)),""))))</f>
        <v>-</v>
      </c>
      <c r="AC106" s="228"/>
      <c r="AD106" s="116" t="str">
        <f>IF($L106="X","-",IF(AC106="","-",IF(J106="M",VLOOKUP(AC106,T100Pts!A$5:I$1146,(L106+1)),IF(J106="F",VLOOKUP(AC106,T100Pts!K$5:S$1146,(L106+1)),""))))</f>
        <v>-</v>
      </c>
      <c r="AE106" s="117" t="str">
        <f t="shared" si="19"/>
        <v>-</v>
      </c>
      <c r="AF106" s="114" t="str">
        <f t="shared" si="20"/>
        <v>-</v>
      </c>
      <c r="AG106" s="115" t="e">
        <f t="shared" si="21"/>
        <v>#DIV/0!</v>
      </c>
      <c r="AH106" s="114" t="str">
        <f t="shared" si="15"/>
        <v>-</v>
      </c>
      <c r="AI106" s="161"/>
      <c r="AJ106" s="77" t="str">
        <f t="shared" si="16"/>
        <v/>
      </c>
      <c r="AK106" s="77"/>
    </row>
    <row r="107" spans="1:37" ht="15.75" customHeight="1" x14ac:dyDescent="0.25">
      <c r="A107" s="138">
        <v>94</v>
      </c>
      <c r="B107" s="168"/>
      <c r="C107" s="137"/>
      <c r="D107" s="174"/>
      <c r="E107" s="175"/>
      <c r="F107" s="176"/>
      <c r="G107" s="177"/>
      <c r="H107" s="178"/>
      <c r="I107" s="139" t="str">
        <f t="shared" si="22"/>
        <v>-</v>
      </c>
      <c r="J107" s="181" t="s">
        <v>139</v>
      </c>
      <c r="K107" s="153" t="str">
        <f t="shared" si="23"/>
        <v>-</v>
      </c>
      <c r="L107" s="153" t="str">
        <f>IF(F107="","-",IF(K107&lt;&gt;"",VLOOKUP(K107,T100Pts!CH$4:CI$59,(2))))</f>
        <v>-</v>
      </c>
      <c r="M107" s="155"/>
      <c r="N107" s="153" t="str">
        <f>IF($L107="X","-",IF(M107="","-",IF(J107="M",VLOOKUP(M107,T100Pts!U$5:AC$86,(L107+1)),IF(J107="F",VLOOKUP(M107,T100Pts!AE$5:AM$86,(L107+1)),""))))</f>
        <v>-</v>
      </c>
      <c r="O107" s="155"/>
      <c r="P107" s="140" t="str">
        <f>IF($L107="X","-",IF(O107="","-",IF(J107="M",VLOOKUP(O107,T100Pts!AO$5:AW$126,(L107+1)),IF(J107="F",VLOOKUP(O107,T100Pts!AY$5:BG$126,(L107+1)),""))))</f>
        <v>-</v>
      </c>
      <c r="Q107" s="157"/>
      <c r="R107" s="140" t="str">
        <f>IF(OR($L107="X",$L107=6,$L107=7),"-",IF(Q107="","-",IF(J107="M",VLOOKUP(Q107,T100Pts!BI$5:BN$44,(L107+1)),IF(J107="F",VLOOKUP(Q107,T100Pts!BU$5:BZ$44,(L107+1)),""))))</f>
        <v>-</v>
      </c>
      <c r="S107" s="155"/>
      <c r="T107" s="140" t="str">
        <f>IF($L107="X","-",IF(S107="","-",IF(J107="M",VLOOKUP(S107,T100Pts!A$5:I$1146,(L107+1)),IF(J107="F",VLOOKUP(S107,T100Pts!K$5:S$1147,(L107+1)),""))))</f>
        <v>-</v>
      </c>
      <c r="U107" s="141" t="str">
        <f t="shared" si="17"/>
        <v>-</v>
      </c>
      <c r="V107" s="79" t="str">
        <f t="shared" si="18"/>
        <v>-</v>
      </c>
      <c r="W107" s="155"/>
      <c r="X107" s="116" t="str">
        <f>IF($L107="X","-",IF(W107="","-",IF(J107="M",VLOOKUP(W107,T100Pts!U$5:AC$86,(L107+1)),IF(J107="F",VLOOKUP(W107,T100Pts!AE$5:AM$86,(L107+1)),""))))</f>
        <v>-</v>
      </c>
      <c r="Y107" s="163"/>
      <c r="Z107" s="116" t="str">
        <f>IF($L107="X","-",IF(Y107="","-",IF(J107="M",VLOOKUP(Y107,T100Pts!AO$5:AW$126,(L107+1)),IF(J107="F",VLOOKUP(Y107,T100Pts!AY$5:BG$126,(L107+1)),""))))</f>
        <v>-</v>
      </c>
      <c r="AA107" s="165"/>
      <c r="AB107" s="116" t="str">
        <f>IF(OR($L107="X",$L107=6,$L107=7),"-",IF(AA107="","-",IF(J107="M",VLOOKUP(AA107,T100Pts!BI$5:BN$44,(L107+1)),IF(J107="F",VLOOKUP(AA107,T100Pts!BU$5:BZ$44,(L107+1)),""))))</f>
        <v>-</v>
      </c>
      <c r="AC107" s="228"/>
      <c r="AD107" s="116" t="str">
        <f>IF($L107="X","-",IF(AC107="","-",IF(J107="M",VLOOKUP(AC107,T100Pts!A$5:I$1146,(L107+1)),IF(J107="F",VLOOKUP(AC107,T100Pts!K$5:S$1146,(L107+1)),""))))</f>
        <v>-</v>
      </c>
      <c r="AE107" s="117" t="str">
        <f t="shared" si="19"/>
        <v>-</v>
      </c>
      <c r="AF107" s="114" t="str">
        <f t="shared" si="20"/>
        <v>-</v>
      </c>
      <c r="AG107" s="115" t="e">
        <f t="shared" si="21"/>
        <v>#DIV/0!</v>
      </c>
      <c r="AH107" s="114" t="str">
        <f t="shared" si="15"/>
        <v>-</v>
      </c>
      <c r="AI107" s="161"/>
      <c r="AJ107" s="77" t="str">
        <f t="shared" si="16"/>
        <v/>
      </c>
      <c r="AK107" s="77"/>
    </row>
    <row r="108" spans="1:37" ht="15.75" customHeight="1" x14ac:dyDescent="0.2">
      <c r="A108" s="138">
        <v>95</v>
      </c>
      <c r="B108" s="168"/>
      <c r="C108" s="137"/>
      <c r="D108" s="169"/>
      <c r="E108" s="170"/>
      <c r="F108" s="173"/>
      <c r="G108" s="168"/>
      <c r="H108" s="168"/>
      <c r="I108" s="139" t="str">
        <f t="shared" si="22"/>
        <v>-</v>
      </c>
      <c r="J108" s="203" t="s">
        <v>139</v>
      </c>
      <c r="K108" s="153" t="str">
        <f t="shared" si="23"/>
        <v>-</v>
      </c>
      <c r="L108" s="153" t="str">
        <f>IF(F108="","-",IF(K108&lt;&gt;"",VLOOKUP(K108,T100Pts!CH$4:CI$59,(2))))</f>
        <v>-</v>
      </c>
      <c r="M108" s="155"/>
      <c r="N108" s="153" t="str">
        <f>IF($L108="X","-",IF(M108="","-",IF(J108="M",VLOOKUP(M108,T100Pts!U$5:AC$86,(L108+1)),IF(J108="F",VLOOKUP(M108,T100Pts!AE$5:AM$86,(L108+1)),""))))</f>
        <v>-</v>
      </c>
      <c r="O108" s="155"/>
      <c r="P108" s="140" t="str">
        <f>IF($L108="X","-",IF(O108="","-",IF(J108="M",VLOOKUP(O108,T100Pts!AO$5:AW$126,(L108+1)),IF(J108="F",VLOOKUP(O108,T100Pts!AY$5:BG$126,(L108+1)),""))))</f>
        <v>-</v>
      </c>
      <c r="Q108" s="157"/>
      <c r="R108" s="140" t="str">
        <f>IF(OR($L108="X",$L108=6,$L108=7),"-",IF(Q108="","-",IF(J108="M",VLOOKUP(Q108,T100Pts!BI$5:BN$44,(L108+1)),IF(J108="F",VLOOKUP(Q108,T100Pts!BU$5:BZ$44,(L108+1)),""))))</f>
        <v>-</v>
      </c>
      <c r="S108" s="155"/>
      <c r="T108" s="140" t="str">
        <f>IF($L108="X","-",IF(S108="","-",IF(J108="M",VLOOKUP(S108,T100Pts!A$5:I$1146,(L108+1)),IF(J108="F",VLOOKUP(S108,T100Pts!K$5:S$1147,(L108+1)),""))))</f>
        <v>-</v>
      </c>
      <c r="U108" s="141" t="str">
        <f t="shared" si="17"/>
        <v>-</v>
      </c>
      <c r="V108" s="79" t="str">
        <f t="shared" si="18"/>
        <v>-</v>
      </c>
      <c r="W108" s="155"/>
      <c r="X108" s="116" t="str">
        <f>IF($L108="X","-",IF(W108="","-",IF(J108="M",VLOOKUP(W108,T100Pts!U$5:AC$86,(L108+1)),IF(J108="F",VLOOKUP(W108,T100Pts!AE$5:AM$86,(L108+1)),""))))</f>
        <v>-</v>
      </c>
      <c r="Y108" s="163"/>
      <c r="Z108" s="116" t="str">
        <f>IF($L108="X","-",IF(Y108="","-",IF(J108="M",VLOOKUP(Y108,T100Pts!AO$5:AW$126,(L108+1)),IF(J108="F",VLOOKUP(Y108,T100Pts!AY$5:BG$126,(L108+1)),""))))</f>
        <v>-</v>
      </c>
      <c r="AA108" s="165"/>
      <c r="AB108" s="116" t="str">
        <f>IF(OR($L108="X",$L108=6,$L108=7),"-",IF(AA108="","-",IF(J108="M",VLOOKUP(AA108,T100Pts!BI$5:BN$44,(L108+1)),IF(J108="F",VLOOKUP(AA108,T100Pts!BU$5:BZ$44,(L108+1)),""))))</f>
        <v>-</v>
      </c>
      <c r="AC108" s="228"/>
      <c r="AD108" s="116" t="str">
        <f>IF($L108="X","-",IF(AC108="","-",IF(J108="M",VLOOKUP(AC108,T100Pts!A$5:I$1146,(L108+1)),IF(J108="F",VLOOKUP(AC108,T100Pts!K$5:S$1146,(L108+1)),""))))</f>
        <v>-</v>
      </c>
      <c r="AE108" s="117" t="str">
        <f t="shared" si="19"/>
        <v>-</v>
      </c>
      <c r="AF108" s="114" t="str">
        <f t="shared" si="20"/>
        <v>-</v>
      </c>
      <c r="AG108" s="115" t="e">
        <f t="shared" si="21"/>
        <v>#DIV/0!</v>
      </c>
      <c r="AH108" s="114" t="str">
        <f t="shared" si="15"/>
        <v>-</v>
      </c>
      <c r="AI108" s="161"/>
      <c r="AJ108" s="77" t="str">
        <f t="shared" si="16"/>
        <v/>
      </c>
      <c r="AK108" s="77"/>
    </row>
    <row r="109" spans="1:37" ht="15.75" customHeight="1" x14ac:dyDescent="0.2">
      <c r="A109" s="138">
        <v>96</v>
      </c>
      <c r="B109" s="168"/>
      <c r="C109" s="137"/>
      <c r="D109" s="169"/>
      <c r="E109" s="170"/>
      <c r="F109" s="173"/>
      <c r="G109" s="168"/>
      <c r="H109" s="168"/>
      <c r="I109" s="139" t="str">
        <f t="shared" si="22"/>
        <v>-</v>
      </c>
      <c r="J109" s="203" t="s">
        <v>140</v>
      </c>
      <c r="K109" s="153" t="str">
        <f t="shared" si="23"/>
        <v>-</v>
      </c>
      <c r="L109" s="153" t="str">
        <f>IF(F109="","-",IF(K109&lt;&gt;"",VLOOKUP(K109,T100Pts!CH$4:CI$59,(2))))</f>
        <v>-</v>
      </c>
      <c r="M109" s="156"/>
      <c r="N109" s="153" t="str">
        <f>IF($L109="X","-",IF(M109="","-",IF(J109="M",VLOOKUP(M109,T100Pts!U$5:AC$86,(L109+1)),IF(J109="F",VLOOKUP(M109,T100Pts!AE$5:AM$86,(L109+1)),""))))</f>
        <v>-</v>
      </c>
      <c r="O109" s="156"/>
      <c r="P109" s="140" t="str">
        <f>IF($L109="X","-",IF(O109="","-",IF(J109="M",VLOOKUP(O109,T100Pts!AO$5:AW$126,(L109+1)),IF(J109="F",VLOOKUP(O109,T100Pts!AY$5:BG$126,(L109+1)),""))))</f>
        <v>-</v>
      </c>
      <c r="Q109" s="158"/>
      <c r="R109" s="140" t="str">
        <f>IF(OR($L109="X",$L109=6,$L109=7),"-",IF(Q109="","-",IF(J109="M",VLOOKUP(Q109,T100Pts!BI$5:BN$44,(L109+1)),IF(J109="F",VLOOKUP(Q109,T100Pts!BU$5:BZ$44,(L109+1)),""))))</f>
        <v>-</v>
      </c>
      <c r="S109" s="156"/>
      <c r="T109" s="140" t="str">
        <f>IF($L109="X","-",IF(S109="","-",IF(J109="M",VLOOKUP(S109,T100Pts!A$5:I$1146,(L109+1)),IF(J109="F",VLOOKUP(S109,T100Pts!K$5:S$1147,(L109+1)),""))))</f>
        <v>-</v>
      </c>
      <c r="U109" s="141" t="str">
        <f t="shared" si="17"/>
        <v>-</v>
      </c>
      <c r="V109" s="79" t="str">
        <f t="shared" si="18"/>
        <v>-</v>
      </c>
      <c r="W109" s="156"/>
      <c r="X109" s="116" t="str">
        <f>IF($L109="X","-",IF(W109="","-",IF(J109="M",VLOOKUP(W109,T100Pts!U$5:AC$86,(L109+1)),IF(J109="F",VLOOKUP(W109,T100Pts!AE$5:AM$86,(L109+1)),""))))</f>
        <v>-</v>
      </c>
      <c r="Y109" s="164"/>
      <c r="Z109" s="116" t="str">
        <f>IF($L109="X","-",IF(Y109="","-",IF(J109="M",VLOOKUP(Y109,T100Pts!AO$5:AW$126,(L109+1)),IF(J109="F",VLOOKUP(Y109,T100Pts!AY$5:BG$126,(L109+1)),""))))</f>
        <v>-</v>
      </c>
      <c r="AA109" s="166"/>
      <c r="AB109" s="116" t="str">
        <f>IF(OR($L109="X",$L109=6,$L109=7),"-",IF(AA109="","-",IF(J109="M",VLOOKUP(AA109,T100Pts!BI$5:BN$44,(L109+1)),IF(J109="F",VLOOKUP(AA109,T100Pts!BU$5:BZ$44,(L109+1)),""))))</f>
        <v>-</v>
      </c>
      <c r="AC109" s="164"/>
      <c r="AD109" s="116" t="str">
        <f>IF($L109="X","-",IF(AC109="","-",IF(J109="M",VLOOKUP(AC109,T100Pts!A$5:I$1146,(L109+1)),IF(J109="F",VLOOKUP(AC109,T100Pts!K$5:S$1146,(L109+1)),""))))</f>
        <v>-</v>
      </c>
      <c r="AE109" s="117" t="str">
        <f t="shared" si="19"/>
        <v>-</v>
      </c>
      <c r="AF109" s="114" t="str">
        <f t="shared" si="20"/>
        <v>-</v>
      </c>
      <c r="AG109" s="115" t="e">
        <f t="shared" si="21"/>
        <v>#DIV/0!</v>
      </c>
      <c r="AH109" s="114" t="str">
        <f t="shared" si="15"/>
        <v>-</v>
      </c>
      <c r="AI109" s="161" t="s">
        <v>189</v>
      </c>
      <c r="AJ109" s="77" t="str">
        <f t="shared" ref="AJ109:AJ140" si="24">IF(OR(B109="TG",B109="GD",B109="GB",B109="CY",B109="CR",B109="TC",B109="MY",B109="CT",B109="TP",B109="TP EC",B109="TT",B109="TT EC",B109="ST",B109="ST EC"),"Oficial",IF(OR(B109="VP",B109="VS",B109="VS EC"),"Vol",IF(B109="","","Subof")))</f>
        <v/>
      </c>
      <c r="AK109" s="77"/>
    </row>
    <row r="110" spans="1:37" ht="15.75" customHeight="1" x14ac:dyDescent="0.2">
      <c r="A110" s="138">
        <v>97</v>
      </c>
      <c r="B110" s="168"/>
      <c r="C110" s="137"/>
      <c r="D110" s="169"/>
      <c r="E110" s="170"/>
      <c r="F110" s="173"/>
      <c r="G110" s="168"/>
      <c r="H110" s="168"/>
      <c r="I110" s="139" t="str">
        <f t="shared" si="22"/>
        <v>-</v>
      </c>
      <c r="J110" s="203" t="s">
        <v>139</v>
      </c>
      <c r="K110" s="153" t="str">
        <f t="shared" si="23"/>
        <v>-</v>
      </c>
      <c r="L110" s="153" t="str">
        <f>IF(F110="","-",IF(K110&lt;&gt;"",VLOOKUP(K110,T100Pts!CH$4:CI$59,(2))))</f>
        <v>-</v>
      </c>
      <c r="M110" s="155"/>
      <c r="N110" s="153" t="str">
        <f>IF($L110="X","-",IF(M110="","-",IF(J110="M",VLOOKUP(M110,T100Pts!U$5:AC$86,(L110+1)),IF(J110="F",VLOOKUP(M110,T100Pts!AE$5:AM$86,(L110+1)),""))))</f>
        <v>-</v>
      </c>
      <c r="O110" s="155"/>
      <c r="P110" s="140" t="str">
        <f>IF($L110="X","-",IF(O110="","-",IF(J110="M",VLOOKUP(O110,T100Pts!AO$5:AW$126,(L110+1)),IF(J110="F",VLOOKUP(O110,T100Pts!AY$5:BG$126,(L110+1)),""))))</f>
        <v>-</v>
      </c>
      <c r="Q110" s="157"/>
      <c r="R110" s="140" t="str">
        <f>IF(OR($L110="X",$L110=6,$L110=7),"-",IF(Q110="","-",IF(J110="M",VLOOKUP(Q110,T100Pts!BI$5:BN$44,(L110+1)),IF(J110="F",VLOOKUP(Q110,T100Pts!BU$5:BZ$44,(L110+1)),""))))</f>
        <v>-</v>
      </c>
      <c r="S110" s="155"/>
      <c r="T110" s="140" t="str">
        <f>IF($L110="X","-",IF(S110="","-",IF(J110="M",VLOOKUP(S110,T100Pts!A$5:I$1146,(L110+1)),IF(J110="F",VLOOKUP(S110,T100Pts!K$5:S$1147,(L110+1)),""))))</f>
        <v>-</v>
      </c>
      <c r="U110" s="141" t="str">
        <f t="shared" si="17"/>
        <v>-</v>
      </c>
      <c r="V110" s="79" t="str">
        <f t="shared" si="18"/>
        <v>-</v>
      </c>
      <c r="W110" s="155"/>
      <c r="X110" s="116" t="str">
        <f>IF($L110="X","-",IF(W110="","-",IF(J110="M",VLOOKUP(W110,T100Pts!U$5:AC$86,(L110+1)),IF(J110="F",VLOOKUP(W110,T100Pts!AE$5:AM$86,(L110+1)),""))))</f>
        <v>-</v>
      </c>
      <c r="Y110" s="163"/>
      <c r="Z110" s="116" t="str">
        <f>IF($L110="X","-",IF(Y110="","-",IF(J110="M",VLOOKUP(Y110,T100Pts!AO$5:AW$126,(L110+1)),IF(J110="F",VLOOKUP(Y110,T100Pts!AY$5:BG$126,(L110+1)),""))))</f>
        <v>-</v>
      </c>
      <c r="AA110" s="165"/>
      <c r="AB110" s="116" t="str">
        <f>IF(OR($L110="X",$L110=6,$L110=7),"-",IF(AA110="","-",IF(J110="M",VLOOKUP(AA110,T100Pts!BI$5:BN$44,(L110+1)),IF(J110="F",VLOOKUP(AA110,T100Pts!BU$5:BZ$44,(L110+1)),""))))</f>
        <v>-</v>
      </c>
      <c r="AC110" s="163"/>
      <c r="AD110" s="116" t="str">
        <f>IF($L110="X","-",IF(AC110="","-",IF(J110="M",VLOOKUP(AC110,T100Pts!A$5:I$1146,(L110+1)),IF(J110="F",VLOOKUP(AC110,T100Pts!K$5:S$1146,(L110+1)),""))))</f>
        <v>-</v>
      </c>
      <c r="AE110" s="117" t="str">
        <f t="shared" si="19"/>
        <v>-</v>
      </c>
      <c r="AF110" s="114" t="str">
        <f t="shared" si="20"/>
        <v>-</v>
      </c>
      <c r="AG110" s="115" t="e">
        <f t="shared" si="21"/>
        <v>#DIV/0!</v>
      </c>
      <c r="AH110" s="114" t="str">
        <f t="shared" si="15"/>
        <v>-</v>
      </c>
      <c r="AI110" s="161" t="s">
        <v>216</v>
      </c>
      <c r="AJ110" s="77" t="str">
        <f t="shared" si="24"/>
        <v/>
      </c>
      <c r="AK110" s="77"/>
    </row>
    <row r="111" spans="1:37" ht="15.75" customHeight="1" x14ac:dyDescent="0.2">
      <c r="A111" s="138">
        <v>98</v>
      </c>
      <c r="B111" s="168"/>
      <c r="C111" s="137"/>
      <c r="D111" s="169"/>
      <c r="E111" s="183"/>
      <c r="F111" s="173"/>
      <c r="G111" s="168"/>
      <c r="H111" s="168"/>
      <c r="I111" s="139" t="str">
        <f t="shared" si="22"/>
        <v>-</v>
      </c>
      <c r="J111" s="203" t="s">
        <v>140</v>
      </c>
      <c r="K111" s="153" t="str">
        <f t="shared" si="23"/>
        <v>-</v>
      </c>
      <c r="L111" s="153" t="str">
        <f>IF(F111="","-",IF(K111&lt;&gt;"",VLOOKUP(K111,T100Pts!CH$4:CI$59,(2))))</f>
        <v>-</v>
      </c>
      <c r="M111" s="155"/>
      <c r="N111" s="153" t="str">
        <f>IF($L111="X","-",IF(M111="","-",IF(J111="M",VLOOKUP(M111,T100Pts!U$5:AC$86,(L111+1)),IF(J111="F",VLOOKUP(M111,T100Pts!AE$5:AM$86,(L111+1)),""))))</f>
        <v>-</v>
      </c>
      <c r="O111" s="155"/>
      <c r="P111" s="140" t="str">
        <f>IF($L111="X","-",IF(O111="","-",IF(J111="M",VLOOKUP(O111,T100Pts!AO$5:AW$126,(L111+1)),IF(J111="F",VLOOKUP(O111,T100Pts!AY$5:BG$126,(L111+1)),""))))</f>
        <v>-</v>
      </c>
      <c r="Q111" s="157"/>
      <c r="R111" s="140" t="str">
        <f>IF(OR($L111="X",$L111=6,$L111=7),"-",IF(Q111="","-",IF(J111="M",VLOOKUP(Q111,T100Pts!BI$5:BN$44,(L111+1)),IF(J111="F",VLOOKUP(Q111,T100Pts!BU$5:BZ$44,(L111+1)),""))))</f>
        <v>-</v>
      </c>
      <c r="S111" s="155"/>
      <c r="T111" s="140" t="str">
        <f>IF($L111="X","-",IF(S111="","-",IF(J111="M",VLOOKUP(S111,T100Pts!A$5:I$1146,(L111+1)),IF(J111="F",VLOOKUP(S111,T100Pts!K$5:S$1147,(L111+1)),""))))</f>
        <v>-</v>
      </c>
      <c r="U111" s="141" t="str">
        <f t="shared" si="17"/>
        <v>-</v>
      </c>
      <c r="V111" s="79" t="str">
        <f t="shared" si="18"/>
        <v>-</v>
      </c>
      <c r="W111" s="155"/>
      <c r="X111" s="116" t="str">
        <f>IF($L111="X","-",IF(W111="","-",IF(J111="M",VLOOKUP(W111,T100Pts!U$5:AC$86,(L111+1)),IF(J111="F",VLOOKUP(W111,T100Pts!AE$5:AM$86,(L111+1)),""))))</f>
        <v>-</v>
      </c>
      <c r="Y111" s="163"/>
      <c r="Z111" s="116" t="str">
        <f>IF($L111="X","-",IF(Y111="","-",IF(J111="M",VLOOKUP(Y111,T100Pts!AO$5:AW$126,(L111+1)),IF(J111="F",VLOOKUP(Y111,T100Pts!AY$5:BG$126,(L111+1)),""))))</f>
        <v>-</v>
      </c>
      <c r="AA111" s="165"/>
      <c r="AB111" s="116" t="str">
        <f>IF(OR($L111="X",$L111=6,$L111=7),"-",IF(AA111="","-",IF(J111="M",VLOOKUP(AA111,T100Pts!BI$5:BN$44,(L111+1)),IF(J111="F",VLOOKUP(AA111,T100Pts!BU$5:BZ$44,(L111+1)),""))))</f>
        <v>-</v>
      </c>
      <c r="AC111" s="228"/>
      <c r="AD111" s="116" t="str">
        <f>IF($L111="X","-",IF(AC111="","-",IF(J111="M",VLOOKUP(AC111,T100Pts!A$5:I$1146,(L111+1)),IF(J111="F",VLOOKUP(AC111,T100Pts!K$5:S$1146,(L111+1)),""))))</f>
        <v>-</v>
      </c>
      <c r="AE111" s="117" t="str">
        <f t="shared" si="19"/>
        <v>-</v>
      </c>
      <c r="AF111" s="114" t="str">
        <f t="shared" si="20"/>
        <v>-</v>
      </c>
      <c r="AG111" s="115" t="e">
        <f t="shared" si="21"/>
        <v>#DIV/0!</v>
      </c>
      <c r="AH111" s="114" t="str">
        <f t="shared" si="15"/>
        <v>-</v>
      </c>
      <c r="AI111" s="161"/>
      <c r="AJ111" s="77" t="str">
        <f t="shared" si="24"/>
        <v/>
      </c>
      <c r="AK111" s="77"/>
    </row>
    <row r="112" spans="1:37" ht="15.75" customHeight="1" x14ac:dyDescent="0.2">
      <c r="A112" s="138">
        <v>99</v>
      </c>
      <c r="B112" s="168"/>
      <c r="C112" s="137"/>
      <c r="D112" s="169"/>
      <c r="E112" s="183"/>
      <c r="F112" s="173"/>
      <c r="G112" s="168"/>
      <c r="H112" s="168"/>
      <c r="I112" s="139" t="str">
        <f t="shared" si="22"/>
        <v>-</v>
      </c>
      <c r="J112" s="203" t="s">
        <v>139</v>
      </c>
      <c r="K112" s="153" t="str">
        <f t="shared" si="23"/>
        <v>-</v>
      </c>
      <c r="L112" s="153" t="str">
        <f>IF(F112="","-",IF(K112&lt;&gt;"",VLOOKUP(K112,T100Pts!CH$4:CI$59,(2))))</f>
        <v>-</v>
      </c>
      <c r="M112" s="155"/>
      <c r="N112" s="153" t="str">
        <f>IF($L112="X","-",IF(M112="","-",IF(J112="M",VLOOKUP(M112,T100Pts!U$5:AC$86,(L112+1)),IF(J112="F",VLOOKUP(M112,T100Pts!AE$5:AM$86,(L112+1)),""))))</f>
        <v>-</v>
      </c>
      <c r="O112" s="155"/>
      <c r="P112" s="140" t="str">
        <f>IF($L112="X","-",IF(O112="","-",IF(J112="M",VLOOKUP(O112,T100Pts!AO$5:AW$126,(L112+1)),IF(J112="F",VLOOKUP(O112,T100Pts!AY$5:BG$126,(L112+1)),""))))</f>
        <v>-</v>
      </c>
      <c r="Q112" s="157"/>
      <c r="R112" s="140" t="str">
        <f>IF(OR($L112="X",$L112=6,$L112=7),"-",IF(Q112="","-",IF(J112="M",VLOOKUP(Q112,T100Pts!BI$5:BN$44,(L112+1)),IF(J112="F",VLOOKUP(Q112,T100Pts!BU$5:BZ$44,(L112+1)),""))))</f>
        <v>-</v>
      </c>
      <c r="S112" s="155"/>
      <c r="T112" s="140" t="str">
        <f>IF($L112="X","-",IF(S112="","-",IF(J112="M",VLOOKUP(S112,T100Pts!A$5:I$1146,(L112+1)),IF(J112="F",VLOOKUP(S112,T100Pts!K$5:S$1147,(L112+1)),""))))</f>
        <v>-</v>
      </c>
      <c r="U112" s="141" t="str">
        <f t="shared" si="17"/>
        <v>-</v>
      </c>
      <c r="V112" s="79" t="str">
        <f t="shared" si="18"/>
        <v>-</v>
      </c>
      <c r="W112" s="155"/>
      <c r="X112" s="116" t="str">
        <f>IF($L112="X","-",IF(W112="","-",IF(J112="M",VLOOKUP(W112,T100Pts!U$5:AC$86,(L112+1)),IF(J112="F",VLOOKUP(W112,T100Pts!AE$5:AM$86,(L112+1)),""))))</f>
        <v>-</v>
      </c>
      <c r="Y112" s="163"/>
      <c r="Z112" s="116" t="str">
        <f>IF($L112="X","-",IF(Y112="","-",IF(J112="M",VLOOKUP(Y112,T100Pts!AO$5:AW$126,(L112+1)),IF(J112="F",VLOOKUP(Y112,T100Pts!AY$5:BG$126,(L112+1)),""))))</f>
        <v>-</v>
      </c>
      <c r="AA112" s="165"/>
      <c r="AB112" s="116" t="str">
        <f>IF(OR($L112="X",$L112=6,$L112=7),"-",IF(AA112="","-",IF(J112="M",VLOOKUP(AA112,T100Pts!BI$5:BN$44,(L112+1)),IF(J112="F",VLOOKUP(AA112,T100Pts!BU$5:BZ$44,(L112+1)),""))))</f>
        <v>-</v>
      </c>
      <c r="AC112" s="228"/>
      <c r="AD112" s="116" t="str">
        <f>IF($L112="X","-",IF(AC112="","-",IF(J112="M",VLOOKUP(AC112,T100Pts!A$5:I$1146,(L112+1)),IF(J112="F",VLOOKUP(AC112,T100Pts!K$5:S$1146,(L112+1)),""))))</f>
        <v>-</v>
      </c>
      <c r="AE112" s="117" t="str">
        <f t="shared" si="19"/>
        <v>-</v>
      </c>
      <c r="AF112" s="114" t="str">
        <f t="shared" si="20"/>
        <v>-</v>
      </c>
      <c r="AG112" s="115" t="e">
        <f t="shared" si="21"/>
        <v>#DIV/0!</v>
      </c>
      <c r="AH112" s="114" t="str">
        <f t="shared" si="15"/>
        <v>-</v>
      </c>
      <c r="AI112" s="161"/>
      <c r="AJ112" s="77" t="str">
        <f t="shared" si="24"/>
        <v/>
      </c>
      <c r="AK112" s="77"/>
    </row>
    <row r="113" spans="1:37" ht="15.75" customHeight="1" x14ac:dyDescent="0.25">
      <c r="A113" s="138">
        <v>100</v>
      </c>
      <c r="B113" s="168"/>
      <c r="C113" s="137"/>
      <c r="D113" s="174"/>
      <c r="E113" s="175"/>
      <c r="F113" s="176"/>
      <c r="G113" s="177"/>
      <c r="H113" s="178"/>
      <c r="I113" s="139" t="str">
        <f t="shared" si="22"/>
        <v>-</v>
      </c>
      <c r="J113" s="181" t="s">
        <v>139</v>
      </c>
      <c r="K113" s="153" t="str">
        <f t="shared" si="23"/>
        <v>-</v>
      </c>
      <c r="L113" s="153" t="str">
        <f>IF(F113="","-",IF(K113&lt;&gt;"",VLOOKUP(K113,T100Pts!CH$4:CI$59,(2))))</f>
        <v>-</v>
      </c>
      <c r="M113" s="155"/>
      <c r="N113" s="153" t="str">
        <f>IF($L113="X","-",IF(M113="","-",IF(J113="M",VLOOKUP(M113,T100Pts!U$5:AC$86,(L113+1)),IF(J113="F",VLOOKUP(M113,T100Pts!AE$5:AM$86,(L113+1)),""))))</f>
        <v>-</v>
      </c>
      <c r="O113" s="155"/>
      <c r="P113" s="140" t="str">
        <f>IF($L113="X","-",IF(O113="","-",IF(J113="M",VLOOKUP(O113,T100Pts!AO$5:AW$126,(L113+1)),IF(J113="F",VLOOKUP(O113,T100Pts!AY$5:BG$126,(L113+1)),""))))</f>
        <v>-</v>
      </c>
      <c r="Q113" s="157"/>
      <c r="R113" s="140" t="str">
        <f>IF(OR($L113="X",$L113=6,$L113=7),"-",IF(Q113="","-",IF(J113="M",VLOOKUP(Q113,T100Pts!BI$5:BN$44,(L113+1)),IF(J113="F",VLOOKUP(Q113,T100Pts!BU$5:BZ$44,(L113+1)),""))))</f>
        <v>-</v>
      </c>
      <c r="S113" s="155"/>
      <c r="T113" s="140" t="str">
        <f>IF($L113="X","-",IF(S113="","-",IF(J113="M",VLOOKUP(S113,T100Pts!A$5:I$1146,(L113+1)),IF(J113="F",VLOOKUP(S113,T100Pts!K$5:S$1147,(L113+1)),""))))</f>
        <v>-</v>
      </c>
      <c r="U113" s="141" t="str">
        <f t="shared" si="17"/>
        <v>-</v>
      </c>
      <c r="V113" s="79" t="str">
        <f t="shared" si="18"/>
        <v>-</v>
      </c>
      <c r="W113" s="155"/>
      <c r="X113" s="116" t="str">
        <f>IF($L113="X","-",IF(W113="","-",IF(J113="M",VLOOKUP(W113,T100Pts!U$5:AC$86,(L113+1)),IF(J113="F",VLOOKUP(W113,T100Pts!AE$5:AM$86,(L113+1)),""))))</f>
        <v>-</v>
      </c>
      <c r="Y113" s="163"/>
      <c r="Z113" s="116" t="str">
        <f>IF($L113="X","-",IF(Y113="","-",IF(J113="M",VLOOKUP(Y113,T100Pts!AO$5:AW$126,(L113+1)),IF(J113="F",VLOOKUP(Y113,T100Pts!AY$5:BG$126,(L113+1)),""))))</f>
        <v>-</v>
      </c>
      <c r="AA113" s="165"/>
      <c r="AB113" s="116" t="str">
        <f>IF(OR($L113="X",$L113=6,$L113=7),"-",IF(AA113="","-",IF(J113="M",VLOOKUP(AA113,T100Pts!BI$5:BN$44,(L113+1)),IF(J113="F",VLOOKUP(AA113,T100Pts!BU$5:BZ$44,(L113+1)),""))))</f>
        <v>-</v>
      </c>
      <c r="AC113" s="227"/>
      <c r="AD113" s="116" t="str">
        <f>IF($L113="X","-",IF(AC113="","-",IF(J113="M",VLOOKUP(AC113,T100Pts!A$5:I$1146,(L113+1)),IF(J113="F",VLOOKUP(AC113,T100Pts!K$5:S$1146,(L113+1)),""))))</f>
        <v>-</v>
      </c>
      <c r="AE113" s="117" t="str">
        <f t="shared" si="19"/>
        <v>-</v>
      </c>
      <c r="AF113" s="114" t="str">
        <f t="shared" si="20"/>
        <v>-</v>
      </c>
      <c r="AG113" s="115" t="e">
        <f t="shared" si="21"/>
        <v>#DIV/0!</v>
      </c>
      <c r="AH113" s="114" t="str">
        <f t="shared" si="15"/>
        <v>-</v>
      </c>
      <c r="AI113" s="161"/>
      <c r="AJ113" s="77" t="str">
        <f t="shared" si="24"/>
        <v/>
      </c>
      <c r="AK113" s="77"/>
    </row>
    <row r="114" spans="1:37" ht="15.75" customHeight="1" x14ac:dyDescent="0.25">
      <c r="A114" s="138">
        <v>101</v>
      </c>
      <c r="B114" s="137"/>
      <c r="C114" s="137"/>
      <c r="D114" s="174"/>
      <c r="E114" s="175"/>
      <c r="F114" s="176"/>
      <c r="G114" s="177"/>
      <c r="H114" s="178"/>
      <c r="I114" s="139" t="str">
        <f t="shared" si="22"/>
        <v>-</v>
      </c>
      <c r="J114" s="203" t="s">
        <v>139</v>
      </c>
      <c r="K114" s="153" t="str">
        <f t="shared" si="23"/>
        <v>-</v>
      </c>
      <c r="L114" s="153" t="str">
        <f>IF(F114="","-",IF(K114&lt;&gt;"",VLOOKUP(K114,T100Pts!CH$4:CI$59,(2))))</f>
        <v>-</v>
      </c>
      <c r="M114" s="155"/>
      <c r="N114" s="153" t="str">
        <f>IF($L114="X","-",IF(M114="","-",IF(J114="M",VLOOKUP(M114,T100Pts!U$5:AC$86,(L114+1)),IF(J114="F",VLOOKUP(M114,T100Pts!AE$5:AM$86,(L114+1)),""))))</f>
        <v>-</v>
      </c>
      <c r="O114" s="155"/>
      <c r="P114" s="140" t="str">
        <f>IF($L114="X","-",IF(O114="","-",IF(J114="M",VLOOKUP(O114,T100Pts!AO$5:AW$126,(L114+1)),IF(J114="F",VLOOKUP(O114,T100Pts!AY$5:BG$126,(L114+1)),""))))</f>
        <v>-</v>
      </c>
      <c r="Q114" s="157"/>
      <c r="R114" s="140" t="str">
        <f>IF(OR($L114="X",$L114=6,$L114=7),"-",IF(Q114="","-",IF(J114="M",VLOOKUP(Q114,T100Pts!BI$5:BN$44,(L114+1)),IF(J114="F",VLOOKUP(Q114,T100Pts!BU$5:BZ$44,(L114+1)),""))))</f>
        <v>-</v>
      </c>
      <c r="S114" s="155"/>
      <c r="T114" s="140" t="str">
        <f>IF($L114="X","-",IF(S114="","-",IF(J114="M",VLOOKUP(S114,T100Pts!A$5:I$1146,(L114+1)),IF(J114="F",VLOOKUP(S114,T100Pts!K$5:S$1147,(L114+1)),""))))</f>
        <v>-</v>
      </c>
      <c r="U114" s="141" t="str">
        <f t="shared" si="17"/>
        <v>-</v>
      </c>
      <c r="V114" s="79" t="str">
        <f t="shared" si="18"/>
        <v>-</v>
      </c>
      <c r="W114" s="155"/>
      <c r="X114" s="116" t="str">
        <f>IF($L114="X","-",IF(W114="","-",IF(J114="M",VLOOKUP(W114,T100Pts!U$5:AC$86,(L114+1)),IF(J114="F",VLOOKUP(W114,T100Pts!AE$5:AM$86,(L114+1)),""))))</f>
        <v>-</v>
      </c>
      <c r="Y114" s="163"/>
      <c r="Z114" s="116" t="str">
        <f>IF($L114="X","-",IF(Y114="","-",IF(J114="M",VLOOKUP(Y114,T100Pts!AO$5:AW$126,(L114+1)),IF(J114="F",VLOOKUP(Y114,T100Pts!AY$5:BG$126,(L114+1)),""))))</f>
        <v>-</v>
      </c>
      <c r="AA114" s="165"/>
      <c r="AB114" s="116" t="str">
        <f>IF(OR($L114="X",$L114=6,$L114=7),"-",IF(AA114="","-",IF(J114="M",VLOOKUP(AA114,T100Pts!BI$5:BN$44,(L114+1)),IF(J114="F",VLOOKUP(AA114,T100Pts!BU$5:BZ$44,(L114+1)),""))))</f>
        <v>-</v>
      </c>
      <c r="AC114" s="227"/>
      <c r="AD114" s="116" t="str">
        <f>IF($L114="X","-",IF(AC114="","-",IF(J114="M",VLOOKUP(AC114,T100Pts!A$5:I$1146,(L114+1)),IF(J114="F",VLOOKUP(AC114,T100Pts!K$5:S$1146,(L114+1)),""))))</f>
        <v>-</v>
      </c>
      <c r="AE114" s="117" t="str">
        <f t="shared" si="19"/>
        <v>-</v>
      </c>
      <c r="AF114" s="114" t="str">
        <f t="shared" si="20"/>
        <v>-</v>
      </c>
      <c r="AG114" s="115" t="e">
        <f t="shared" si="21"/>
        <v>#DIV/0!</v>
      </c>
      <c r="AH114" s="114" t="str">
        <f t="shared" si="15"/>
        <v>-</v>
      </c>
      <c r="AI114" s="161"/>
      <c r="AJ114" s="77" t="str">
        <f t="shared" si="24"/>
        <v/>
      </c>
    </row>
    <row r="115" spans="1:37" ht="15.75" customHeight="1" x14ac:dyDescent="0.2">
      <c r="A115" s="138">
        <v>102</v>
      </c>
      <c r="B115" s="168"/>
      <c r="C115" s="137"/>
      <c r="D115" s="169"/>
      <c r="E115" s="183"/>
      <c r="F115" s="173"/>
      <c r="G115" s="168"/>
      <c r="H115" s="168"/>
      <c r="I115" s="139" t="str">
        <f t="shared" si="22"/>
        <v>-</v>
      </c>
      <c r="J115" s="203" t="s">
        <v>139</v>
      </c>
      <c r="K115" s="153" t="str">
        <f t="shared" si="23"/>
        <v>-</v>
      </c>
      <c r="L115" s="153" t="str">
        <f>IF(F115="","-",IF(K115&lt;&gt;"",VLOOKUP(K115,T100Pts!CH$4:CI$59,(2))))</f>
        <v>-</v>
      </c>
      <c r="M115" s="155"/>
      <c r="N115" s="153" t="str">
        <f>IF($L115="X","-",IF(M115="","-",IF(J115="M",VLOOKUP(M115,T100Pts!U$5:AC$86,(L115+1)),IF(J115="F",VLOOKUP(M115,T100Pts!AE$5:AM$86,(L115+1)),""))))</f>
        <v>-</v>
      </c>
      <c r="O115" s="155"/>
      <c r="P115" s="140" t="str">
        <f>IF($L115="X","-",IF(O115="","-",IF(J115="M",VLOOKUP(O115,T100Pts!AO$5:AW$126,(L115+1)),IF(J115="F",VLOOKUP(O115,T100Pts!AY$5:BG$126,(L115+1)),""))))</f>
        <v>-</v>
      </c>
      <c r="Q115" s="157"/>
      <c r="R115" s="140" t="str">
        <f>IF(OR($L115="X",$L115=6,$L115=7),"-",IF(Q115="","-",IF(J115="M",VLOOKUP(Q115,T100Pts!BI$5:BN$44,(L115+1)),IF(J115="F",VLOOKUP(Q115,T100Pts!BU$5:BZ$44,(L115+1)),""))))</f>
        <v>-</v>
      </c>
      <c r="S115" s="155"/>
      <c r="T115" s="140" t="str">
        <f>IF($L115="X","-",IF(S115="","-",IF(J115="M",VLOOKUP(S115,T100Pts!A$5:I$1146,(L115+1)),IF(J115="F",VLOOKUP(S115,T100Pts!K$5:S$1147,(L115+1)),""))))</f>
        <v>-</v>
      </c>
      <c r="U115" s="141" t="str">
        <f t="shared" si="17"/>
        <v>-</v>
      </c>
      <c r="V115" s="79" t="str">
        <f t="shared" si="18"/>
        <v>-</v>
      </c>
      <c r="W115" s="155"/>
      <c r="X115" s="116" t="str">
        <f>IF($L115="X","-",IF(W115="","-",IF(J115="M",VLOOKUP(W115,T100Pts!U$5:AC$86,(L115+1)),IF(J115="F",VLOOKUP(W115,T100Pts!AE$5:AM$86,(L115+1)),""))))</f>
        <v>-</v>
      </c>
      <c r="Y115" s="163"/>
      <c r="Z115" s="116" t="str">
        <f>IF($L115="X","-",IF(Y115="","-",IF(J115="M",VLOOKUP(Y115,T100Pts!AO$5:AW$126,(L115+1)),IF(J115="F",VLOOKUP(Y115,T100Pts!AY$5:BG$126,(L115+1)),""))))</f>
        <v>-</v>
      </c>
      <c r="AA115" s="165"/>
      <c r="AB115" s="116" t="str">
        <f>IF(OR($L115="X",$L115=6,$L115=7),"-",IF(AA115="","-",IF(J115="M",VLOOKUP(AA115,T100Pts!BI$5:BN$44,(L115+1)),IF(J115="F",VLOOKUP(AA115,T100Pts!BU$5:BZ$44,(L115+1)),""))))</f>
        <v>-</v>
      </c>
      <c r="AC115" s="228"/>
      <c r="AD115" s="116" t="str">
        <f>IF($L115="X","-",IF(AC115="","-",IF(J115="M",VLOOKUP(AC115,T100Pts!A$5:I$1146,(L115+1)),IF(J115="F",VLOOKUP(AC115,T100Pts!K$5:S$1146,(L115+1)),""))))</f>
        <v>-</v>
      </c>
      <c r="AE115" s="117" t="str">
        <f t="shared" si="19"/>
        <v>-</v>
      </c>
      <c r="AF115" s="114" t="str">
        <f t="shared" si="20"/>
        <v>-</v>
      </c>
      <c r="AG115" s="115" t="e">
        <f t="shared" si="21"/>
        <v>#DIV/0!</v>
      </c>
      <c r="AH115" s="114" t="str">
        <f t="shared" si="15"/>
        <v>-</v>
      </c>
      <c r="AI115" s="161"/>
      <c r="AJ115" s="77" t="str">
        <f t="shared" si="24"/>
        <v/>
      </c>
    </row>
    <row r="116" spans="1:37" ht="15.75" customHeight="1" x14ac:dyDescent="0.2">
      <c r="A116" s="138">
        <v>103</v>
      </c>
      <c r="B116" s="168"/>
      <c r="C116" s="137"/>
      <c r="D116" s="169"/>
      <c r="E116" s="183"/>
      <c r="F116" s="173"/>
      <c r="G116" s="168"/>
      <c r="H116" s="168"/>
      <c r="I116" s="139" t="str">
        <f t="shared" si="22"/>
        <v>-</v>
      </c>
      <c r="J116" s="203" t="s">
        <v>139</v>
      </c>
      <c r="K116" s="153" t="str">
        <f t="shared" si="23"/>
        <v>-</v>
      </c>
      <c r="L116" s="153" t="str">
        <f>IF(F116="","-",IF(K116&lt;&gt;"",VLOOKUP(K116,T100Pts!CH$4:CI$59,(2))))</f>
        <v>-</v>
      </c>
      <c r="M116" s="155"/>
      <c r="N116" s="153" t="str">
        <f>IF($L116="X","-",IF(M116="","-",IF(J116="M",VLOOKUP(M116,T100Pts!U$5:AC$86,(L116+1)),IF(J116="F",VLOOKUP(M116,T100Pts!AE$5:AM$86,(L116+1)),""))))</f>
        <v>-</v>
      </c>
      <c r="O116" s="155"/>
      <c r="P116" s="140" t="str">
        <f>IF($L116="X","-",IF(O116="","-",IF(J116="M",VLOOKUP(O116,T100Pts!AO$5:AW$126,(L116+1)),IF(J116="F",VLOOKUP(O116,T100Pts!AY$5:BG$126,(L116+1)),""))))</f>
        <v>-</v>
      </c>
      <c r="Q116" s="157"/>
      <c r="R116" s="140" t="str">
        <f>IF(OR($L116="X",$L116=6,$L116=7),"-",IF(Q116="","-",IF(J116="M",VLOOKUP(Q116,T100Pts!BI$5:BN$44,(L116+1)),IF(J116="F",VLOOKUP(Q116,T100Pts!BU$5:BZ$44,(L116+1)),""))))</f>
        <v>-</v>
      </c>
      <c r="S116" s="155"/>
      <c r="T116" s="140" t="str">
        <f>IF($L116="X","-",IF(S116="","-",IF(J116="M",VLOOKUP(S116,T100Pts!A$5:I$1146,(L116+1)),IF(J116="F",VLOOKUP(S116,T100Pts!K$5:S$1147,(L116+1)),""))))</f>
        <v>-</v>
      </c>
      <c r="U116" s="141" t="str">
        <f t="shared" si="17"/>
        <v>-</v>
      </c>
      <c r="V116" s="79" t="str">
        <f t="shared" si="18"/>
        <v>-</v>
      </c>
      <c r="W116" s="155"/>
      <c r="X116" s="116" t="str">
        <f>IF($L116="X","-",IF(W116="","-",IF(J116="M",VLOOKUP(W116,T100Pts!U$5:AC$86,(L116+1)),IF(J116="F",VLOOKUP(W116,T100Pts!AE$5:AM$86,(L116+1)),""))))</f>
        <v>-</v>
      </c>
      <c r="Y116" s="163"/>
      <c r="Z116" s="116" t="str">
        <f>IF($L116="X","-",IF(Y116="","-",IF(J116="M",VLOOKUP(Y116,T100Pts!AO$5:AW$126,(L116+1)),IF(J116="F",VLOOKUP(Y116,T100Pts!AY$5:BG$126,(L116+1)),""))))</f>
        <v>-</v>
      </c>
      <c r="AA116" s="165"/>
      <c r="AB116" s="116" t="str">
        <f>IF(OR($L116="X",$L116=6,$L116=7),"-",IF(AA116="","-",IF(J116="M",VLOOKUP(AA116,T100Pts!BI$5:BN$44,(L116+1)),IF(J116="F",VLOOKUP(AA116,T100Pts!BU$5:BZ$44,(L116+1)),""))))</f>
        <v>-</v>
      </c>
      <c r="AC116" s="228"/>
      <c r="AD116" s="116" t="str">
        <f>IF($L116="X","-",IF(AC116="","-",IF(J116="M",VLOOKUP(AC116,T100Pts!A$5:I$1146,(L116+1)),IF(J116="F",VLOOKUP(AC116,T100Pts!K$5:S$1146,(L116+1)),""))))</f>
        <v>-</v>
      </c>
      <c r="AE116" s="117" t="str">
        <f t="shared" si="19"/>
        <v>-</v>
      </c>
      <c r="AF116" s="114" t="str">
        <f t="shared" si="20"/>
        <v>-</v>
      </c>
      <c r="AG116" s="115" t="e">
        <f t="shared" si="21"/>
        <v>#DIV/0!</v>
      </c>
      <c r="AH116" s="114" t="str">
        <f t="shared" si="15"/>
        <v>-</v>
      </c>
      <c r="AI116" s="161"/>
      <c r="AJ116" s="77" t="str">
        <f t="shared" si="24"/>
        <v/>
      </c>
    </row>
    <row r="117" spans="1:37" ht="15.75" customHeight="1" x14ac:dyDescent="0.2">
      <c r="A117" s="138">
        <v>104</v>
      </c>
      <c r="B117" s="168"/>
      <c r="C117" s="137"/>
      <c r="D117" s="169"/>
      <c r="E117" s="183"/>
      <c r="F117" s="173"/>
      <c r="G117" s="168"/>
      <c r="H117" s="168"/>
      <c r="I117" s="139" t="str">
        <f t="shared" si="22"/>
        <v>-</v>
      </c>
      <c r="J117" s="203" t="s">
        <v>139</v>
      </c>
      <c r="K117" s="153" t="str">
        <f t="shared" si="23"/>
        <v>-</v>
      </c>
      <c r="L117" s="153" t="str">
        <f>IF(F117="","-",IF(K117&lt;&gt;"",VLOOKUP(K117,T100Pts!CH$4:CI$59,(2))))</f>
        <v>-</v>
      </c>
      <c r="M117" s="155"/>
      <c r="N117" s="153" t="str">
        <f>IF($L117="X","-",IF(M117="","-",IF(J117="M",VLOOKUP(M117,T100Pts!U$5:AC$86,(L117+1)),IF(J117="F",VLOOKUP(M117,T100Pts!AE$5:AM$86,(L117+1)),""))))</f>
        <v>-</v>
      </c>
      <c r="O117" s="155"/>
      <c r="P117" s="140" t="str">
        <f>IF($L117="X","-",IF(O117="","-",IF(J117="M",VLOOKUP(O117,T100Pts!AO$5:AW$126,(L117+1)),IF(J117="F",VLOOKUP(O117,T100Pts!AY$5:BG$126,(L117+1)),""))))</f>
        <v>-</v>
      </c>
      <c r="Q117" s="157"/>
      <c r="R117" s="140" t="str">
        <f>IF(OR($L117="X",$L117=6,$L117=7),"-",IF(Q117="","-",IF(J117="M",VLOOKUP(Q117,T100Pts!BI$5:BN$44,(L117+1)),IF(J117="F",VLOOKUP(Q117,T100Pts!BU$5:BZ$44,(L117+1)),""))))</f>
        <v>-</v>
      </c>
      <c r="S117" s="155"/>
      <c r="T117" s="140" t="str">
        <f>IF($L117="X","-",IF(S117="","-",IF(J117="M",VLOOKUP(S117,T100Pts!A$5:I$1146,(L117+1)),IF(J117="F",VLOOKUP(S117,T100Pts!K$5:S$1147,(L117+1)),""))))</f>
        <v>-</v>
      </c>
      <c r="U117" s="141" t="str">
        <f t="shared" si="17"/>
        <v>-</v>
      </c>
      <c r="V117" s="79" t="str">
        <f t="shared" si="18"/>
        <v>-</v>
      </c>
      <c r="W117" s="155"/>
      <c r="X117" s="116" t="str">
        <f>IF($L117="X","-",IF(W117="","-",IF(J117="M",VLOOKUP(W117,T100Pts!U$5:AC$86,(L117+1)),IF(J117="F",VLOOKUP(W117,T100Pts!AE$5:AM$86,(L117+1)),""))))</f>
        <v>-</v>
      </c>
      <c r="Y117" s="163"/>
      <c r="Z117" s="116" t="str">
        <f>IF($L117="X","-",IF(Y117="","-",IF(J117="M",VLOOKUP(Y117,T100Pts!AO$5:AW$126,(L117+1)),IF(J117="F",VLOOKUP(Y117,T100Pts!AY$5:BG$126,(L117+1)),""))))</f>
        <v>-</v>
      </c>
      <c r="AA117" s="165"/>
      <c r="AB117" s="116" t="str">
        <f>IF(OR($L117="X",$L117=6,$L117=7),"-",IF(AA117="","-",IF(J117="M",VLOOKUP(AA117,T100Pts!BI$5:BN$44,(L117+1)),IF(J117="F",VLOOKUP(AA117,T100Pts!BU$5:BZ$44,(L117+1)),""))))</f>
        <v>-</v>
      </c>
      <c r="AC117" s="227"/>
      <c r="AD117" s="116" t="str">
        <f>IF($L117="X","-",IF(AC117="","-",IF(J117="M",VLOOKUP(AC117,T100Pts!A$5:I$1146,(L117+1)),IF(J117="F",VLOOKUP(AC117,T100Pts!K$5:S$1146,(L117+1)),""))))</f>
        <v>-</v>
      </c>
      <c r="AE117" s="117" t="str">
        <f t="shared" si="19"/>
        <v>-</v>
      </c>
      <c r="AF117" s="114" t="str">
        <f t="shared" si="20"/>
        <v>-</v>
      </c>
      <c r="AG117" s="115" t="e">
        <f t="shared" si="21"/>
        <v>#DIV/0!</v>
      </c>
      <c r="AH117" s="114" t="str">
        <f t="shared" si="15"/>
        <v>-</v>
      </c>
      <c r="AI117" s="161"/>
      <c r="AJ117" s="77" t="str">
        <f t="shared" si="24"/>
        <v/>
      </c>
    </row>
    <row r="118" spans="1:37" ht="15.75" customHeight="1" x14ac:dyDescent="0.25">
      <c r="A118" s="138">
        <v>105</v>
      </c>
      <c r="B118" s="168"/>
      <c r="C118" s="137"/>
      <c r="D118" s="174"/>
      <c r="E118" s="175"/>
      <c r="F118" s="176"/>
      <c r="G118" s="185"/>
      <c r="H118" s="178"/>
      <c r="I118" s="139" t="str">
        <f t="shared" si="22"/>
        <v>-</v>
      </c>
      <c r="J118" s="181" t="s">
        <v>139</v>
      </c>
      <c r="K118" s="153" t="str">
        <f t="shared" si="23"/>
        <v>-</v>
      </c>
      <c r="L118" s="153" t="str">
        <f>IF(F118="","-",IF(K118&lt;&gt;"",VLOOKUP(K118,T100Pts!CH$4:CI$59,(2))))</f>
        <v>-</v>
      </c>
      <c r="M118" s="155"/>
      <c r="N118" s="153" t="str">
        <f>IF($L118="X","-",IF(M118="","-",IF(J118="M",VLOOKUP(M118,T100Pts!U$5:AC$86,(L118+1)),IF(J118="F",VLOOKUP(M118,T100Pts!AE$5:AM$86,(L118+1)),""))))</f>
        <v>-</v>
      </c>
      <c r="O118" s="155"/>
      <c r="P118" s="140" t="str">
        <f>IF($L118="X","-",IF(O118="","-",IF(J118="M",VLOOKUP(O118,T100Pts!AO$5:AW$126,(L118+1)),IF(J118="F",VLOOKUP(O118,T100Pts!AY$5:BG$126,(L118+1)),""))))</f>
        <v>-</v>
      </c>
      <c r="Q118" s="157"/>
      <c r="R118" s="140" t="str">
        <f>IF(OR($L118="X",$L118=6,$L118=7),"-",IF(Q118="","-",IF(J118="M",VLOOKUP(Q118,T100Pts!BI$5:BN$44,(L118+1)),IF(J118="F",VLOOKUP(Q118,T100Pts!BU$5:BZ$44,(L118+1)),""))))</f>
        <v>-</v>
      </c>
      <c r="S118" s="155"/>
      <c r="T118" s="140" t="str">
        <f>IF($L118="X","-",IF(S118="","-",IF(J118="M",VLOOKUP(S118,T100Pts!A$5:I$1146,(L118+1)),IF(J118="F",VLOOKUP(S118,T100Pts!K$5:S$1147,(L118+1)),""))))</f>
        <v>-</v>
      </c>
      <c r="U118" s="141" t="str">
        <f t="shared" si="17"/>
        <v>-</v>
      </c>
      <c r="V118" s="79" t="str">
        <f t="shared" si="18"/>
        <v>-</v>
      </c>
      <c r="W118" s="155"/>
      <c r="X118" s="116" t="str">
        <f>IF($L118="X","-",IF(W118="","-",IF(J118="M",VLOOKUP(W118,T100Pts!U$5:AC$86,(L118+1)),IF(J118="F",VLOOKUP(W118,T100Pts!AE$5:AM$86,(L118+1)),""))))</f>
        <v>-</v>
      </c>
      <c r="Y118" s="163"/>
      <c r="Z118" s="116" t="str">
        <f>IF($L118="X","-",IF(Y118="","-",IF(J118="M",VLOOKUP(Y118,T100Pts!AO$5:AW$126,(L118+1)),IF(J118="F",VLOOKUP(Y118,T100Pts!AY$5:BG$126,(L118+1)),""))))</f>
        <v>-</v>
      </c>
      <c r="AA118" s="165"/>
      <c r="AB118" s="116" t="str">
        <f>IF(OR($L118="X",$L118=6,$L118=7),"-",IF(AA118="","-",IF(J118="M",VLOOKUP(AA118,T100Pts!BI$5:BN$44,(L118+1)),IF(J118="F",VLOOKUP(AA118,T100Pts!BU$5:BZ$44,(L118+1)),""))))</f>
        <v>-</v>
      </c>
      <c r="AC118" s="228"/>
      <c r="AD118" s="116" t="str">
        <f>IF($L118="X","-",IF(AC118="","-",IF(J118="M",VLOOKUP(AC118,T100Pts!A$5:I$1146,(L118+1)),IF(J118="F",VLOOKUP(AC118,T100Pts!K$5:S$1146,(L118+1)),""))))</f>
        <v>-</v>
      </c>
      <c r="AE118" s="117" t="str">
        <f t="shared" si="19"/>
        <v>-</v>
      </c>
      <c r="AF118" s="114" t="str">
        <f t="shared" si="20"/>
        <v>-</v>
      </c>
      <c r="AG118" s="115" t="e">
        <f t="shared" si="21"/>
        <v>#DIV/0!</v>
      </c>
      <c r="AH118" s="114" t="str">
        <f t="shared" si="15"/>
        <v>-</v>
      </c>
      <c r="AI118" s="161"/>
      <c r="AJ118" s="77" t="str">
        <f t="shared" si="24"/>
        <v/>
      </c>
    </row>
    <row r="119" spans="1:37" ht="15.75" customHeight="1" x14ac:dyDescent="0.2">
      <c r="A119" s="138">
        <v>106</v>
      </c>
      <c r="B119" s="168"/>
      <c r="C119" s="137"/>
      <c r="D119" s="169"/>
      <c r="E119" s="183"/>
      <c r="F119" s="173"/>
      <c r="G119" s="168"/>
      <c r="H119" s="168"/>
      <c r="I119" s="139" t="str">
        <f t="shared" si="22"/>
        <v>-</v>
      </c>
      <c r="J119" s="203" t="s">
        <v>139</v>
      </c>
      <c r="K119" s="153" t="str">
        <f t="shared" si="23"/>
        <v>-</v>
      </c>
      <c r="L119" s="153" t="str">
        <f>IF(F119="","-",IF(K119&lt;&gt;"",VLOOKUP(K119,T100Pts!CH$4:CI$59,(2))))</f>
        <v>-</v>
      </c>
      <c r="M119" s="155"/>
      <c r="N119" s="153" t="str">
        <f>IF($L119="X","-",IF(M119="","-",IF(J119="M",VLOOKUP(M119,T100Pts!U$5:AC$86,(L119+1)),IF(J119="F",VLOOKUP(M119,T100Pts!AE$5:AM$86,(L119+1)),""))))</f>
        <v>-</v>
      </c>
      <c r="O119" s="155"/>
      <c r="P119" s="140" t="str">
        <f>IF($L119="X","-",IF(O119="","-",IF(J119="M",VLOOKUP(O119,T100Pts!AO$5:AW$126,(L119+1)),IF(J119="F",VLOOKUP(O119,T100Pts!AY$5:BG$126,(L119+1)),""))))</f>
        <v>-</v>
      </c>
      <c r="Q119" s="157"/>
      <c r="R119" s="140" t="str">
        <f>IF(OR($L119="X",$L119=6,$L119=7),"-",IF(Q119="","-",IF(J119="M",VLOOKUP(Q119,T100Pts!BI$5:BN$44,(L119+1)),IF(J119="F",VLOOKUP(Q119,T100Pts!BU$5:BZ$44,(L119+1)),""))))</f>
        <v>-</v>
      </c>
      <c r="S119" s="155"/>
      <c r="T119" s="140" t="str">
        <f>IF($L119="X","-",IF(S119="","-",IF(J119="M",VLOOKUP(S119,T100Pts!A$5:I$1146,(L119+1)),IF(J119="F",VLOOKUP(S119,T100Pts!K$5:S$1147,(L119+1)),""))))</f>
        <v>-</v>
      </c>
      <c r="U119" s="141" t="str">
        <f t="shared" si="17"/>
        <v>-</v>
      </c>
      <c r="V119" s="79" t="str">
        <f t="shared" si="18"/>
        <v>-</v>
      </c>
      <c r="W119" s="155"/>
      <c r="X119" s="116" t="str">
        <f>IF($L119="X","-",IF(W119="","-",IF(J119="M",VLOOKUP(W119,T100Pts!U$5:AC$86,(L119+1)),IF(J119="F",VLOOKUP(W119,T100Pts!AE$5:AM$86,(L119+1)),""))))</f>
        <v>-</v>
      </c>
      <c r="Y119" s="163"/>
      <c r="Z119" s="116" t="str">
        <f>IF($L119="X","-",IF(Y119="","-",IF(J119="M",VLOOKUP(Y119,T100Pts!AO$5:AW$126,(L119+1)),IF(J119="F",VLOOKUP(Y119,T100Pts!AY$5:BG$126,(L119+1)),""))))</f>
        <v>-</v>
      </c>
      <c r="AA119" s="165"/>
      <c r="AB119" s="116" t="str">
        <f>IF(OR($L119="X",$L119=6,$L119=7),"-",IF(AA119="","-",IF(J119="M",VLOOKUP(AA119,T100Pts!BI$5:BN$44,(L119+1)),IF(J119="F",VLOOKUP(AA119,T100Pts!BU$5:BZ$44,(L119+1)),""))))</f>
        <v>-</v>
      </c>
      <c r="AC119" s="227"/>
      <c r="AD119" s="116" t="str">
        <f>IF($L119="X","-",IF(AC119="","-",IF(J119="M",VLOOKUP(AC119,T100Pts!A$5:I$1146,(L119+1)),IF(J119="F",VLOOKUP(AC119,T100Pts!K$5:S$1146,(L119+1)),""))))</f>
        <v>-</v>
      </c>
      <c r="AE119" s="117" t="str">
        <f t="shared" si="19"/>
        <v>-</v>
      </c>
      <c r="AF119" s="114" t="str">
        <f t="shared" si="20"/>
        <v>-</v>
      </c>
      <c r="AG119" s="115" t="e">
        <f t="shared" si="21"/>
        <v>#DIV/0!</v>
      </c>
      <c r="AH119" s="114" t="str">
        <f t="shared" si="15"/>
        <v>-</v>
      </c>
      <c r="AI119" s="161"/>
      <c r="AJ119" s="77" t="str">
        <f t="shared" si="24"/>
        <v/>
      </c>
    </row>
    <row r="120" spans="1:37" ht="15.75" customHeight="1" x14ac:dyDescent="0.2">
      <c r="A120" s="138">
        <v>107</v>
      </c>
      <c r="B120" s="168"/>
      <c r="C120" s="137"/>
      <c r="D120" s="169"/>
      <c r="E120" s="183"/>
      <c r="F120" s="173"/>
      <c r="G120" s="168"/>
      <c r="H120" s="168"/>
      <c r="I120" s="139" t="str">
        <f t="shared" si="22"/>
        <v>-</v>
      </c>
      <c r="J120" s="203" t="s">
        <v>139</v>
      </c>
      <c r="K120" s="153" t="str">
        <f t="shared" si="23"/>
        <v>-</v>
      </c>
      <c r="L120" s="153" t="str">
        <f>IF(F120="","-",IF(K120&lt;&gt;"",VLOOKUP(K120,T100Pts!CH$4:CI$59,(2))))</f>
        <v>-</v>
      </c>
      <c r="M120" s="155"/>
      <c r="N120" s="153" t="str">
        <f>IF($L120="X","-",IF(M120="","-",IF(J120="M",VLOOKUP(M120,T100Pts!U$5:AC$86,(L120+1)),IF(J120="F",VLOOKUP(M120,T100Pts!AE$5:AM$86,(L120+1)),""))))</f>
        <v>-</v>
      </c>
      <c r="O120" s="155"/>
      <c r="P120" s="140" t="str">
        <f>IF($L120="X","-",IF(O120="","-",IF(J120="M",VLOOKUP(O120,T100Pts!AO$5:AW$126,(L120+1)),IF(J120="F",VLOOKUP(O120,T100Pts!AY$5:BG$126,(L120+1)),""))))</f>
        <v>-</v>
      </c>
      <c r="Q120" s="157"/>
      <c r="R120" s="140" t="str">
        <f>IF(OR($L120="X",$L120=6,$L120=7),"-",IF(Q120="","-",IF(J120="M",VLOOKUP(Q120,T100Pts!BI$5:BN$44,(L120+1)),IF(J120="F",VLOOKUP(Q120,T100Pts!BU$5:BZ$44,(L120+1)),""))))</f>
        <v>-</v>
      </c>
      <c r="S120" s="155"/>
      <c r="T120" s="140" t="str">
        <f>IF($L120="X","-",IF(S120="","-",IF(J120="M",VLOOKUP(S120,T100Pts!A$5:I$1146,(L120+1)),IF(J120="F",VLOOKUP(S120,T100Pts!K$5:S$1147,(L120+1)),""))))</f>
        <v>-</v>
      </c>
      <c r="U120" s="141" t="str">
        <f t="shared" si="17"/>
        <v>-</v>
      </c>
      <c r="V120" s="79" t="str">
        <f t="shared" si="18"/>
        <v>-</v>
      </c>
      <c r="W120" s="156"/>
      <c r="X120" s="116" t="str">
        <f>IF($L120="X","-",IF(W120="","-",IF(J120="M",VLOOKUP(W120,T100Pts!U$5:AC$86,(L120+1)),IF(J120="F",VLOOKUP(W120,T100Pts!AE$5:AM$86,(L120+1)),""))))</f>
        <v>-</v>
      </c>
      <c r="Y120" s="164"/>
      <c r="Z120" s="116" t="str">
        <f>IF($L120="X","-",IF(Y120="","-",IF(J120="M",VLOOKUP(Y120,T100Pts!AO$5:AW$126,(L120+1)),IF(J120="F",VLOOKUP(Y120,T100Pts!AY$5:BG$126,(L120+1)),""))))</f>
        <v>-</v>
      </c>
      <c r="AA120" s="166"/>
      <c r="AB120" s="116" t="str">
        <f>IF(OR($L120="X",$L120=6,$L120=7),"-",IF(AA120="","-",IF(J120="M",VLOOKUP(AA120,T100Pts!BI$5:BN$44,(L120+1)),IF(J120="F",VLOOKUP(AA120,T100Pts!BU$5:BZ$44,(L120+1)),""))))</f>
        <v>-</v>
      </c>
      <c r="AC120" s="164"/>
      <c r="AD120" s="116" t="str">
        <f>IF($L120="X","-",IF(AC120="","-",IF(J120="M",VLOOKUP(AC120,T100Pts!A$5:I$1146,(L120+1)),IF(J120="F",VLOOKUP(AC120,T100Pts!K$5:S$1146,(L120+1)),""))))</f>
        <v>-</v>
      </c>
      <c r="AE120" s="117" t="str">
        <f t="shared" si="19"/>
        <v>-</v>
      </c>
      <c r="AF120" s="114" t="str">
        <f t="shared" si="20"/>
        <v>-</v>
      </c>
      <c r="AG120" s="115" t="e">
        <f t="shared" si="21"/>
        <v>#DIV/0!</v>
      </c>
      <c r="AH120" s="114" t="str">
        <f t="shared" si="15"/>
        <v>-</v>
      </c>
      <c r="AI120" s="161" t="s">
        <v>217</v>
      </c>
      <c r="AJ120" s="77" t="str">
        <f t="shared" si="24"/>
        <v/>
      </c>
    </row>
    <row r="121" spans="1:37" ht="15.75" customHeight="1" x14ac:dyDescent="0.25">
      <c r="A121" s="138">
        <v>108</v>
      </c>
      <c r="B121" s="168"/>
      <c r="C121" s="137"/>
      <c r="D121" s="174"/>
      <c r="E121" s="175"/>
      <c r="F121" s="176"/>
      <c r="G121" s="177"/>
      <c r="H121" s="178"/>
      <c r="I121" s="139" t="str">
        <f t="shared" si="22"/>
        <v>-</v>
      </c>
      <c r="J121" s="181" t="s">
        <v>139</v>
      </c>
      <c r="K121" s="153" t="str">
        <f t="shared" si="23"/>
        <v>-</v>
      </c>
      <c r="L121" s="153" t="str">
        <f>IF(F121="","-",IF(K121&lt;&gt;"",VLOOKUP(K121,T100Pts!CH$4:CI$59,(2))))</f>
        <v>-</v>
      </c>
      <c r="M121" s="155"/>
      <c r="N121" s="153" t="str">
        <f>IF($L121="X","-",IF(M121="","-",IF(J121="M",VLOOKUP(M121,T100Pts!U$5:AC$86,(L121+1)),IF(J121="F",VLOOKUP(M121,T100Pts!AE$5:AM$86,(L121+1)),""))))</f>
        <v>-</v>
      </c>
      <c r="O121" s="155"/>
      <c r="P121" s="140" t="str">
        <f>IF($L121="X","-",IF(O121="","-",IF(J121="M",VLOOKUP(O121,T100Pts!AO$5:AW$126,(L121+1)),IF(J121="F",VLOOKUP(O121,T100Pts!AY$5:BG$126,(L121+1)),""))))</f>
        <v>-</v>
      </c>
      <c r="Q121" s="157"/>
      <c r="R121" s="140" t="str">
        <f>IF(OR($L121="X",$L121=6,$L121=7),"-",IF(Q121="","-",IF(J121="M",VLOOKUP(Q121,T100Pts!BI$5:BN$44,(L121+1)),IF(J121="F",VLOOKUP(Q121,T100Pts!BU$5:BZ$44,(L121+1)),""))))</f>
        <v>-</v>
      </c>
      <c r="S121" s="155"/>
      <c r="T121" s="140" t="str">
        <f>IF($L121="X","-",IF(S121="","-",IF(J121="M",VLOOKUP(S121,T100Pts!A$5:I$1146,(L121+1)),IF(J121="F",VLOOKUP(S121,T100Pts!K$5:S$1147,(L121+1)),""))))</f>
        <v>-</v>
      </c>
      <c r="U121" s="141" t="str">
        <f t="shared" si="17"/>
        <v>-</v>
      </c>
      <c r="V121" s="79" t="str">
        <f t="shared" si="18"/>
        <v>-</v>
      </c>
      <c r="W121" s="155"/>
      <c r="X121" s="116" t="str">
        <f>IF($L121="X","-",IF(W121="","-",IF(J121="M",VLOOKUP(W121,T100Pts!U$5:AC$86,(L121+1)),IF(J121="F",VLOOKUP(W121,T100Pts!AE$5:AM$86,(L121+1)),""))))</f>
        <v>-</v>
      </c>
      <c r="Y121" s="163"/>
      <c r="Z121" s="116" t="str">
        <f>IF($L121="X","-",IF(Y121="","-",IF(J121="M",VLOOKUP(Y121,T100Pts!AO$5:AW$126,(L121+1)),IF(J121="F",VLOOKUP(Y121,T100Pts!AY$5:BG$126,(L121+1)),""))))</f>
        <v>-</v>
      </c>
      <c r="AA121" s="165"/>
      <c r="AB121" s="116" t="str">
        <f>IF(OR($L121="X",$L121=6,$L121=7),"-",IF(AA121="","-",IF(J121="M",VLOOKUP(AA121,T100Pts!BI$5:BN$44,(L121+1)),IF(J121="F",VLOOKUP(AA121,T100Pts!BU$5:BZ$44,(L121+1)),""))))</f>
        <v>-</v>
      </c>
      <c r="AC121" s="227"/>
      <c r="AD121" s="116" t="str">
        <f>IF($L121="X","-",IF(AC121="","-",IF(J121="M",VLOOKUP(AC121,T100Pts!A$5:I$1146,(L121+1)),IF(J121="F",VLOOKUP(AC121,T100Pts!K$5:S$1146,(L121+1)),""))))</f>
        <v>-</v>
      </c>
      <c r="AE121" s="117" t="str">
        <f t="shared" si="19"/>
        <v>-</v>
      </c>
      <c r="AF121" s="114" t="str">
        <f t="shared" si="20"/>
        <v>-</v>
      </c>
      <c r="AG121" s="115" t="e">
        <f t="shared" si="21"/>
        <v>#DIV/0!</v>
      </c>
      <c r="AH121" s="114" t="str">
        <f t="shared" si="15"/>
        <v>-</v>
      </c>
      <c r="AI121" s="161"/>
      <c r="AJ121" s="77" t="str">
        <f t="shared" si="24"/>
        <v/>
      </c>
    </row>
    <row r="122" spans="1:37" ht="15.75" customHeight="1" x14ac:dyDescent="0.2">
      <c r="A122" s="138">
        <v>109</v>
      </c>
      <c r="B122" s="168"/>
      <c r="C122" s="137"/>
      <c r="D122" s="169"/>
      <c r="E122" s="183"/>
      <c r="F122" s="173"/>
      <c r="G122" s="168"/>
      <c r="H122" s="168"/>
      <c r="I122" s="139" t="str">
        <f t="shared" si="22"/>
        <v>-</v>
      </c>
      <c r="J122" s="203" t="s">
        <v>139</v>
      </c>
      <c r="K122" s="153" t="str">
        <f t="shared" si="23"/>
        <v>-</v>
      </c>
      <c r="L122" s="153" t="str">
        <f>IF(F122="","-",IF(K122&lt;&gt;"",VLOOKUP(K122,T100Pts!CH$4:CI$59,(2))))</f>
        <v>-</v>
      </c>
      <c r="M122" s="155"/>
      <c r="N122" s="153" t="str">
        <f>IF($L122="X","-",IF(M122="","-",IF(J122="M",VLOOKUP(M122,T100Pts!U$5:AC$86,(L122+1)),IF(J122="F",VLOOKUP(M122,T100Pts!AE$5:AM$86,(L122+1)),""))))</f>
        <v>-</v>
      </c>
      <c r="O122" s="155"/>
      <c r="P122" s="140" t="str">
        <f>IF($L122="X","-",IF(O122="","-",IF(J122="M",VLOOKUP(O122,T100Pts!AO$5:AW$126,(L122+1)),IF(J122="F",VLOOKUP(O122,T100Pts!AY$5:BG$126,(L122+1)),""))))</f>
        <v>-</v>
      </c>
      <c r="Q122" s="157"/>
      <c r="R122" s="140" t="str">
        <f>IF(OR($L122="X",$L122=6,$L122=7),"-",IF(Q122="","-",IF(J122="M",VLOOKUP(Q122,T100Pts!BI$5:BN$44,(L122+1)),IF(J122="F",VLOOKUP(Q122,T100Pts!BU$5:BZ$44,(L122+1)),""))))</f>
        <v>-</v>
      </c>
      <c r="S122" s="155"/>
      <c r="T122" s="140" t="str">
        <f>IF($L122="X","-",IF(S122="","-",IF(J122="M",VLOOKUP(S122,T100Pts!A$5:I$1146,(L122+1)),IF(J122="F",VLOOKUP(S122,T100Pts!K$5:S$1147,(L122+1)),""))))</f>
        <v>-</v>
      </c>
      <c r="U122" s="141" t="str">
        <f t="shared" si="17"/>
        <v>-</v>
      </c>
      <c r="V122" s="79" t="str">
        <f t="shared" si="18"/>
        <v>-</v>
      </c>
      <c r="W122" s="155"/>
      <c r="X122" s="116" t="str">
        <f>IF($L122="X","-",IF(W122="","-",IF(J122="M",VLOOKUP(W122,T100Pts!U$5:AC$86,(L122+1)),IF(J122="F",VLOOKUP(W122,T100Pts!AE$5:AM$86,(L122+1)),""))))</f>
        <v>-</v>
      </c>
      <c r="Y122" s="163"/>
      <c r="Z122" s="116" t="str">
        <f>IF($L122="X","-",IF(Y122="","-",IF(J122="M",VLOOKUP(Y122,T100Pts!AO$5:AW$126,(L122+1)),IF(J122="F",VLOOKUP(Y122,T100Pts!AY$5:BG$126,(L122+1)),""))))</f>
        <v>-</v>
      </c>
      <c r="AA122" s="165"/>
      <c r="AB122" s="116" t="str">
        <f>IF(OR($L122="X",$L122=6,$L122=7),"-",IF(AA122="","-",IF(J122="M",VLOOKUP(AA122,T100Pts!BI$5:BN$44,(L122+1)),IF(J122="F",VLOOKUP(AA122,T100Pts!BU$5:BZ$44,(L122+1)),""))))</f>
        <v>-</v>
      </c>
      <c r="AC122" s="163"/>
      <c r="AD122" s="116" t="str">
        <f>IF($L122="X","-",IF(AC122="","-",IF(J122="M",VLOOKUP(AC122,T100Pts!A$5:I$1146,(L122+1)),IF(J122="F",VLOOKUP(AC122,T100Pts!K$5:S$1146,(L122+1)),""))))</f>
        <v>-</v>
      </c>
      <c r="AE122" s="117" t="str">
        <f t="shared" si="19"/>
        <v>-</v>
      </c>
      <c r="AF122" s="114" t="str">
        <f t="shared" si="20"/>
        <v>-</v>
      </c>
      <c r="AG122" s="115" t="e">
        <f t="shared" si="21"/>
        <v>#DIV/0!</v>
      </c>
      <c r="AH122" s="114" t="str">
        <f t="shared" si="15"/>
        <v>-</v>
      </c>
      <c r="AI122" s="161"/>
      <c r="AJ122" s="77" t="str">
        <f t="shared" si="24"/>
        <v/>
      </c>
    </row>
    <row r="123" spans="1:37" ht="15.75" customHeight="1" x14ac:dyDescent="0.2">
      <c r="A123" s="138">
        <v>110</v>
      </c>
      <c r="B123" s="168"/>
      <c r="C123" s="137"/>
      <c r="D123" s="169"/>
      <c r="E123" s="183"/>
      <c r="F123" s="173"/>
      <c r="G123" s="168"/>
      <c r="H123" s="168"/>
      <c r="I123" s="139" t="str">
        <f t="shared" si="22"/>
        <v>-</v>
      </c>
      <c r="J123" s="203" t="s">
        <v>139</v>
      </c>
      <c r="K123" s="153" t="str">
        <f t="shared" si="23"/>
        <v>-</v>
      </c>
      <c r="L123" s="153" t="str">
        <f>IF(F123="","-",IF(K123&lt;&gt;"",VLOOKUP(K123,T100Pts!CH$4:CI$59,(2))))</f>
        <v>-</v>
      </c>
      <c r="M123" s="155"/>
      <c r="N123" s="153" t="str">
        <f>IF($L123="X","-",IF(M123="","-",IF(J123="M",VLOOKUP(M123,T100Pts!U$5:AC$86,(L123+1)),IF(J123="F",VLOOKUP(M123,T100Pts!AE$5:AM$86,(L123+1)),""))))</f>
        <v>-</v>
      </c>
      <c r="O123" s="155"/>
      <c r="P123" s="140" t="str">
        <f>IF($L123="X","-",IF(O123="","-",IF(J123="M",VLOOKUP(O123,T100Pts!AO$5:AW$126,(L123+1)),IF(J123="F",VLOOKUP(O123,T100Pts!AY$5:BG$126,(L123+1)),""))))</f>
        <v>-</v>
      </c>
      <c r="Q123" s="157"/>
      <c r="R123" s="140" t="str">
        <f>IF(OR($L123="X",$L123=6,$L123=7),"-",IF(Q123="","-",IF(J123="M",VLOOKUP(Q123,T100Pts!BI$5:BN$44,(L123+1)),IF(J123="F",VLOOKUP(Q123,T100Pts!BU$5:BZ$44,(L123+1)),""))))</f>
        <v>-</v>
      </c>
      <c r="S123" s="155"/>
      <c r="T123" s="140" t="str">
        <f>IF($L123="X","-",IF(S123="","-",IF(J123="M",VLOOKUP(S123,T100Pts!A$5:I$1146,(L123+1)),IF(J123="F",VLOOKUP(S123,T100Pts!K$5:S$1147,(L123+1)),""))))</f>
        <v>-</v>
      </c>
      <c r="U123" s="141" t="str">
        <f t="shared" si="17"/>
        <v>-</v>
      </c>
      <c r="V123" s="79" t="str">
        <f t="shared" si="18"/>
        <v>-</v>
      </c>
      <c r="W123" s="155"/>
      <c r="X123" s="116" t="str">
        <f>IF($L123="X","-",IF(W123="","-",IF(J123="M",VLOOKUP(W123,T100Pts!U$5:AC$86,(L123+1)),IF(J123="F",VLOOKUP(W123,T100Pts!AE$5:AM$86,(L123+1)),""))))</f>
        <v>-</v>
      </c>
      <c r="Y123" s="163"/>
      <c r="Z123" s="116" t="str">
        <f>IF($L123="X","-",IF(Y123="","-",IF(J123="M",VLOOKUP(Y123,T100Pts!AO$5:AW$126,(L123+1)),IF(J123="F",VLOOKUP(Y123,T100Pts!AY$5:BG$126,(L123+1)),""))))</f>
        <v>-</v>
      </c>
      <c r="AA123" s="165"/>
      <c r="AB123" s="116" t="str">
        <f>IF(OR($L123="X",$L123=6,$L123=7),"-",IF(AA123="","-",IF(J123="M",VLOOKUP(AA123,T100Pts!BI$5:BN$44,(L123+1)),IF(J123="F",VLOOKUP(AA123,T100Pts!BU$5:BZ$44,(L123+1)),""))))</f>
        <v>-</v>
      </c>
      <c r="AC123" s="227"/>
      <c r="AD123" s="116" t="str">
        <f>IF($L123="X","-",IF(AC123="","-",IF(J123="M",VLOOKUP(AC123,T100Pts!A$5:I$1146,(L123+1)),IF(J123="F",VLOOKUP(AC123,T100Pts!K$5:S$1146,(L123+1)),""))))</f>
        <v>-</v>
      </c>
      <c r="AE123" s="117" t="str">
        <f t="shared" si="19"/>
        <v>-</v>
      </c>
      <c r="AF123" s="114" t="str">
        <f t="shared" si="20"/>
        <v>-</v>
      </c>
      <c r="AG123" s="115" t="e">
        <f t="shared" si="21"/>
        <v>#DIV/0!</v>
      </c>
      <c r="AH123" s="114" t="str">
        <f t="shared" si="15"/>
        <v>-</v>
      </c>
      <c r="AI123" s="161"/>
      <c r="AJ123" s="77" t="str">
        <f t="shared" si="24"/>
        <v/>
      </c>
    </row>
    <row r="124" spans="1:37" ht="15.75" customHeight="1" x14ac:dyDescent="0.25">
      <c r="A124" s="138">
        <v>111</v>
      </c>
      <c r="B124" s="168"/>
      <c r="C124" s="137"/>
      <c r="D124" s="174"/>
      <c r="E124" s="175"/>
      <c r="F124" s="176"/>
      <c r="G124" s="177"/>
      <c r="H124" s="178"/>
      <c r="I124" s="139" t="str">
        <f t="shared" si="22"/>
        <v>-</v>
      </c>
      <c r="J124" s="181" t="s">
        <v>139</v>
      </c>
      <c r="K124" s="153" t="str">
        <f t="shared" si="23"/>
        <v>-</v>
      </c>
      <c r="L124" s="153" t="str">
        <f>IF(F124="","-",IF(K124&lt;&gt;"",VLOOKUP(K124,T100Pts!CH$4:CI$59,(2))))</f>
        <v>-</v>
      </c>
      <c r="M124" s="155"/>
      <c r="N124" s="153" t="str">
        <f>IF($L124="X","-",IF(M124="","-",IF(J124="M",VLOOKUP(M124,T100Pts!U$5:AC$86,(L124+1)),IF(J124="F",VLOOKUP(M124,T100Pts!AE$5:AM$86,(L124+1)),""))))</f>
        <v>-</v>
      </c>
      <c r="O124" s="155"/>
      <c r="P124" s="140" t="str">
        <f>IF($L124="X","-",IF(O124="","-",IF(J124="M",VLOOKUP(O124,T100Pts!AO$5:AW$126,(L124+1)),IF(J124="F",VLOOKUP(O124,T100Pts!AY$5:BG$126,(L124+1)),""))))</f>
        <v>-</v>
      </c>
      <c r="Q124" s="157"/>
      <c r="R124" s="140" t="str">
        <f>IF(OR($L124="X",$L124=6,$L124=7),"-",IF(Q124="","-",IF(J124="M",VLOOKUP(Q124,T100Pts!BI$5:BN$44,(L124+1)),IF(J124="F",VLOOKUP(Q124,T100Pts!BU$5:BZ$44,(L124+1)),""))))</f>
        <v>-</v>
      </c>
      <c r="S124" s="155"/>
      <c r="T124" s="140" t="str">
        <f>IF($L124="X","-",IF(S124="","-",IF(J124="M",VLOOKUP(S124,T100Pts!A$5:I$1146,(L124+1)),IF(J124="F",VLOOKUP(S124,T100Pts!K$5:S$1147,(L124+1)),""))))</f>
        <v>-</v>
      </c>
      <c r="U124" s="141" t="str">
        <f t="shared" si="17"/>
        <v>-</v>
      </c>
      <c r="V124" s="79" t="str">
        <f t="shared" si="18"/>
        <v>-</v>
      </c>
      <c r="W124" s="155"/>
      <c r="X124" s="116" t="str">
        <f>IF($L124="X","-",IF(W124="","-",IF(J124="M",VLOOKUP(W124,T100Pts!U$5:AC$86,(L124+1)),IF(J124="F",VLOOKUP(W124,T100Pts!AE$5:AM$86,(L124+1)),""))))</f>
        <v>-</v>
      </c>
      <c r="Y124" s="163"/>
      <c r="Z124" s="116" t="str">
        <f>IF($L124="X","-",IF(Y124="","-",IF(J124="M",VLOOKUP(Y124,T100Pts!AO$5:AW$126,(L124+1)),IF(J124="F",VLOOKUP(Y124,T100Pts!AY$5:BG$126,(L124+1)),""))))</f>
        <v>-</v>
      </c>
      <c r="AA124" s="165"/>
      <c r="AB124" s="116" t="str">
        <f>IF(OR($L124="X",$L124=6,$L124=7),"-",IF(AA124="","-",IF(J124="M",VLOOKUP(AA124,T100Pts!BI$5:BN$44,(L124+1)),IF(J124="F",VLOOKUP(AA124,T100Pts!BU$5:BZ$44,(L124+1)),""))))</f>
        <v>-</v>
      </c>
      <c r="AC124" s="227"/>
      <c r="AD124" s="116" t="str">
        <f>IF($L124="X","-",IF(AC124="","-",IF(J124="M",VLOOKUP(AC124,T100Pts!A$5:I$1146,(L124+1)),IF(J124="F",VLOOKUP(AC124,T100Pts!K$5:S$1146,(L124+1)),""))))</f>
        <v>-</v>
      </c>
      <c r="AE124" s="117" t="str">
        <f t="shared" si="19"/>
        <v>-</v>
      </c>
      <c r="AF124" s="114" t="str">
        <f t="shared" si="20"/>
        <v>-</v>
      </c>
      <c r="AG124" s="115" t="e">
        <f t="shared" si="21"/>
        <v>#DIV/0!</v>
      </c>
      <c r="AH124" s="114" t="str">
        <f t="shared" si="15"/>
        <v>-</v>
      </c>
      <c r="AI124" s="161"/>
      <c r="AJ124" s="77" t="str">
        <f t="shared" si="24"/>
        <v/>
      </c>
    </row>
    <row r="125" spans="1:37" ht="15.75" customHeight="1" x14ac:dyDescent="0.2">
      <c r="A125" s="138">
        <v>112</v>
      </c>
      <c r="B125" s="168"/>
      <c r="C125" s="137"/>
      <c r="D125" s="169"/>
      <c r="E125" s="183"/>
      <c r="F125" s="173"/>
      <c r="G125" s="168"/>
      <c r="H125" s="168"/>
      <c r="I125" s="139" t="str">
        <f t="shared" ref="I125:I154" si="25">IF(OR(G125="",H125=""),"-",ROUND(G125/(H125^2),0))</f>
        <v>-</v>
      </c>
      <c r="J125" s="203" t="s">
        <v>139</v>
      </c>
      <c r="K125" s="153" t="str">
        <f t="shared" ref="K125:K154" si="26">IF(F125&gt;0,DATEDIF(F125,$L$1,"Y"),"-")</f>
        <v>-</v>
      </c>
      <c r="L125" s="153" t="str">
        <f>IF(F125="","-",IF(K125&lt;&gt;"",VLOOKUP(K125,T100Pts!CH$4:CI$59,(2))))</f>
        <v>-</v>
      </c>
      <c r="M125" s="155"/>
      <c r="N125" s="153" t="str">
        <f>IF($L125="X","-",IF(M125="","-",IF(J125="M",VLOOKUP(M125,T100Pts!U$5:AC$86,(L125+1)),IF(J125="F",VLOOKUP(M125,T100Pts!AE$5:AM$86,(L125+1)),""))))</f>
        <v>-</v>
      </c>
      <c r="O125" s="155"/>
      <c r="P125" s="140" t="str">
        <f>IF($L125="X","-",IF(O125="","-",IF(J125="M",VLOOKUP(O125,T100Pts!AO$5:AW$126,(L125+1)),IF(J125="F",VLOOKUP(O125,T100Pts!AY$5:BG$126,(L125+1)),""))))</f>
        <v>-</v>
      </c>
      <c r="Q125" s="157"/>
      <c r="R125" s="140" t="str">
        <f>IF(OR($L125="X",$L125=6,$L125=7),"-",IF(Q125="","-",IF(J125="M",VLOOKUP(Q125,T100Pts!BI$5:BN$44,(L125+1)),IF(J125="F",VLOOKUP(Q125,T100Pts!BU$5:BZ$44,(L125+1)),""))))</f>
        <v>-</v>
      </c>
      <c r="S125" s="155"/>
      <c r="T125" s="140" t="str">
        <f>IF($L125="X","-",IF(S125="","-",IF(J125="M",VLOOKUP(S125,T100Pts!A$5:I$1146,(L125+1)),IF(J125="F",VLOOKUP(S125,T100Pts!K$5:S$1147,(L125+1)),""))))</f>
        <v>-</v>
      </c>
      <c r="U125" s="141" t="str">
        <f t="shared" si="17"/>
        <v>-</v>
      </c>
      <c r="V125" s="79" t="str">
        <f t="shared" si="18"/>
        <v>-</v>
      </c>
      <c r="W125" s="155"/>
      <c r="X125" s="116" t="str">
        <f>IF($L125="X","-",IF(W125="","-",IF(J125="M",VLOOKUP(W125,T100Pts!U$5:AC$86,(L125+1)),IF(J125="F",VLOOKUP(W125,T100Pts!AE$5:AM$86,(L125+1)),""))))</f>
        <v>-</v>
      </c>
      <c r="Y125" s="163"/>
      <c r="Z125" s="116" t="str">
        <f>IF($L125="X","-",IF(Y125="","-",IF(J125="M",VLOOKUP(Y125,T100Pts!AO$5:AW$126,(L125+1)),IF(J125="F",VLOOKUP(Y125,T100Pts!AY$5:BG$126,(L125+1)),""))))</f>
        <v>-</v>
      </c>
      <c r="AA125" s="165"/>
      <c r="AB125" s="116" t="str">
        <f>IF(OR($L125="X",$L125=6,$L125=7),"-",IF(AA125="","-",IF(J125="M",VLOOKUP(AA125,T100Pts!BI$5:BN$44,(L125+1)),IF(J125="F",VLOOKUP(AA125,T100Pts!BU$5:BZ$44,(L125+1)),""))))</f>
        <v>-</v>
      </c>
      <c r="AC125" s="227"/>
      <c r="AD125" s="116" t="str">
        <f>IF($L125="X","-",IF(AC125="","-",IF(J125="M",VLOOKUP(AC125,T100Pts!A$5:I$1146,(L125+1)),IF(J125="F",VLOOKUP(AC125,T100Pts!K$5:S$1146,(L125+1)),""))))</f>
        <v>-</v>
      </c>
      <c r="AE125" s="117" t="str">
        <f t="shared" si="19"/>
        <v>-</v>
      </c>
      <c r="AF125" s="114" t="str">
        <f t="shared" si="20"/>
        <v>-</v>
      </c>
      <c r="AG125" s="115" t="e">
        <f t="shared" si="21"/>
        <v>#DIV/0!</v>
      </c>
      <c r="AH125" s="114" t="str">
        <f t="shared" si="15"/>
        <v>-</v>
      </c>
      <c r="AI125" s="161"/>
      <c r="AJ125" s="77" t="str">
        <f t="shared" si="24"/>
        <v/>
      </c>
    </row>
    <row r="126" spans="1:37" ht="15.75" customHeight="1" x14ac:dyDescent="0.2">
      <c r="A126" s="138">
        <v>113</v>
      </c>
      <c r="B126" s="168"/>
      <c r="C126" s="137"/>
      <c r="D126" s="169"/>
      <c r="E126" s="183"/>
      <c r="F126" s="173"/>
      <c r="G126" s="168"/>
      <c r="H126" s="168"/>
      <c r="I126" s="139" t="str">
        <f t="shared" si="25"/>
        <v>-</v>
      </c>
      <c r="J126" s="203" t="s">
        <v>139</v>
      </c>
      <c r="K126" s="153" t="str">
        <f t="shared" si="26"/>
        <v>-</v>
      </c>
      <c r="L126" s="153" t="str">
        <f>IF(F126="","-",IF(K126&lt;&gt;"",VLOOKUP(K126,T100Pts!CH$4:CI$59,(2))))</f>
        <v>-</v>
      </c>
      <c r="M126" s="155"/>
      <c r="N126" s="153" t="str">
        <f>IF($L126="X","-",IF(M126="","-",IF(J126="M",VLOOKUP(M126,T100Pts!U$5:AC$86,(L126+1)),IF(J126="F",VLOOKUP(M126,T100Pts!AE$5:AM$86,(L126+1)),""))))</f>
        <v>-</v>
      </c>
      <c r="O126" s="155"/>
      <c r="P126" s="140" t="str">
        <f>IF($L126="X","-",IF(O126="","-",IF(J126="M",VLOOKUP(O126,T100Pts!AO$5:AW$126,(L126+1)),IF(J126="F",VLOOKUP(O126,T100Pts!AY$5:BG$126,(L126+1)),""))))</f>
        <v>-</v>
      </c>
      <c r="Q126" s="157"/>
      <c r="R126" s="140" t="str">
        <f>IF(OR($L126="X",$L126=6,$L126=7),"-",IF(Q126="","-",IF(J126="M",VLOOKUP(Q126,T100Pts!BI$5:BN$44,(L126+1)),IF(J126="F",VLOOKUP(Q126,T100Pts!BU$5:BZ$44,(L126+1)),""))))</f>
        <v>-</v>
      </c>
      <c r="S126" s="155"/>
      <c r="T126" s="140" t="str">
        <f>IF($L126="X","-",IF(S126="","-",IF(J126="M",VLOOKUP(S126,T100Pts!A$5:I$1146,(L126+1)),IF(J126="F",VLOOKUP(S126,T100Pts!K$5:S$1147,(L126+1)),""))))</f>
        <v>-</v>
      </c>
      <c r="U126" s="141" t="str">
        <f t="shared" si="17"/>
        <v>-</v>
      </c>
      <c r="V126" s="79" t="str">
        <f t="shared" si="18"/>
        <v>-</v>
      </c>
      <c r="W126" s="155"/>
      <c r="X126" s="116" t="str">
        <f>IF($L126="X","-",IF(W126="","-",IF(J126="M",VLOOKUP(W126,T100Pts!U$5:AC$86,(L126+1)),IF(J126="F",VLOOKUP(W126,T100Pts!AE$5:AM$86,(L126+1)),""))))</f>
        <v>-</v>
      </c>
      <c r="Y126" s="163"/>
      <c r="Z126" s="116" t="str">
        <f>IF($L126="X","-",IF(Y126="","-",IF(J126="M",VLOOKUP(Y126,T100Pts!AO$5:AW$126,(L126+1)),IF(J126="F",VLOOKUP(Y126,T100Pts!AY$5:BG$126,(L126+1)),""))))</f>
        <v>-</v>
      </c>
      <c r="AA126" s="165"/>
      <c r="AB126" s="116" t="str">
        <f>IF(OR($L126="X",$L126=6,$L126=7),"-",IF(AA126="","-",IF(J126="M",VLOOKUP(AA126,T100Pts!BI$5:BN$44,(L126+1)),IF(J126="F",VLOOKUP(AA126,T100Pts!BU$5:BZ$44,(L126+1)),""))))</f>
        <v>-</v>
      </c>
      <c r="AC126" s="227"/>
      <c r="AD126" s="116" t="str">
        <f>IF($L126="X","-",IF(AC126="","-",IF(J126="M",VLOOKUP(AC126,T100Pts!A$5:I$1146,(L126+1)),IF(J126="F",VLOOKUP(AC126,T100Pts!K$5:S$1146,(L126+1)),""))))</f>
        <v>-</v>
      </c>
      <c r="AE126" s="117" t="str">
        <f t="shared" si="19"/>
        <v>-</v>
      </c>
      <c r="AF126" s="114" t="str">
        <f t="shared" si="20"/>
        <v>-</v>
      </c>
      <c r="AG126" s="115" t="e">
        <f t="shared" si="21"/>
        <v>#DIV/0!</v>
      </c>
      <c r="AH126" s="114" t="str">
        <f t="shared" si="15"/>
        <v>-</v>
      </c>
      <c r="AI126" s="161"/>
      <c r="AJ126" s="77" t="str">
        <f t="shared" si="24"/>
        <v/>
      </c>
    </row>
    <row r="127" spans="1:37" ht="15.75" customHeight="1" x14ac:dyDescent="0.2">
      <c r="A127" s="138">
        <v>114</v>
      </c>
      <c r="B127" s="168"/>
      <c r="C127" s="137"/>
      <c r="D127" s="169"/>
      <c r="E127" s="183"/>
      <c r="F127" s="173"/>
      <c r="G127" s="168"/>
      <c r="H127" s="168"/>
      <c r="I127" s="139" t="str">
        <f t="shared" si="25"/>
        <v>-</v>
      </c>
      <c r="J127" s="203" t="s">
        <v>139</v>
      </c>
      <c r="K127" s="153" t="str">
        <f t="shared" si="26"/>
        <v>-</v>
      </c>
      <c r="L127" s="153" t="str">
        <f>IF(F127="","-",IF(K127&lt;&gt;"",VLOOKUP(K127,T100Pts!CH$4:CI$59,(2))))</f>
        <v>-</v>
      </c>
      <c r="M127" s="155"/>
      <c r="N127" s="153" t="str">
        <f>IF($L127="X","-",IF(M127="","-",IF(J127="M",VLOOKUP(M127,T100Pts!U$5:AC$86,(L127+1)),IF(J127="F",VLOOKUP(M127,T100Pts!AE$5:AM$86,(L127+1)),""))))</f>
        <v>-</v>
      </c>
      <c r="O127" s="155"/>
      <c r="P127" s="140" t="str">
        <f>IF($L127="X","-",IF(O127="","-",IF(J127="M",VLOOKUP(O127,T100Pts!AO$5:AW$126,(L127+1)),IF(J127="F",VLOOKUP(O127,T100Pts!AY$5:BG$126,(L127+1)),""))))</f>
        <v>-</v>
      </c>
      <c r="Q127" s="157"/>
      <c r="R127" s="140" t="str">
        <f>IF(OR($L127="X",$L127=6,$L127=7),"-",IF(Q127="","-",IF(J127="M",VLOOKUP(Q127,T100Pts!BI$5:BN$44,(L127+1)),IF(J127="F",VLOOKUP(Q127,T100Pts!BU$5:BZ$44,(L127+1)),""))))</f>
        <v>-</v>
      </c>
      <c r="S127" s="155"/>
      <c r="T127" s="140" t="str">
        <f>IF($L127="X","-",IF(S127="","-",IF(J127="M",VLOOKUP(S127,T100Pts!A$5:I$1146,(L127+1)),IF(J127="F",VLOOKUP(S127,T100Pts!K$5:S$1147,(L127+1)),""))))</f>
        <v>-</v>
      </c>
      <c r="U127" s="141" t="str">
        <f t="shared" si="17"/>
        <v>-</v>
      </c>
      <c r="V127" s="79" t="str">
        <f t="shared" si="18"/>
        <v>-</v>
      </c>
      <c r="W127" s="155"/>
      <c r="X127" s="116" t="str">
        <f>IF($L127="X","-",IF(W127="","-",IF(J127="M",VLOOKUP(W127,T100Pts!U$5:AC$86,(L127+1)),IF(J127="F",VLOOKUP(W127,T100Pts!AE$5:AM$86,(L127+1)),""))))</f>
        <v>-</v>
      </c>
      <c r="Y127" s="163"/>
      <c r="Z127" s="116" t="str">
        <f>IF($L127="X","-",IF(Y127="","-",IF(J127="M",VLOOKUP(Y127,T100Pts!AO$5:AW$126,(L127+1)),IF(J127="F",VLOOKUP(Y127,T100Pts!AY$5:BG$126,(L127+1)),""))))</f>
        <v>-</v>
      </c>
      <c r="AA127" s="165"/>
      <c r="AB127" s="116" t="str">
        <f>IF(OR($L127="X",$L127=6,$L127=7),"-",IF(AA127="","-",IF(J127="M",VLOOKUP(AA127,T100Pts!BI$5:BN$44,(L127+1)),IF(J127="F",VLOOKUP(AA127,T100Pts!BU$5:BZ$44,(L127+1)),""))))</f>
        <v>-</v>
      </c>
      <c r="AC127" s="163"/>
      <c r="AD127" s="116" t="str">
        <f>IF($L127="X","-",IF(AC127="","-",IF(J127="M",VLOOKUP(AC127,T100Pts!A$5:I$1146,(L127+1)),IF(J127="F",VLOOKUP(AC127,T100Pts!K$5:S$1146,(L127+1)),""))))</f>
        <v>-</v>
      </c>
      <c r="AE127" s="117" t="str">
        <f t="shared" si="19"/>
        <v>-</v>
      </c>
      <c r="AF127" s="114" t="str">
        <f t="shared" si="20"/>
        <v>-</v>
      </c>
      <c r="AG127" s="115" t="e">
        <f t="shared" si="21"/>
        <v>#DIV/0!</v>
      </c>
      <c r="AH127" s="114" t="str">
        <f t="shared" si="15"/>
        <v>-</v>
      </c>
      <c r="AI127" s="161" t="s">
        <v>218</v>
      </c>
      <c r="AJ127" s="77" t="str">
        <f t="shared" si="24"/>
        <v/>
      </c>
    </row>
    <row r="128" spans="1:37" ht="15.75" customHeight="1" x14ac:dyDescent="0.2">
      <c r="A128" s="138">
        <v>115</v>
      </c>
      <c r="B128" s="168"/>
      <c r="C128" s="137"/>
      <c r="D128" s="169"/>
      <c r="E128" s="183"/>
      <c r="F128" s="173"/>
      <c r="G128" s="168"/>
      <c r="H128" s="168"/>
      <c r="I128" s="139" t="str">
        <f t="shared" si="25"/>
        <v>-</v>
      </c>
      <c r="J128" s="203" t="s">
        <v>139</v>
      </c>
      <c r="K128" s="153" t="str">
        <f t="shared" si="26"/>
        <v>-</v>
      </c>
      <c r="L128" s="153" t="str">
        <f>IF(F128="","-",IF(K128&lt;&gt;"",VLOOKUP(K128,T100Pts!CH$4:CI$59,(2))))</f>
        <v>-</v>
      </c>
      <c r="M128" s="155"/>
      <c r="N128" s="153" t="str">
        <f>IF($L128="X","-",IF(M128="","-",IF(J128="M",VLOOKUP(M128,T100Pts!U$5:AC$86,(L128+1)),IF(J128="F",VLOOKUP(M128,T100Pts!AE$5:AM$86,(L128+1)),""))))</f>
        <v>-</v>
      </c>
      <c r="O128" s="155"/>
      <c r="P128" s="140" t="str">
        <f>IF($L128="X","-",IF(O128="","-",IF(J128="M",VLOOKUP(O128,T100Pts!AO$5:AW$126,(L128+1)),IF(J128="F",VLOOKUP(O128,T100Pts!AY$5:BG$126,(L128+1)),""))))</f>
        <v>-</v>
      </c>
      <c r="Q128" s="157"/>
      <c r="R128" s="140" t="str">
        <f>IF(OR($L128="X",$L128=6,$L128=7),"-",IF(Q128="","-",IF(J128="M",VLOOKUP(Q128,T100Pts!BI$5:BN$44,(L128+1)),IF(J128="F",VLOOKUP(Q128,T100Pts!BU$5:BZ$44,(L128+1)),""))))</f>
        <v>-</v>
      </c>
      <c r="S128" s="155"/>
      <c r="T128" s="140" t="str">
        <f>IF($L128="X","-",IF(S128="","-",IF(J128="M",VLOOKUP(S128,T100Pts!A$5:I$1146,(L128+1)),IF(J128="F",VLOOKUP(S128,T100Pts!K$5:S$1147,(L128+1)),""))))</f>
        <v>-</v>
      </c>
      <c r="U128" s="141" t="str">
        <f t="shared" si="17"/>
        <v>-</v>
      </c>
      <c r="V128" s="79" t="str">
        <f t="shared" si="18"/>
        <v>-</v>
      </c>
      <c r="W128" s="155"/>
      <c r="X128" s="116" t="str">
        <f>IF($L128="X","-",IF(W128="","-",IF(J128="M",VLOOKUP(W128,T100Pts!U$5:AC$86,(L128+1)),IF(J128="F",VLOOKUP(W128,T100Pts!AE$5:AM$86,(L128+1)),""))))</f>
        <v>-</v>
      </c>
      <c r="Y128" s="163"/>
      <c r="Z128" s="116" t="str">
        <f>IF($L128="X","-",IF(Y128="","-",IF(J128="M",VLOOKUP(Y128,T100Pts!AO$5:AW$126,(L128+1)),IF(J128="F",VLOOKUP(Y128,T100Pts!AY$5:BG$126,(L128+1)),""))))</f>
        <v>-</v>
      </c>
      <c r="AA128" s="165"/>
      <c r="AB128" s="116" t="str">
        <f>IF(OR($L128="X",$L128=6,$L128=7),"-",IF(AA128="","-",IF(J128="M",VLOOKUP(AA128,T100Pts!BI$5:BN$44,(L128+1)),IF(J128="F",VLOOKUP(AA128,T100Pts!BU$5:BZ$44,(L128+1)),""))))</f>
        <v>-</v>
      </c>
      <c r="AC128" s="227"/>
      <c r="AD128" s="116" t="str">
        <f>IF($L128="X","-",IF(AC128="","-",IF(J128="M",VLOOKUP(AC128,T100Pts!A$5:I$1146,(L128+1)),IF(J128="F",VLOOKUP(AC128,T100Pts!K$5:S$1146,(L128+1)),""))))</f>
        <v>-</v>
      </c>
      <c r="AE128" s="117" t="str">
        <f t="shared" si="19"/>
        <v>-</v>
      </c>
      <c r="AF128" s="114" t="str">
        <f t="shared" si="20"/>
        <v>-</v>
      </c>
      <c r="AG128" s="115" t="e">
        <f t="shared" si="21"/>
        <v>#DIV/0!</v>
      </c>
      <c r="AH128" s="114" t="str">
        <f t="shared" si="15"/>
        <v>-</v>
      </c>
      <c r="AI128" s="161"/>
      <c r="AJ128" s="77" t="str">
        <f t="shared" si="24"/>
        <v/>
      </c>
    </row>
    <row r="129" spans="1:36" ht="15.75" customHeight="1" x14ac:dyDescent="0.2">
      <c r="A129" s="138">
        <v>116</v>
      </c>
      <c r="B129" s="168"/>
      <c r="C129" s="137"/>
      <c r="D129" s="169"/>
      <c r="E129" s="183"/>
      <c r="F129" s="173"/>
      <c r="G129" s="168"/>
      <c r="H129" s="168"/>
      <c r="I129" s="139" t="str">
        <f t="shared" si="25"/>
        <v>-</v>
      </c>
      <c r="J129" s="203" t="s">
        <v>139</v>
      </c>
      <c r="K129" s="153" t="str">
        <f t="shared" si="26"/>
        <v>-</v>
      </c>
      <c r="L129" s="153" t="str">
        <f>IF(F129="","-",IF(K129&lt;&gt;"",VLOOKUP(K129,T100Pts!CH$4:CI$59,(2))))</f>
        <v>-</v>
      </c>
      <c r="M129" s="155"/>
      <c r="N129" s="153" t="str">
        <f>IF($L129="X","-",IF(M129="","-",IF(J129="M",VLOOKUP(M129,T100Pts!U$5:AC$86,(L129+1)),IF(J129="F",VLOOKUP(M129,T100Pts!AE$5:AM$86,(L129+1)),""))))</f>
        <v>-</v>
      </c>
      <c r="O129" s="155"/>
      <c r="P129" s="140" t="str">
        <f>IF($L129="X","-",IF(O129="","-",IF(J129="M",VLOOKUP(O129,T100Pts!AO$5:AW$126,(L129+1)),IF(J129="F",VLOOKUP(O129,T100Pts!AY$5:BG$126,(L129+1)),""))))</f>
        <v>-</v>
      </c>
      <c r="Q129" s="157"/>
      <c r="R129" s="140" t="str">
        <f>IF(OR($L129="X",$L129=6,$L129=7),"-",IF(Q129="","-",IF(J129="M",VLOOKUP(Q129,T100Pts!BI$5:BN$44,(L129+1)),IF(J129="F",VLOOKUP(Q129,T100Pts!BU$5:BZ$44,(L129+1)),""))))</f>
        <v>-</v>
      </c>
      <c r="S129" s="155"/>
      <c r="T129" s="140" t="str">
        <f>IF($L129="X","-",IF(S129="","-",IF(J129="M",VLOOKUP(S129,T100Pts!A$5:I$1146,(L129+1)),IF(J129="F",VLOOKUP(S129,T100Pts!K$5:S$1147,(L129+1)),""))))</f>
        <v>-</v>
      </c>
      <c r="U129" s="141" t="str">
        <f t="shared" si="17"/>
        <v>-</v>
      </c>
      <c r="V129" s="79" t="str">
        <f t="shared" si="18"/>
        <v>-</v>
      </c>
      <c r="W129" s="155"/>
      <c r="X129" s="116" t="str">
        <f>IF($L129="X","-",IF(W129="","-",IF(J129="M",VLOOKUP(W129,T100Pts!U$5:AC$86,(L129+1)),IF(J129="F",VLOOKUP(W129,T100Pts!AE$5:AM$86,(L129+1)),""))))</f>
        <v>-</v>
      </c>
      <c r="Y129" s="163"/>
      <c r="Z129" s="116" t="str">
        <f>IF($L129="X","-",IF(Y129="","-",IF(J129="M",VLOOKUP(Y129,T100Pts!AO$5:AW$126,(L129+1)),IF(J129="F",VLOOKUP(Y129,T100Pts!AY$5:BG$126,(L129+1)),""))))</f>
        <v>-</v>
      </c>
      <c r="AA129" s="165"/>
      <c r="AB129" s="116" t="str">
        <f>IF(OR($L129="X",$L129=6,$L129=7),"-",IF(AA129="","-",IF(J129="M",VLOOKUP(AA129,T100Pts!BI$5:BN$44,(L129+1)),IF(J129="F",VLOOKUP(AA129,T100Pts!BU$5:BZ$44,(L129+1)),""))))</f>
        <v>-</v>
      </c>
      <c r="AC129" s="227"/>
      <c r="AD129" s="116" t="str">
        <f>IF($L129="X","-",IF(AC129="","-",IF(J129="M",VLOOKUP(AC129,T100Pts!A$5:I$1146,(L129+1)),IF(J129="F",VLOOKUP(AC129,T100Pts!K$5:S$1146,(L129+1)),""))))</f>
        <v>-</v>
      </c>
      <c r="AE129" s="117" t="str">
        <f t="shared" si="19"/>
        <v>-</v>
      </c>
      <c r="AF129" s="114" t="str">
        <f t="shared" si="20"/>
        <v>-</v>
      </c>
      <c r="AG129" s="115" t="e">
        <f t="shared" si="21"/>
        <v>#DIV/0!</v>
      </c>
      <c r="AH129" s="114" t="str">
        <f t="shared" si="15"/>
        <v>-</v>
      </c>
      <c r="AI129" s="161"/>
      <c r="AJ129" s="77" t="str">
        <f t="shared" si="24"/>
        <v/>
      </c>
    </row>
    <row r="130" spans="1:36" ht="15.75" customHeight="1" x14ac:dyDescent="0.2">
      <c r="A130" s="138">
        <v>117</v>
      </c>
      <c r="B130" s="168"/>
      <c r="C130" s="137"/>
      <c r="D130" s="169"/>
      <c r="E130" s="183"/>
      <c r="F130" s="173"/>
      <c r="G130" s="168"/>
      <c r="H130" s="168"/>
      <c r="I130" s="139" t="str">
        <f t="shared" si="25"/>
        <v>-</v>
      </c>
      <c r="J130" s="203" t="s">
        <v>139</v>
      </c>
      <c r="K130" s="153" t="str">
        <f t="shared" si="26"/>
        <v>-</v>
      </c>
      <c r="L130" s="153" t="str">
        <f>IF(F130="","-",IF(K130&lt;&gt;"",VLOOKUP(K130,T100Pts!CH$4:CI$59,(2))))</f>
        <v>-</v>
      </c>
      <c r="M130" s="155"/>
      <c r="N130" s="153" t="str">
        <f>IF($L130="X","-",IF(M130="","-",IF(J130="M",VLOOKUP(M130,T100Pts!U$5:AC$86,(L130+1)),IF(J130="F",VLOOKUP(M130,T100Pts!AE$5:AM$86,(L130+1)),""))))</f>
        <v>-</v>
      </c>
      <c r="O130" s="155"/>
      <c r="P130" s="140" t="str">
        <f>IF($L130="X","-",IF(O130="","-",IF(J130="M",VLOOKUP(O130,T100Pts!AO$5:AW$126,(L130+1)),IF(J130="F",VLOOKUP(O130,T100Pts!AY$5:BG$126,(L130+1)),""))))</f>
        <v>-</v>
      </c>
      <c r="Q130" s="157"/>
      <c r="R130" s="140" t="str">
        <f>IF(OR($L130="X",$L130=6,$L130=7),"-",IF(Q130="","-",IF(J130="M",VLOOKUP(Q130,T100Pts!BI$5:BN$44,(L130+1)),IF(J130="F",VLOOKUP(Q130,T100Pts!BU$5:BZ$44,(L130+1)),""))))</f>
        <v>-</v>
      </c>
      <c r="S130" s="155"/>
      <c r="T130" s="140" t="str">
        <f>IF($L130="X","-",IF(S130="","-",IF(J130="M",VLOOKUP(S130,T100Pts!A$5:I$1146,(L130+1)),IF(J130="F",VLOOKUP(S130,T100Pts!K$5:S$1147,(L130+1)),""))))</f>
        <v>-</v>
      </c>
      <c r="U130" s="141" t="str">
        <f t="shared" si="17"/>
        <v>-</v>
      </c>
      <c r="V130" s="79" t="str">
        <f t="shared" si="18"/>
        <v>-</v>
      </c>
      <c r="W130" s="155"/>
      <c r="X130" s="116" t="str">
        <f>IF($L130="X","-",IF(W130="","-",IF(J130="M",VLOOKUP(W130,T100Pts!U$5:AC$86,(L130+1)),IF(J130="F",VLOOKUP(W130,T100Pts!AE$5:AM$86,(L130+1)),""))))</f>
        <v>-</v>
      </c>
      <c r="Y130" s="163"/>
      <c r="Z130" s="116" t="str">
        <f>IF($L130="X","-",IF(Y130="","-",IF(J130="M",VLOOKUP(Y130,T100Pts!AO$5:AW$126,(L130+1)),IF(J130="F",VLOOKUP(Y130,T100Pts!AY$5:BG$126,(L130+1)),""))))</f>
        <v>-</v>
      </c>
      <c r="AA130" s="165"/>
      <c r="AB130" s="116" t="str">
        <f>IF(OR($L130="X",$L130=6,$L130=7),"-",IF(AA130="","-",IF(J130="M",VLOOKUP(AA130,T100Pts!BI$5:BN$44,(L130+1)),IF(J130="F",VLOOKUP(AA130,T100Pts!BU$5:BZ$44,(L130+1)),""))))</f>
        <v>-</v>
      </c>
      <c r="AC130" s="228"/>
      <c r="AD130" s="116" t="str">
        <f>IF($L130="X","-",IF(AC130="","-",IF(J130="M",VLOOKUP(AC130,T100Pts!A$5:I$1146,(L130+1)),IF(J130="F",VLOOKUP(AC130,T100Pts!K$5:S$1146,(L130+1)),""))))</f>
        <v>-</v>
      </c>
      <c r="AE130" s="117" t="str">
        <f t="shared" si="19"/>
        <v>-</v>
      </c>
      <c r="AF130" s="114" t="str">
        <f t="shared" si="20"/>
        <v>-</v>
      </c>
      <c r="AG130" s="115" t="e">
        <f t="shared" si="21"/>
        <v>#DIV/0!</v>
      </c>
      <c r="AH130" s="114" t="str">
        <f t="shared" si="15"/>
        <v>-</v>
      </c>
      <c r="AI130" s="161"/>
      <c r="AJ130" s="77" t="str">
        <f t="shared" si="24"/>
        <v/>
      </c>
    </row>
    <row r="131" spans="1:36" ht="15.75" customHeight="1" x14ac:dyDescent="0.2">
      <c r="A131" s="138">
        <v>118</v>
      </c>
      <c r="B131" s="168"/>
      <c r="C131" s="137"/>
      <c r="D131" s="169"/>
      <c r="E131" s="183"/>
      <c r="F131" s="173"/>
      <c r="G131" s="168"/>
      <c r="H131" s="168"/>
      <c r="I131" s="139" t="str">
        <f t="shared" si="25"/>
        <v>-</v>
      </c>
      <c r="J131" s="203" t="s">
        <v>139</v>
      </c>
      <c r="K131" s="153" t="str">
        <f t="shared" si="26"/>
        <v>-</v>
      </c>
      <c r="L131" s="153" t="str">
        <f>IF(F131="","-",IF(K131&lt;&gt;"",VLOOKUP(K131,T100Pts!CH$4:CI$59,(2))))</f>
        <v>-</v>
      </c>
      <c r="M131" s="155"/>
      <c r="N131" s="153" t="str">
        <f>IF($L131="X","-",IF(M131="","-",IF(J131="M",VLOOKUP(M131,T100Pts!U$5:AC$86,(L131+1)),IF(J131="F",VLOOKUP(M131,T100Pts!AE$5:AM$86,(L131+1)),""))))</f>
        <v>-</v>
      </c>
      <c r="O131" s="155"/>
      <c r="P131" s="140" t="str">
        <f>IF($L131="X","-",IF(O131="","-",IF(J131="M",VLOOKUP(O131,T100Pts!AO$5:AW$126,(L131+1)),IF(J131="F",VLOOKUP(O131,T100Pts!AY$5:BG$126,(L131+1)),""))))</f>
        <v>-</v>
      </c>
      <c r="Q131" s="157"/>
      <c r="R131" s="140" t="str">
        <f>IF(OR($L131="X",$L131=6,$L131=7),"-",IF(Q131="","-",IF(J131="M",VLOOKUP(Q131,T100Pts!BI$5:BN$44,(L131+1)),IF(J131="F",VLOOKUP(Q131,T100Pts!BU$5:BZ$44,(L131+1)),""))))</f>
        <v>-</v>
      </c>
      <c r="S131" s="155"/>
      <c r="T131" s="140" t="str">
        <f>IF($L131="X","-",IF(S131="","-",IF(J131="M",VLOOKUP(S131,T100Pts!A$5:I$1146,(L131+1)),IF(J131="F",VLOOKUP(S131,T100Pts!K$5:S$1147,(L131+1)),""))))</f>
        <v>-</v>
      </c>
      <c r="U131" s="141" t="str">
        <f t="shared" si="17"/>
        <v>-</v>
      </c>
      <c r="V131" s="79" t="str">
        <f t="shared" si="18"/>
        <v>-</v>
      </c>
      <c r="W131" s="155"/>
      <c r="X131" s="116" t="str">
        <f>IF($L131="X","-",IF(W131="","-",IF(J131="M",VLOOKUP(W131,T100Pts!U$5:AC$86,(L131+1)),IF(J131="F",VLOOKUP(W131,T100Pts!AE$5:AM$86,(L131+1)),""))))</f>
        <v>-</v>
      </c>
      <c r="Y131" s="163"/>
      <c r="Z131" s="116" t="str">
        <f>IF($L131="X","-",IF(Y131="","-",IF(J131="M",VLOOKUP(Y131,T100Pts!AO$5:AW$126,(L131+1)),IF(J131="F",VLOOKUP(Y131,T100Pts!AY$5:BG$126,(L131+1)),""))))</f>
        <v>-</v>
      </c>
      <c r="AA131" s="165"/>
      <c r="AB131" s="116" t="str">
        <f>IF(OR($L131="X",$L131=6,$L131=7),"-",IF(AA131="","-",IF(J131="M",VLOOKUP(AA131,T100Pts!BI$5:BN$44,(L131+1)),IF(J131="F",VLOOKUP(AA131,T100Pts!BU$5:BZ$44,(L131+1)),""))))</f>
        <v>-</v>
      </c>
      <c r="AC131" s="227"/>
      <c r="AD131" s="116" t="str">
        <f>IF($L131="X","-",IF(AC131="","-",IF(J131="M",VLOOKUP(AC131,T100Pts!A$5:I$1146,(L131+1)),IF(J131="F",VLOOKUP(AC131,T100Pts!K$5:S$1146,(L131+1)),""))))</f>
        <v>-</v>
      </c>
      <c r="AE131" s="117" t="str">
        <f t="shared" si="19"/>
        <v>-</v>
      </c>
      <c r="AF131" s="114" t="str">
        <f t="shared" si="20"/>
        <v>-</v>
      </c>
      <c r="AG131" s="115" t="e">
        <f t="shared" si="21"/>
        <v>#DIV/0!</v>
      </c>
      <c r="AH131" s="114" t="str">
        <f t="shared" si="15"/>
        <v>-</v>
      </c>
      <c r="AI131" s="161"/>
      <c r="AJ131" s="77" t="str">
        <f t="shared" si="24"/>
        <v/>
      </c>
    </row>
    <row r="132" spans="1:36" ht="15.75" customHeight="1" x14ac:dyDescent="0.2">
      <c r="A132" s="138">
        <v>119</v>
      </c>
      <c r="B132" s="168"/>
      <c r="C132" s="137"/>
      <c r="D132" s="169"/>
      <c r="E132" s="183"/>
      <c r="F132" s="173"/>
      <c r="G132" s="168"/>
      <c r="H132" s="168"/>
      <c r="I132" s="139" t="str">
        <f t="shared" si="25"/>
        <v>-</v>
      </c>
      <c r="J132" s="181" t="s">
        <v>140</v>
      </c>
      <c r="K132" s="153" t="str">
        <f t="shared" si="26"/>
        <v>-</v>
      </c>
      <c r="L132" s="153" t="str">
        <f>IF(F132="","-",IF(K132&lt;&gt;"",VLOOKUP(K132,T100Pts!CH$4:CI$59,(2))))</f>
        <v>-</v>
      </c>
      <c r="M132" s="155"/>
      <c r="N132" s="153" t="str">
        <f>IF($L132="X","-",IF(M132="","-",IF(J132="M",VLOOKUP(M132,T100Pts!U$5:AC$86,(L132+1)),IF(J132="F",VLOOKUP(M132,T100Pts!AE$5:AM$86,(L132+1)),""))))</f>
        <v>-</v>
      </c>
      <c r="O132" s="155"/>
      <c r="P132" s="140" t="str">
        <f>IF($L132="X","-",IF(O132="","-",IF(J132="M",VLOOKUP(O132,T100Pts!AO$5:AW$126,(L132+1)),IF(J132="F",VLOOKUP(O132,T100Pts!AY$5:BG$126,(L132+1)),""))))</f>
        <v>-</v>
      </c>
      <c r="Q132" s="157"/>
      <c r="R132" s="140" t="str">
        <f>IF(OR($L132="X",$L132=6,$L132=7),"-",IF(Q132="","-",IF(J132="M",VLOOKUP(Q132,T100Pts!BI$5:BN$44,(L132+1)),IF(J132="F",VLOOKUP(Q132,T100Pts!BU$5:BZ$44,(L132+1)),""))))</f>
        <v>-</v>
      </c>
      <c r="S132" s="155"/>
      <c r="T132" s="140" t="str">
        <f>IF($L132="X","-",IF(S132="","-",IF(J132="M",VLOOKUP(S132,T100Pts!A$5:I$1146,(L132+1)),IF(J132="F",VLOOKUP(S132,T100Pts!K$5:S$1147,(L132+1)),""))))</f>
        <v>-</v>
      </c>
      <c r="U132" s="141" t="str">
        <f t="shared" si="17"/>
        <v>-</v>
      </c>
      <c r="V132" s="79" t="str">
        <f t="shared" si="18"/>
        <v>-</v>
      </c>
      <c r="W132" s="155"/>
      <c r="X132" s="116" t="str">
        <f>IF($L132="X","-",IF(W132="","-",IF(J132="M",VLOOKUP(W132,T100Pts!U$5:AC$86,(L132+1)),IF(J132="F",VLOOKUP(W132,T100Pts!AE$5:AM$86,(L132+1)),""))))</f>
        <v>-</v>
      </c>
      <c r="Y132" s="163"/>
      <c r="Z132" s="116" t="str">
        <f>IF($L132="X","-",IF(Y132="","-",IF(J132="M",VLOOKUP(Y132,T100Pts!AO$5:AW$126,(L132+1)),IF(J132="F",VLOOKUP(Y132,T100Pts!AY$5:BG$126,(L132+1)),""))))</f>
        <v>-</v>
      </c>
      <c r="AA132" s="165"/>
      <c r="AB132" s="116" t="str">
        <f>IF(OR($L132="X",$L132=6,$L132=7),"-",IF(AA132="","-",IF(J132="M",VLOOKUP(AA132,T100Pts!BI$5:BN$44,(L132+1)),IF(J132="F",VLOOKUP(AA132,T100Pts!BU$5:BZ$44,(L132+1)),""))))</f>
        <v>-</v>
      </c>
      <c r="AC132" s="228"/>
      <c r="AD132" s="116" t="str">
        <f>IF($L132="X","-",IF(AC132="","-",IF(J132="M",VLOOKUP(AC132,T100Pts!A$5:I$1146,(L132+1)),IF(J132="F",VLOOKUP(AC132,T100Pts!K$5:S$1146,(L132+1)),""))))</f>
        <v>-</v>
      </c>
      <c r="AE132" s="117" t="str">
        <f t="shared" si="19"/>
        <v>-</v>
      </c>
      <c r="AF132" s="114" t="str">
        <f t="shared" si="20"/>
        <v>-</v>
      </c>
      <c r="AG132" s="115" t="e">
        <f t="shared" si="21"/>
        <v>#DIV/0!</v>
      </c>
      <c r="AH132" s="114" t="str">
        <f t="shared" si="15"/>
        <v>-</v>
      </c>
      <c r="AI132" s="161"/>
      <c r="AJ132" s="77" t="str">
        <f t="shared" si="24"/>
        <v/>
      </c>
    </row>
    <row r="133" spans="1:36" ht="15.75" customHeight="1" x14ac:dyDescent="0.2">
      <c r="A133" s="138">
        <v>120</v>
      </c>
      <c r="B133" s="168"/>
      <c r="C133" s="137"/>
      <c r="D133" s="169"/>
      <c r="E133" s="183"/>
      <c r="F133" s="173"/>
      <c r="G133" s="168"/>
      <c r="H133" s="168"/>
      <c r="I133" s="139" t="str">
        <f t="shared" si="25"/>
        <v>-</v>
      </c>
      <c r="J133" s="181" t="s">
        <v>139</v>
      </c>
      <c r="K133" s="153" t="str">
        <f t="shared" si="26"/>
        <v>-</v>
      </c>
      <c r="L133" s="153" t="str">
        <f>IF(F133="","-",IF(K133&lt;&gt;"",VLOOKUP(K133,T100Pts!CH$4:CI$59,(2))))</f>
        <v>-</v>
      </c>
      <c r="M133" s="155"/>
      <c r="N133" s="153" t="str">
        <f>IF($L133="X","-",IF(M133="","-",IF(J133="M",VLOOKUP(M133,T100Pts!U$5:AC$86,(L133+1)),IF(J133="F",VLOOKUP(M133,T100Pts!AE$5:AM$86,(L133+1)),""))))</f>
        <v>-</v>
      </c>
      <c r="O133" s="155"/>
      <c r="P133" s="140" t="str">
        <f>IF($L133="X","-",IF(O133="","-",IF(J133="M",VLOOKUP(O133,T100Pts!AO$5:AW$126,(L133+1)),IF(J133="F",VLOOKUP(O133,T100Pts!AY$5:BG$126,(L133+1)),""))))</f>
        <v>-</v>
      </c>
      <c r="Q133" s="157"/>
      <c r="R133" s="140" t="str">
        <f>IF(OR($L133="X",$L133=6,$L133=7),"-",IF(Q133="","-",IF(J133="M",VLOOKUP(Q133,T100Pts!BI$5:BN$44,(L133+1)),IF(J133="F",VLOOKUP(Q133,T100Pts!BU$5:BZ$44,(L133+1)),""))))</f>
        <v>-</v>
      </c>
      <c r="S133" s="155"/>
      <c r="T133" s="140" t="str">
        <f>IF($L133="X","-",IF(S133="","-",IF(J133="M",VLOOKUP(S133,T100Pts!A$5:I$1146,(L133+1)),IF(J133="F",VLOOKUP(S133,T100Pts!K$5:S$1147,(L133+1)),""))))</f>
        <v>-</v>
      </c>
      <c r="U133" s="141" t="str">
        <f t="shared" si="17"/>
        <v>-</v>
      </c>
      <c r="V133" s="79" t="str">
        <f t="shared" si="18"/>
        <v>-</v>
      </c>
      <c r="W133" s="155"/>
      <c r="X133" s="116" t="str">
        <f>IF($L133="X","-",IF(W133="","-",IF(J133="M",VLOOKUP(W133,T100Pts!U$5:AC$86,(L133+1)),IF(J133="F",VLOOKUP(W133,T100Pts!AE$5:AM$86,(L133+1)),""))))</f>
        <v>-</v>
      </c>
      <c r="Y133" s="163"/>
      <c r="Z133" s="116" t="str">
        <f>IF($L133="X","-",IF(Y133="","-",IF(J133="M",VLOOKUP(Y133,T100Pts!AO$5:AW$126,(L133+1)),IF(J133="F",VLOOKUP(Y133,T100Pts!AY$5:BG$126,(L133+1)),""))))</f>
        <v>-</v>
      </c>
      <c r="AA133" s="165"/>
      <c r="AB133" s="116" t="str">
        <f>IF(OR($L133="X",$L133=6,$L133=7),"-",IF(AA133="","-",IF(J133="M",VLOOKUP(AA133,T100Pts!BI$5:BN$44,(L133+1)),IF(J133="F",VLOOKUP(AA133,T100Pts!BU$5:BZ$44,(L133+1)),""))))</f>
        <v>-</v>
      </c>
      <c r="AC133" s="227"/>
      <c r="AD133" s="116" t="str">
        <f>IF($L133="X","-",IF(AC133="","-",IF(J133="M",VLOOKUP(AC133,T100Pts!A$5:I$1146,(L133+1)),IF(J133="F",VLOOKUP(AC133,T100Pts!K$5:S$1146,(L133+1)),""))))</f>
        <v>-</v>
      </c>
      <c r="AE133" s="117" t="str">
        <f t="shared" si="19"/>
        <v>-</v>
      </c>
      <c r="AF133" s="114" t="str">
        <f t="shared" si="20"/>
        <v>-</v>
      </c>
      <c r="AG133" s="115" t="e">
        <f t="shared" si="21"/>
        <v>#DIV/0!</v>
      </c>
      <c r="AH133" s="114" t="str">
        <f t="shared" si="15"/>
        <v>-</v>
      </c>
      <c r="AI133" s="161"/>
      <c r="AJ133" s="77" t="str">
        <f t="shared" si="24"/>
        <v/>
      </c>
    </row>
    <row r="134" spans="1:36" ht="15.75" customHeight="1" x14ac:dyDescent="0.2">
      <c r="A134" s="138">
        <v>121</v>
      </c>
      <c r="B134" s="168"/>
      <c r="C134" s="137"/>
      <c r="D134" s="169"/>
      <c r="E134" s="183"/>
      <c r="F134" s="173"/>
      <c r="G134" s="168"/>
      <c r="H134" s="168"/>
      <c r="I134" s="139" t="str">
        <f t="shared" si="25"/>
        <v>-</v>
      </c>
      <c r="J134" s="203" t="s">
        <v>139</v>
      </c>
      <c r="K134" s="153" t="str">
        <f t="shared" si="26"/>
        <v>-</v>
      </c>
      <c r="L134" s="153" t="str">
        <f>IF(F134="","-",IF(K134&lt;&gt;"",VLOOKUP(K134,T100Pts!CH$4:CI$59,(2))))</f>
        <v>-</v>
      </c>
      <c r="M134" s="155"/>
      <c r="N134" s="153" t="str">
        <f>IF($L134="X","-",IF(M134="","-",IF(J134="M",VLOOKUP(M134,T100Pts!U$5:AC$86,(L134+1)),IF(J134="F",VLOOKUP(M134,T100Pts!AE$5:AM$86,(L134+1)),""))))</f>
        <v>-</v>
      </c>
      <c r="O134" s="155"/>
      <c r="P134" s="140" t="str">
        <f>IF($L134="X","-",IF(O134="","-",IF(J134="M",VLOOKUP(O134,T100Pts!AO$5:AW$126,(L134+1)),IF(J134="F",VLOOKUP(O134,T100Pts!AY$5:BG$126,(L134+1)),""))))</f>
        <v>-</v>
      </c>
      <c r="Q134" s="157"/>
      <c r="R134" s="140" t="str">
        <f>IF(OR($L134="X",$L134=6,$L134=7),"-",IF(Q134="","-",IF(J134="M",VLOOKUP(Q134,T100Pts!BI$5:BN$44,(L134+1)),IF(J134="F",VLOOKUP(Q134,T100Pts!BU$5:BZ$44,(L134+1)),""))))</f>
        <v>-</v>
      </c>
      <c r="S134" s="155"/>
      <c r="T134" s="140" t="str">
        <f>IF($L134="X","-",IF(S134="","-",IF(J134="M",VLOOKUP(S134,T100Pts!A$5:I$1146,(L134+1)),IF(J134="F",VLOOKUP(S134,T100Pts!K$5:S$1147,(L134+1)),""))))</f>
        <v>-</v>
      </c>
      <c r="U134" s="141" t="str">
        <f t="shared" si="17"/>
        <v>-</v>
      </c>
      <c r="V134" s="79" t="str">
        <f t="shared" si="18"/>
        <v>-</v>
      </c>
      <c r="W134" s="155"/>
      <c r="X134" s="116" t="str">
        <f>IF($L134="X","-",IF(W134="","-",IF(J134="M",VLOOKUP(W134,T100Pts!U$5:AC$86,(L134+1)),IF(J134="F",VLOOKUP(W134,T100Pts!AE$5:AM$86,(L134+1)),""))))</f>
        <v>-</v>
      </c>
      <c r="Y134" s="163"/>
      <c r="Z134" s="116" t="str">
        <f>IF($L134="X","-",IF(Y134="","-",IF(J134="M",VLOOKUP(Y134,T100Pts!AO$5:AW$126,(L134+1)),IF(J134="F",VLOOKUP(Y134,T100Pts!AY$5:BG$126,(L134+1)),""))))</f>
        <v>-</v>
      </c>
      <c r="AA134" s="165"/>
      <c r="AB134" s="116" t="str">
        <f>IF(OR($L134="X",$L134=6,$L134=7),"-",IF(AA134="","-",IF(J134="M",VLOOKUP(AA134,T100Pts!BI$5:BN$44,(L134+1)),IF(J134="F",VLOOKUP(AA134,T100Pts!BU$5:BZ$44,(L134+1)),""))))</f>
        <v>-</v>
      </c>
      <c r="AC134" s="163"/>
      <c r="AD134" s="116" t="str">
        <f>IF($L134="X","-",IF(AC134="","-",IF(J134="M",VLOOKUP(AC134,T100Pts!A$5:I$1146,(L134+1)),IF(J134="F",VLOOKUP(AC134,T100Pts!K$5:S$1146,(L134+1)),""))))</f>
        <v>-</v>
      </c>
      <c r="AE134" s="117" t="str">
        <f t="shared" si="19"/>
        <v>-</v>
      </c>
      <c r="AF134" s="114" t="str">
        <f t="shared" si="20"/>
        <v>-</v>
      </c>
      <c r="AG134" s="115" t="e">
        <f t="shared" si="21"/>
        <v>#DIV/0!</v>
      </c>
      <c r="AH134" s="114" t="str">
        <f t="shared" si="15"/>
        <v>-</v>
      </c>
      <c r="AI134" s="161" t="s">
        <v>219</v>
      </c>
      <c r="AJ134" s="77" t="str">
        <f t="shared" si="24"/>
        <v/>
      </c>
    </row>
    <row r="135" spans="1:36" ht="15.75" customHeight="1" x14ac:dyDescent="0.2">
      <c r="A135" s="138">
        <v>122</v>
      </c>
      <c r="B135" s="168"/>
      <c r="C135" s="137"/>
      <c r="D135" s="169"/>
      <c r="E135" s="183"/>
      <c r="F135" s="173"/>
      <c r="G135" s="168"/>
      <c r="H135" s="168"/>
      <c r="I135" s="139" t="str">
        <f t="shared" si="25"/>
        <v>-</v>
      </c>
      <c r="J135" s="203" t="s">
        <v>139</v>
      </c>
      <c r="K135" s="153" t="str">
        <f t="shared" si="26"/>
        <v>-</v>
      </c>
      <c r="L135" s="153" t="str">
        <f>IF(F135="","-",IF(K135&lt;&gt;"",VLOOKUP(K135,T100Pts!CH$4:CI$59,(2))))</f>
        <v>-</v>
      </c>
      <c r="M135" s="155"/>
      <c r="N135" s="153" t="str">
        <f>IF($L135="X","-",IF(M135="","-",IF(J135="M",VLOOKUP(M135,T100Pts!U$5:AC$86,(L135+1)),IF(J135="F",VLOOKUP(M135,T100Pts!AE$5:AM$86,(L135+1)),""))))</f>
        <v>-</v>
      </c>
      <c r="O135" s="155"/>
      <c r="P135" s="140" t="str">
        <f>IF($L135="X","-",IF(O135="","-",IF(J135="M",VLOOKUP(O135,T100Pts!AO$5:AW$126,(L135+1)),IF(J135="F",VLOOKUP(O135,T100Pts!AY$5:BG$126,(L135+1)),""))))</f>
        <v>-</v>
      </c>
      <c r="Q135" s="157"/>
      <c r="R135" s="140" t="str">
        <f>IF(OR($L135="X",$L135=6,$L135=7),"-",IF(Q135="","-",IF(J135="M",VLOOKUP(Q135,T100Pts!BI$5:BN$44,(L135+1)),IF(J135="F",VLOOKUP(Q135,T100Pts!BU$5:BZ$44,(L135+1)),""))))</f>
        <v>-</v>
      </c>
      <c r="S135" s="155"/>
      <c r="T135" s="140" t="str">
        <f>IF($L135="X","-",IF(S135="","-",IF(J135="M",VLOOKUP(S135,T100Pts!A$5:I$1146,(L135+1)),IF(J135="F",VLOOKUP(S135,T100Pts!K$5:S$1147,(L135+1)),""))))</f>
        <v>-</v>
      </c>
      <c r="U135" s="141" t="str">
        <f t="shared" si="17"/>
        <v>-</v>
      </c>
      <c r="V135" s="79" t="str">
        <f t="shared" si="18"/>
        <v>-</v>
      </c>
      <c r="W135" s="155"/>
      <c r="X135" s="116" t="str">
        <f>IF($L135="X","-",IF(W135="","-",IF(J135="M",VLOOKUP(W135,T100Pts!U$5:AC$86,(L135+1)),IF(J135="F",VLOOKUP(W135,T100Pts!AE$5:AM$86,(L135+1)),""))))</f>
        <v>-</v>
      </c>
      <c r="Y135" s="163"/>
      <c r="Z135" s="116" t="str">
        <f>IF($L135="X","-",IF(Y135="","-",IF(J135="M",VLOOKUP(Y135,T100Pts!AO$5:AW$126,(L135+1)),IF(J135="F",VLOOKUP(Y135,T100Pts!AY$5:BG$126,(L135+1)),""))))</f>
        <v>-</v>
      </c>
      <c r="AA135" s="165"/>
      <c r="AB135" s="116" t="str">
        <f>IF(OR($L135="X",$L135=6,$L135=7),"-",IF(AA135="","-",IF(J135="M",VLOOKUP(AA135,T100Pts!BI$5:BN$44,(L135+1)),IF(J135="F",VLOOKUP(AA135,T100Pts!BU$5:BZ$44,(L135+1)),""))))</f>
        <v>-</v>
      </c>
      <c r="AC135" s="228"/>
      <c r="AD135" s="116" t="str">
        <f>IF($L135="X","-",IF(AC135="","-",IF(J135="M",VLOOKUP(AC135,T100Pts!A$5:I$1146,(L135+1)),IF(J135="F",VLOOKUP(AC135,T100Pts!K$5:S$1146,(L135+1)),""))))</f>
        <v>-</v>
      </c>
      <c r="AE135" s="117" t="str">
        <f t="shared" si="19"/>
        <v>-</v>
      </c>
      <c r="AF135" s="114" t="str">
        <f t="shared" si="20"/>
        <v>-</v>
      </c>
      <c r="AG135" s="115" t="e">
        <f t="shared" si="21"/>
        <v>#DIV/0!</v>
      </c>
      <c r="AH135" s="114" t="str">
        <f t="shared" si="15"/>
        <v>-</v>
      </c>
      <c r="AI135" s="161"/>
      <c r="AJ135" s="77" t="str">
        <f t="shared" si="24"/>
        <v/>
      </c>
    </row>
    <row r="136" spans="1:36" ht="15.75" customHeight="1" x14ac:dyDescent="0.2">
      <c r="A136" s="138">
        <v>123</v>
      </c>
      <c r="B136" s="168"/>
      <c r="C136" s="137"/>
      <c r="D136" s="169"/>
      <c r="E136" s="183"/>
      <c r="F136" s="173"/>
      <c r="G136" s="168"/>
      <c r="H136" s="168"/>
      <c r="I136" s="139" t="str">
        <f t="shared" si="25"/>
        <v>-</v>
      </c>
      <c r="J136" s="203" t="s">
        <v>139</v>
      </c>
      <c r="K136" s="153" t="str">
        <f t="shared" si="26"/>
        <v>-</v>
      </c>
      <c r="L136" s="153" t="str">
        <f>IF(F136="","-",IF(K136&lt;&gt;"",VLOOKUP(K136,T100Pts!CH$4:CI$59,(2))))</f>
        <v>-</v>
      </c>
      <c r="M136" s="155"/>
      <c r="N136" s="153" t="str">
        <f>IF($L136="X","-",IF(M136="","-",IF(J136="M",VLOOKUP(M136,T100Pts!U$5:AC$86,(L136+1)),IF(J136="F",VLOOKUP(M136,T100Pts!AE$5:AM$86,(L136+1)),""))))</f>
        <v>-</v>
      </c>
      <c r="O136" s="155"/>
      <c r="P136" s="140" t="str">
        <f>IF($L136="X","-",IF(O136="","-",IF(J136="M",VLOOKUP(O136,T100Pts!AO$5:AW$126,(L136+1)),IF(J136="F",VLOOKUP(O136,T100Pts!AY$5:BG$126,(L136+1)),""))))</f>
        <v>-</v>
      </c>
      <c r="Q136" s="157"/>
      <c r="R136" s="140" t="str">
        <f>IF(OR($L136="X",$L136=6,$L136=7),"-",IF(Q136="","-",IF(J136="M",VLOOKUP(Q136,T100Pts!BI$5:BN$44,(L136+1)),IF(J136="F",VLOOKUP(Q136,T100Pts!BU$5:BZ$44,(L136+1)),""))))</f>
        <v>-</v>
      </c>
      <c r="S136" s="155"/>
      <c r="T136" s="140" t="str">
        <f>IF($L136="X","-",IF(S136="","-",IF(J136="M",VLOOKUP(S136,T100Pts!A$5:I$1146,(L136+1)),IF(J136="F",VLOOKUP(S136,T100Pts!K$5:S$1147,(L136+1)),""))))</f>
        <v>-</v>
      </c>
      <c r="U136" s="141" t="str">
        <f t="shared" si="17"/>
        <v>-</v>
      </c>
      <c r="V136" s="79" t="str">
        <f t="shared" si="18"/>
        <v>-</v>
      </c>
      <c r="W136" s="155"/>
      <c r="X136" s="116" t="str">
        <f>IF($L136="X","-",IF(W136="","-",IF(J136="M",VLOOKUP(W136,T100Pts!U$5:AC$86,(L136+1)),IF(J136="F",VLOOKUP(W136,T100Pts!AE$5:AM$86,(L136+1)),""))))</f>
        <v>-</v>
      </c>
      <c r="Y136" s="163"/>
      <c r="Z136" s="116" t="str">
        <f>IF($L136="X","-",IF(Y136="","-",IF(J136="M",VLOOKUP(Y136,T100Pts!AO$5:AW$126,(L136+1)),IF(J136="F",VLOOKUP(Y136,T100Pts!AY$5:BG$126,(L136+1)),""))))</f>
        <v>-</v>
      </c>
      <c r="AA136" s="165"/>
      <c r="AB136" s="116" t="str">
        <f>IF(OR($L136="X",$L136=6,$L136=7),"-",IF(AA136="","-",IF(J136="M",VLOOKUP(AA136,T100Pts!BI$5:BN$44,(L136+1)),IF(J136="F",VLOOKUP(AA136,T100Pts!BU$5:BZ$44,(L136+1)),""))))</f>
        <v>-</v>
      </c>
      <c r="AC136" s="163"/>
      <c r="AD136" s="116" t="str">
        <f>IF($L136="X","-",IF(AC136="","-",IF(J136="M",VLOOKUP(AC136,T100Pts!A$5:I$1146,(L136+1)),IF(J136="F",VLOOKUP(AC136,T100Pts!K$5:S$1146,(L136+1)),""))))</f>
        <v>-</v>
      </c>
      <c r="AE136" s="117" t="str">
        <f t="shared" si="19"/>
        <v>-</v>
      </c>
      <c r="AF136" s="114" t="str">
        <f t="shared" si="20"/>
        <v>-</v>
      </c>
      <c r="AG136" s="115" t="e">
        <f t="shared" si="21"/>
        <v>#DIV/0!</v>
      </c>
      <c r="AH136" s="114" t="str">
        <f t="shared" si="15"/>
        <v>-</v>
      </c>
      <c r="AI136" s="265" t="s">
        <v>212</v>
      </c>
      <c r="AJ136" s="77" t="str">
        <f t="shared" si="24"/>
        <v/>
      </c>
    </row>
    <row r="137" spans="1:36" ht="15.75" customHeight="1" x14ac:dyDescent="0.2">
      <c r="A137" s="138">
        <v>124</v>
      </c>
      <c r="B137" s="168"/>
      <c r="C137" s="137"/>
      <c r="D137" s="169"/>
      <c r="E137" s="183"/>
      <c r="F137" s="173"/>
      <c r="G137" s="168"/>
      <c r="H137" s="168"/>
      <c r="I137" s="139" t="str">
        <f t="shared" si="25"/>
        <v>-</v>
      </c>
      <c r="J137" s="203" t="s">
        <v>139</v>
      </c>
      <c r="K137" s="153" t="str">
        <f t="shared" si="26"/>
        <v>-</v>
      </c>
      <c r="L137" s="153" t="str">
        <f>IF(F137="","-",IF(K137&lt;&gt;"",VLOOKUP(K137,T100Pts!CH$4:CI$59,(2))))</f>
        <v>-</v>
      </c>
      <c r="M137" s="155"/>
      <c r="N137" s="153" t="str">
        <f>IF($L137="X","-",IF(M137="","-",IF(J137="M",VLOOKUP(M137,T100Pts!U$5:AC$86,(L137+1)),IF(J137="F",VLOOKUP(M137,T100Pts!AE$5:AM$86,(L137+1)),""))))</f>
        <v>-</v>
      </c>
      <c r="O137" s="155"/>
      <c r="P137" s="140" t="str">
        <f>IF($L137="X","-",IF(O137="","-",IF(J137="M",VLOOKUP(O137,T100Pts!AO$5:AW$126,(L137+1)),IF(J137="F",VLOOKUP(O137,T100Pts!AY$5:BG$126,(L137+1)),""))))</f>
        <v>-</v>
      </c>
      <c r="Q137" s="157"/>
      <c r="R137" s="140" t="str">
        <f>IF(OR($L137="X",$L137=6,$L137=7),"-",IF(Q137="","-",IF(J137="M",VLOOKUP(Q137,T100Pts!BI$5:BN$44,(L137+1)),IF(J137="F",VLOOKUP(Q137,T100Pts!BU$5:BZ$44,(L137+1)),""))))</f>
        <v>-</v>
      </c>
      <c r="S137" s="155"/>
      <c r="T137" s="140" t="str">
        <f>IF($L137="X","-",IF(S137="","-",IF(J137="M",VLOOKUP(S137,T100Pts!A$5:I$1146,(L137+1)),IF(J137="F",VLOOKUP(S137,T100Pts!K$5:S$1147,(L137+1)),""))))</f>
        <v>-</v>
      </c>
      <c r="U137" s="141" t="str">
        <f t="shared" si="17"/>
        <v>-</v>
      </c>
      <c r="V137" s="79" t="str">
        <f t="shared" si="18"/>
        <v>-</v>
      </c>
      <c r="W137" s="155"/>
      <c r="X137" s="116" t="str">
        <f>IF($L137="X","-",IF(W137="","-",IF(J137="M",VLOOKUP(W137,T100Pts!U$5:AC$86,(L137+1)),IF(J137="F",VLOOKUP(W137,T100Pts!AE$5:AM$86,(L137+1)),""))))</f>
        <v>-</v>
      </c>
      <c r="Y137" s="163"/>
      <c r="Z137" s="116" t="str">
        <f>IF($L137="X","-",IF(Y137="","-",IF(J137="M",VLOOKUP(Y137,T100Pts!AO$5:AW$126,(L137+1)),IF(J137="F",VLOOKUP(Y137,T100Pts!AY$5:BG$126,(L137+1)),""))))</f>
        <v>-</v>
      </c>
      <c r="AA137" s="165"/>
      <c r="AB137" s="116" t="str">
        <f>IF(OR($L137="X",$L137=6,$L137=7),"-",IF(AA137="","-",IF(J137="M",VLOOKUP(AA137,T100Pts!BI$5:BN$44,(L137+1)),IF(J137="F",VLOOKUP(AA137,T100Pts!BU$5:BZ$44,(L137+1)),""))))</f>
        <v>-</v>
      </c>
      <c r="AC137" s="228"/>
      <c r="AD137" s="116" t="str">
        <f>IF($L137="X","-",IF(AC137="","-",IF(J137="M",VLOOKUP(AC137,T100Pts!A$5:I$1146,(L137+1)),IF(J137="F",VLOOKUP(AC137,T100Pts!K$5:S$1146,(L137+1)),""))))</f>
        <v>-</v>
      </c>
      <c r="AE137" s="117" t="str">
        <f t="shared" si="19"/>
        <v>-</v>
      </c>
      <c r="AF137" s="114" t="str">
        <f t="shared" si="20"/>
        <v>-</v>
      </c>
      <c r="AG137" s="115" t="e">
        <f t="shared" si="21"/>
        <v>#DIV/0!</v>
      </c>
      <c r="AH137" s="114" t="str">
        <f t="shared" si="15"/>
        <v>-</v>
      </c>
      <c r="AI137" s="161"/>
      <c r="AJ137" s="77" t="str">
        <f t="shared" si="24"/>
        <v/>
      </c>
    </row>
    <row r="138" spans="1:36" ht="15.75" customHeight="1" x14ac:dyDescent="0.2">
      <c r="A138" s="138">
        <v>125</v>
      </c>
      <c r="B138" s="168"/>
      <c r="C138" s="137"/>
      <c r="D138" s="169"/>
      <c r="E138" s="183"/>
      <c r="F138" s="173"/>
      <c r="G138" s="168"/>
      <c r="H138" s="168"/>
      <c r="I138" s="139" t="str">
        <f t="shared" si="25"/>
        <v>-</v>
      </c>
      <c r="J138" s="203" t="s">
        <v>139</v>
      </c>
      <c r="K138" s="153" t="str">
        <f t="shared" si="26"/>
        <v>-</v>
      </c>
      <c r="L138" s="153" t="str">
        <f>IF(F138="","-",IF(K138&lt;&gt;"",VLOOKUP(K138,T100Pts!CH$4:CI$59,(2))))</f>
        <v>-</v>
      </c>
      <c r="M138" s="155"/>
      <c r="N138" s="153" t="str">
        <f>IF($L138="X","-",IF(M138="","-",IF(J138="M",VLOOKUP(M138,T100Pts!U$5:AC$86,(L138+1)),IF(J138="F",VLOOKUP(M138,T100Pts!AE$5:AM$86,(L138+1)),""))))</f>
        <v>-</v>
      </c>
      <c r="O138" s="155"/>
      <c r="P138" s="140" t="str">
        <f>IF($L138="X","-",IF(O138="","-",IF(J138="M",VLOOKUP(O138,T100Pts!AO$5:AW$126,(L138+1)),IF(J138="F",VLOOKUP(O138,T100Pts!AY$5:BG$126,(L138+1)),""))))</f>
        <v>-</v>
      </c>
      <c r="Q138" s="157"/>
      <c r="R138" s="140" t="str">
        <f>IF(OR($L138="X",$L138=6,$L138=7),"-",IF(Q138="","-",IF(J138="M",VLOOKUP(Q138,T100Pts!BI$5:BN$44,(L138+1)),IF(J138="F",VLOOKUP(Q138,T100Pts!BU$5:BZ$44,(L138+1)),""))))</f>
        <v>-</v>
      </c>
      <c r="S138" s="155"/>
      <c r="T138" s="140" t="str">
        <f>IF($L138="X","-",IF(S138="","-",IF(J138="M",VLOOKUP(S138,T100Pts!A$5:I$1146,(L138+1)),IF(J138="F",VLOOKUP(S138,T100Pts!K$5:S$1147,(L138+1)),""))))</f>
        <v>-</v>
      </c>
      <c r="U138" s="141" t="str">
        <f t="shared" si="17"/>
        <v>-</v>
      </c>
      <c r="V138" s="79" t="str">
        <f t="shared" si="18"/>
        <v>-</v>
      </c>
      <c r="W138" s="155"/>
      <c r="X138" s="116" t="str">
        <f>IF($L138="X","-",IF(W138="","-",IF(J138="M",VLOOKUP(W138,T100Pts!U$5:AC$86,(L138+1)),IF(J138="F",VLOOKUP(W138,T100Pts!AE$5:AM$86,(L138+1)),""))))</f>
        <v>-</v>
      </c>
      <c r="Y138" s="163"/>
      <c r="Z138" s="116" t="str">
        <f>IF($L138="X","-",IF(Y138="","-",IF(J138="M",VLOOKUP(Y138,T100Pts!AO$5:AW$126,(L138+1)),IF(J138="F",VLOOKUP(Y138,T100Pts!AY$5:BG$126,(L138+1)),""))))</f>
        <v>-</v>
      </c>
      <c r="AA138" s="165"/>
      <c r="AB138" s="116" t="str">
        <f>IF(OR($L138="X",$L138=6,$L138=7),"-",IF(AA138="","-",IF(J138="M",VLOOKUP(AA138,T100Pts!BI$5:BN$44,(L138+1)),IF(J138="F",VLOOKUP(AA138,T100Pts!BU$5:BZ$44,(L138+1)),""))))</f>
        <v>-</v>
      </c>
      <c r="AC138" s="228"/>
      <c r="AD138" s="116" t="str">
        <f>IF($L138="X","-",IF(AC138="","-",IF(J138="M",VLOOKUP(AC138,T100Pts!A$5:I$1146,(L138+1)),IF(J138="F",VLOOKUP(AC138,T100Pts!K$5:S$1146,(L138+1)),""))))</f>
        <v>-</v>
      </c>
      <c r="AE138" s="117" t="str">
        <f t="shared" si="19"/>
        <v>-</v>
      </c>
      <c r="AF138" s="114" t="str">
        <f t="shared" si="20"/>
        <v>-</v>
      </c>
      <c r="AG138" s="115" t="e">
        <f t="shared" si="21"/>
        <v>#DIV/0!</v>
      </c>
      <c r="AH138" s="114" t="str">
        <f t="shared" si="15"/>
        <v>-</v>
      </c>
      <c r="AI138" s="161"/>
      <c r="AJ138" s="77" t="str">
        <f t="shared" si="24"/>
        <v/>
      </c>
    </row>
    <row r="139" spans="1:36" ht="15.75" customHeight="1" x14ac:dyDescent="0.25">
      <c r="A139" s="138">
        <v>126</v>
      </c>
      <c r="B139" s="168"/>
      <c r="C139" s="137"/>
      <c r="D139" s="174"/>
      <c r="E139" s="175"/>
      <c r="F139" s="176"/>
      <c r="G139" s="177"/>
      <c r="H139" s="178"/>
      <c r="I139" s="139" t="str">
        <f t="shared" si="25"/>
        <v>-</v>
      </c>
      <c r="J139" s="181" t="s">
        <v>139</v>
      </c>
      <c r="K139" s="153" t="str">
        <f t="shared" si="26"/>
        <v>-</v>
      </c>
      <c r="L139" s="153" t="str">
        <f>IF(F139="","-",IF(K139&lt;&gt;"",VLOOKUP(K139,T100Pts!CH$4:CI$59,(2))))</f>
        <v>-</v>
      </c>
      <c r="M139" s="155"/>
      <c r="N139" s="153" t="str">
        <f>IF($L139="X","-",IF(M139="","-",IF(J139="M",VLOOKUP(M139,T100Pts!U$5:AC$86,(L139+1)),IF(J139="F",VLOOKUP(M139,T100Pts!AE$5:AM$86,(L139+1)),""))))</f>
        <v>-</v>
      </c>
      <c r="O139" s="155"/>
      <c r="P139" s="140" t="str">
        <f>IF($L139="X","-",IF(O139="","-",IF(J139="M",VLOOKUP(O139,T100Pts!AO$5:AW$126,(L139+1)),IF(J139="F",VLOOKUP(O139,T100Pts!AY$5:BG$126,(L139+1)),""))))</f>
        <v>-</v>
      </c>
      <c r="Q139" s="157"/>
      <c r="R139" s="140" t="str">
        <f>IF(OR($L139="X",$L139=6,$L139=7),"-",IF(Q139="","-",IF(J139="M",VLOOKUP(Q139,T100Pts!BI$5:BN$44,(L139+1)),IF(J139="F",VLOOKUP(Q139,T100Pts!BU$5:BZ$44,(L139+1)),""))))</f>
        <v>-</v>
      </c>
      <c r="S139" s="155"/>
      <c r="T139" s="140" t="str">
        <f>IF($L139="X","-",IF(S139="","-",IF(J139="M",VLOOKUP(S139,T100Pts!A$5:I$1146,(L139+1)),IF(J139="F",VLOOKUP(S139,T100Pts!K$5:S$1147,(L139+1)),""))))</f>
        <v>-</v>
      </c>
      <c r="U139" s="141" t="str">
        <f t="shared" si="17"/>
        <v>-</v>
      </c>
      <c r="V139" s="79" t="str">
        <f t="shared" si="18"/>
        <v>-</v>
      </c>
      <c r="W139" s="181"/>
      <c r="X139" s="116" t="str">
        <f>IF($L139="X","-",IF(W139="","-",IF(J139="M",VLOOKUP(W139,T100Pts!U$5:AC$86,(L139+1)),IF(J139="F",VLOOKUP(W139,T100Pts!AE$5:AM$86,(L139+1)),""))))</f>
        <v>-</v>
      </c>
      <c r="Y139" s="163"/>
      <c r="Z139" s="116" t="str">
        <f>IF($L139="X","-",IF(Y139="","-",IF(J139="M",VLOOKUP(Y139,T100Pts!AO$5:AW$126,(L139+1)),IF(J139="F",VLOOKUP(Y139,T100Pts!AY$5:BG$126,(L139+1)),""))))</f>
        <v>-</v>
      </c>
      <c r="AA139" s="165"/>
      <c r="AB139" s="116" t="str">
        <f>IF(OR($L139="X",$L139=6,$L139=7),"-",IF(AA139="","-",IF(J139="M",VLOOKUP(AA139,T100Pts!BI$5:BN$44,(L139+1)),IF(J139="F",VLOOKUP(AA139,T100Pts!BU$5:BZ$44,(L139+1)),""))))</f>
        <v>-</v>
      </c>
      <c r="AC139" s="227"/>
      <c r="AD139" s="116" t="str">
        <f>IF($L139="X","-",IF(AC139="","-",IF(J139="M",VLOOKUP(AC139,T100Pts!A$5:I$1146,(L139+1)),IF(J139="F",VLOOKUP(AC139,T100Pts!K$5:S$1146,(L139+1)),""))))</f>
        <v>-</v>
      </c>
      <c r="AE139" s="117" t="str">
        <f t="shared" si="19"/>
        <v>-</v>
      </c>
      <c r="AF139" s="114" t="str">
        <f t="shared" si="20"/>
        <v>-</v>
      </c>
      <c r="AG139" s="115" t="e">
        <f t="shared" si="21"/>
        <v>#DIV/0!</v>
      </c>
      <c r="AH139" s="114" t="str">
        <f t="shared" si="15"/>
        <v>-</v>
      </c>
      <c r="AI139" s="161"/>
      <c r="AJ139" s="77" t="str">
        <f t="shared" si="24"/>
        <v/>
      </c>
    </row>
    <row r="140" spans="1:36" ht="15.75" customHeight="1" x14ac:dyDescent="0.25">
      <c r="A140" s="138">
        <v>127</v>
      </c>
      <c r="B140" s="168"/>
      <c r="C140" s="137"/>
      <c r="D140" s="174"/>
      <c r="E140" s="175"/>
      <c r="F140" s="176"/>
      <c r="G140" s="177"/>
      <c r="H140" s="178"/>
      <c r="I140" s="139" t="str">
        <f t="shared" si="25"/>
        <v>-</v>
      </c>
      <c r="J140" s="181" t="s">
        <v>139</v>
      </c>
      <c r="K140" s="153" t="str">
        <f t="shared" si="26"/>
        <v>-</v>
      </c>
      <c r="L140" s="153" t="str">
        <f>IF(F140="","-",IF(K140&lt;&gt;"",VLOOKUP(K140,T100Pts!CH$4:CI$59,(2))))</f>
        <v>-</v>
      </c>
      <c r="M140" s="155"/>
      <c r="N140" s="153" t="str">
        <f>IF($L140="X","-",IF(M140="","-",IF(J140="M",VLOOKUP(M140,T100Pts!U$5:AC$86,(L140+1)),IF(J140="F",VLOOKUP(M140,T100Pts!AE$5:AM$86,(L140+1)),""))))</f>
        <v>-</v>
      </c>
      <c r="O140" s="155"/>
      <c r="P140" s="140" t="str">
        <f>IF($L140="X","-",IF(O140="","-",IF(J140="M",VLOOKUP(O140,T100Pts!AO$5:AW$126,(L140+1)),IF(J140="F",VLOOKUP(O140,T100Pts!AY$5:BG$126,(L140+1)),""))))</f>
        <v>-</v>
      </c>
      <c r="Q140" s="157"/>
      <c r="R140" s="140" t="str">
        <f>IF(OR($L140="X",$L140=6,$L140=7),"-",IF(Q140="","-",IF(J140="M",VLOOKUP(Q140,T100Pts!BI$5:BN$44,(L140+1)),IF(J140="F",VLOOKUP(Q140,T100Pts!BU$5:BZ$44,(L140+1)),""))))</f>
        <v>-</v>
      </c>
      <c r="S140" s="155"/>
      <c r="T140" s="140" t="str">
        <f>IF($L140="X","-",IF(S140="","-",IF(J140="M",VLOOKUP(S140,T100Pts!A$5:I$1146,(L140+1)),IF(J140="F",VLOOKUP(S140,T100Pts!K$5:S$1147,(L140+1)),""))))</f>
        <v>-</v>
      </c>
      <c r="U140" s="141" t="str">
        <f t="shared" si="17"/>
        <v>-</v>
      </c>
      <c r="V140" s="79" t="str">
        <f t="shared" si="18"/>
        <v>-</v>
      </c>
      <c r="W140" s="155"/>
      <c r="X140" s="116" t="str">
        <f>IF($L140="X","-",IF(W140="","-",IF(J140="M",VLOOKUP(W140,T100Pts!U$5:AC$86,(L140+1)),IF(J140="F",VLOOKUP(W140,T100Pts!AE$5:AM$86,(L140+1)),""))))</f>
        <v>-</v>
      </c>
      <c r="Y140" s="163"/>
      <c r="Z140" s="116" t="str">
        <f>IF($L140="X","-",IF(Y140="","-",IF(J140="M",VLOOKUP(Y140,T100Pts!AO$5:AW$126,(L140+1)),IF(J140="F",VLOOKUP(Y140,T100Pts!AY$5:BG$126,(L140+1)),""))))</f>
        <v>-</v>
      </c>
      <c r="AA140" s="165"/>
      <c r="AB140" s="116" t="str">
        <f>IF(OR($L140="X",$L140=6,$L140=7),"-",IF(AA140="","-",IF(J140="M",VLOOKUP(AA140,T100Pts!BI$5:BN$44,(L140+1)),IF(J140="F",VLOOKUP(AA140,T100Pts!BU$5:BZ$44,(L140+1)),""))))</f>
        <v>-</v>
      </c>
      <c r="AC140" s="163"/>
      <c r="AD140" s="116" t="str">
        <f>IF($L140="X","-",IF(AC140="","-",IF(J140="M",VLOOKUP(AC140,T100Pts!A$5:I$1146,(L140+1)),IF(J140="F",VLOOKUP(AC140,T100Pts!K$5:S$1146,(L140+1)),""))))</f>
        <v>-</v>
      </c>
      <c r="AE140" s="117" t="str">
        <f t="shared" si="19"/>
        <v>-</v>
      </c>
      <c r="AF140" s="114" t="str">
        <f t="shared" si="20"/>
        <v>-</v>
      </c>
      <c r="AG140" s="115" t="e">
        <f t="shared" si="21"/>
        <v>#DIV/0!</v>
      </c>
      <c r="AH140" s="114" t="str">
        <f t="shared" si="15"/>
        <v>-</v>
      </c>
      <c r="AI140" s="161" t="s">
        <v>202</v>
      </c>
      <c r="AJ140" s="77" t="str">
        <f t="shared" si="24"/>
        <v/>
      </c>
    </row>
    <row r="141" spans="1:36" ht="15.75" customHeight="1" x14ac:dyDescent="0.25">
      <c r="A141" s="138">
        <v>128</v>
      </c>
      <c r="B141" s="168"/>
      <c r="C141" s="137"/>
      <c r="D141" s="174"/>
      <c r="E141" s="175"/>
      <c r="F141" s="176"/>
      <c r="G141" s="177"/>
      <c r="H141" s="178"/>
      <c r="I141" s="139" t="str">
        <f t="shared" si="25"/>
        <v>-</v>
      </c>
      <c r="J141" s="181" t="s">
        <v>139</v>
      </c>
      <c r="K141" s="153" t="str">
        <f t="shared" si="26"/>
        <v>-</v>
      </c>
      <c r="L141" s="153" t="str">
        <f>IF(F141="","-",IF(K141&lt;&gt;"",VLOOKUP(K141,T100Pts!CH$4:CI$59,(2))))</f>
        <v>-</v>
      </c>
      <c r="M141" s="155"/>
      <c r="N141" s="153" t="str">
        <f>IF($L141="X","-",IF(M141="","-",IF(J141="M",VLOOKUP(M141,T100Pts!U$5:AC$86,(L141+1)),IF(J141="F",VLOOKUP(M141,T100Pts!AE$5:AM$86,(L141+1)),""))))</f>
        <v>-</v>
      </c>
      <c r="O141" s="155"/>
      <c r="P141" s="140" t="str">
        <f>IF($L141="X","-",IF(O141="","-",IF(J141="M",VLOOKUP(O141,T100Pts!AO$5:AW$126,(L141+1)),IF(J141="F",VLOOKUP(O141,T100Pts!AY$5:BG$126,(L141+1)),""))))</f>
        <v>-</v>
      </c>
      <c r="Q141" s="157"/>
      <c r="R141" s="140" t="str">
        <f>IF(OR($L141="X",$L141=6,$L141=7),"-",IF(Q141="","-",IF(J141="M",VLOOKUP(Q141,T100Pts!BI$5:BN$44,(L141+1)),IF(J141="F",VLOOKUP(Q141,T100Pts!BU$5:BZ$44,(L141+1)),""))))</f>
        <v>-</v>
      </c>
      <c r="S141" s="155"/>
      <c r="T141" s="140" t="str">
        <f>IF($L141="X","-",IF(S141="","-",IF(J141="M",VLOOKUP(S141,T100Pts!A$5:I$1146,(L141+1)),IF(J141="F",VLOOKUP(S141,T100Pts!K$5:S$1147,(L141+1)),""))))</f>
        <v>-</v>
      </c>
      <c r="U141" s="141" t="str">
        <f t="shared" si="17"/>
        <v>-</v>
      </c>
      <c r="V141" s="79" t="str">
        <f t="shared" si="18"/>
        <v>-</v>
      </c>
      <c r="W141" s="155"/>
      <c r="X141" s="116" t="str">
        <f>IF($L141="X","-",IF(W141="","-",IF(J141="M",VLOOKUP(W141,T100Pts!U$5:AC$86,(L141+1)),IF(J141="F",VLOOKUP(W141,T100Pts!AE$5:AM$86,(L141+1)),""))))</f>
        <v>-</v>
      </c>
      <c r="Y141" s="163"/>
      <c r="Z141" s="116" t="str">
        <f>IF($L141="X","-",IF(Y141="","-",IF(J141="M",VLOOKUP(Y141,T100Pts!AO$5:AW$126,(L141+1)),IF(J141="F",VLOOKUP(Y141,T100Pts!AY$5:BG$126,(L141+1)),""))))</f>
        <v>-</v>
      </c>
      <c r="AA141" s="165"/>
      <c r="AB141" s="116" t="str">
        <f>IF(OR($L141="X",$L141=6,$L141=7),"-",IF(AA141="","-",IF(J141="M",VLOOKUP(AA141,T100Pts!BI$5:BN$44,(L141+1)),IF(J141="F",VLOOKUP(AA141,T100Pts!BU$5:BZ$44,(L141+1)),""))))</f>
        <v>-</v>
      </c>
      <c r="AC141" s="163"/>
      <c r="AD141" s="116" t="str">
        <f>IF($L141="X","-",IF(AC141="","-",IF(J141="M",VLOOKUP(AC141,T100Pts!A$5:I$1146,(L141+1)),IF(J141="F",VLOOKUP(AC141,T100Pts!K$5:S$1146,(L141+1)),""))))</f>
        <v>-</v>
      </c>
      <c r="AE141" s="117" t="str">
        <f t="shared" si="19"/>
        <v>-</v>
      </c>
      <c r="AF141" s="114" t="str">
        <f t="shared" si="20"/>
        <v>-</v>
      </c>
      <c r="AG141" s="115" t="e">
        <f t="shared" si="21"/>
        <v>#DIV/0!</v>
      </c>
      <c r="AH141" s="114" t="str">
        <f t="shared" ref="AH141:AH189" si="27">IF(NOT(ISNUMBER(AG141)), "-", IF(AG141 &lt; 70, "NA", "A"))</f>
        <v>-</v>
      </c>
      <c r="AI141" s="161"/>
      <c r="AJ141" s="77" t="str">
        <f t="shared" ref="AJ141:AJ172" si="28">IF(OR(B141="TG",B141="GD",B141="GB",B141="CY",B141="CR",B141="TC",B141="MY",B141="CT",B141="TP",B141="TP EC",B141="TT",B141="TT EC",B141="ST",B141="ST EC"),"Oficial",IF(OR(B141="VP",B141="VS",B141="VS EC"),"Vol",IF(B141="","","Subof")))</f>
        <v/>
      </c>
    </row>
    <row r="142" spans="1:36" ht="15.75" customHeight="1" x14ac:dyDescent="0.25">
      <c r="A142" s="138">
        <v>129</v>
      </c>
      <c r="B142" s="168"/>
      <c r="C142" s="137"/>
      <c r="D142" s="174"/>
      <c r="E142" s="175"/>
      <c r="F142" s="176"/>
      <c r="G142" s="177"/>
      <c r="H142" s="178"/>
      <c r="I142" s="139" t="str">
        <f t="shared" si="25"/>
        <v>-</v>
      </c>
      <c r="J142" s="181" t="s">
        <v>139</v>
      </c>
      <c r="K142" s="153" t="str">
        <f t="shared" si="26"/>
        <v>-</v>
      </c>
      <c r="L142" s="153" t="str">
        <f>IF(F142="","-",IF(K142&lt;&gt;"",VLOOKUP(K142,T100Pts!CH$4:CI$59,(2))))</f>
        <v>-</v>
      </c>
      <c r="M142" s="155"/>
      <c r="N142" s="153" t="str">
        <f>IF($L142="X","-",IF(M142="","-",IF(J142="M",VLOOKUP(M142,T100Pts!U$5:AC$86,(L142+1)),IF(J142="F",VLOOKUP(M142,T100Pts!AE$5:AM$86,(L142+1)),""))))</f>
        <v>-</v>
      </c>
      <c r="O142" s="155"/>
      <c r="P142" s="140" t="str">
        <f>IF($L142="X","-",IF(O142="","-",IF(J142="M",VLOOKUP(O142,T100Pts!AO$5:AW$126,(L142+1)),IF(J142="F",VLOOKUP(O142,T100Pts!AY$5:BG$126,(L142+1)),""))))</f>
        <v>-</v>
      </c>
      <c r="Q142" s="157"/>
      <c r="R142" s="140" t="str">
        <f>IF(OR($L142="X",$L142=6,$L142=7),"-",IF(Q142="","-",IF(J142="M",VLOOKUP(Q142,T100Pts!BI$5:BN$44,(L142+1)),IF(J142="F",VLOOKUP(Q142,T100Pts!BU$5:BZ$44,(L142+1)),""))))</f>
        <v>-</v>
      </c>
      <c r="S142" s="155"/>
      <c r="T142" s="140" t="str">
        <f>IF($L142="X","-",IF(S142="","-",IF(J142="M",VLOOKUP(S142,T100Pts!A$5:I$1146,(L142+1)),IF(J142="F",VLOOKUP(S142,T100Pts!K$5:S$1147,(L142+1)),""))))</f>
        <v>-</v>
      </c>
      <c r="U142" s="141" t="str">
        <f t="shared" ref="U142:U189" si="29">IF(OR(N142="X",P142="X",R142="X",T142="X"),"NR",IF(AND(N142="-",P142="-",T142="-"),"-",IF(R142="-",AVERAGE(IF(ISNUMBER(N142),N142),IF(ISNUMBER(P142),P142),IF(ISNUMBER(T142),T142)),AVERAGE(IF(ISNUMBER(N142),N142),IF(ISNUMBER(P142),P142),IF(ISNUMBER(R142),R142),IF(ISNUMBER(T142),T142)))))</f>
        <v>-</v>
      </c>
      <c r="V142" s="79" t="str">
        <f t="shared" ref="V142:V189" si="30">IF(NOT(ISNUMBER(U142)), "-", IF(U142 &lt; 70, "NA", "A"))</f>
        <v>-</v>
      </c>
      <c r="W142" s="155"/>
      <c r="X142" s="116" t="str">
        <f>IF($L142="X","-",IF(W142="","-",IF(J142="M",VLOOKUP(W142,T100Pts!U$5:AC$86,(L142+1)),IF(J142="F",VLOOKUP(W142,T100Pts!AE$5:AM$86,(L142+1)),""))))</f>
        <v>-</v>
      </c>
      <c r="Y142" s="163"/>
      <c r="Z142" s="116" t="str">
        <f>IF($L142="X","-",IF(Y142="","-",IF(J142="M",VLOOKUP(Y142,T100Pts!AO$5:AW$126,(L142+1)),IF(J142="F",VLOOKUP(Y142,T100Pts!AY$5:BG$126,(L142+1)),""))))</f>
        <v>-</v>
      </c>
      <c r="AA142" s="226"/>
      <c r="AB142" s="116" t="str">
        <f>IF(OR($L142="X",$L142=6,$L142=7),"-",IF(AA142="","-",IF(J142="M",VLOOKUP(AA142,T100Pts!BI$5:BN$44,(L142+1)),IF(J142="F",VLOOKUP(AA142,T100Pts!BU$5:BZ$44,(L142+1)),""))))</f>
        <v>-</v>
      </c>
      <c r="AC142" s="228"/>
      <c r="AD142" s="116" t="str">
        <f>IF($L142="X","-",IF(AC142="","-",IF(J142="M",VLOOKUP(AC142,T100Pts!A$5:I$1146,(L142+1)),IF(J142="F",VLOOKUP(AC142,T100Pts!K$5:S$1146,(L142+1)),""))))</f>
        <v>-</v>
      </c>
      <c r="AE142" s="117" t="str">
        <f t="shared" ref="AE142:AE189" si="31">IF(OR(X142="X",Z142="X",AB142="X",AD142="X"),"NR",IF(AND(X142="-",Z142="-",AD142="-"),"-",IF(AB142="-",AVERAGE(IF(ISNUMBER(X142),X142),IF(ISNUMBER(Z142),Z142),IF(ISNUMBER(AD142),AD142)),AVERAGE(IF(ISNUMBER(X142),X142),IF(ISNUMBER(Z142),Z142),IF(ISNUMBER(AB142),AB142),IF(ISNUMBER(AD142),AD142)))))</f>
        <v>-</v>
      </c>
      <c r="AF142" s="114" t="str">
        <f t="shared" ref="AF142:AF189" si="32">IF(NOT(ISNUMBER(AE142)), "-", IF(AE142 &lt; 70, "NA", "A"))</f>
        <v>-</v>
      </c>
      <c r="AG142" s="115" t="e">
        <f t="shared" si="21"/>
        <v>#DIV/0!</v>
      </c>
      <c r="AH142" s="114" t="str">
        <f t="shared" si="27"/>
        <v>-</v>
      </c>
      <c r="AI142" s="161"/>
      <c r="AJ142" s="77" t="str">
        <f t="shared" si="28"/>
        <v/>
      </c>
    </row>
    <row r="143" spans="1:36" ht="15.75" customHeight="1" x14ac:dyDescent="0.25">
      <c r="A143" s="138">
        <v>130</v>
      </c>
      <c r="B143" s="168"/>
      <c r="C143" s="137"/>
      <c r="D143" s="174"/>
      <c r="E143" s="175"/>
      <c r="F143" s="176"/>
      <c r="G143" s="177"/>
      <c r="H143" s="178"/>
      <c r="I143" s="139" t="str">
        <f t="shared" si="25"/>
        <v>-</v>
      </c>
      <c r="J143" s="181" t="s">
        <v>139</v>
      </c>
      <c r="K143" s="153" t="str">
        <f t="shared" si="26"/>
        <v>-</v>
      </c>
      <c r="L143" s="153" t="str">
        <f>IF(F143="","-",IF(K143&lt;&gt;"",VLOOKUP(K143,T100Pts!CH$4:CI$59,(2))))</f>
        <v>-</v>
      </c>
      <c r="M143" s="155"/>
      <c r="N143" s="153" t="str">
        <f>IF($L143="X","-",IF(M143="","-",IF(J143="M",VLOOKUP(M143,T100Pts!U$5:AC$86,(L143+1)),IF(J143="F",VLOOKUP(M143,T100Pts!AE$5:AM$86,(L143+1)),""))))</f>
        <v>-</v>
      </c>
      <c r="O143" s="155"/>
      <c r="P143" s="140" t="str">
        <f>IF($L143="X","-",IF(O143="","-",IF(J143="M",VLOOKUP(O143,T100Pts!AO$5:AW$126,(L143+1)),IF(J143="F",VLOOKUP(O143,T100Pts!AY$5:BG$126,(L143+1)),""))))</f>
        <v>-</v>
      </c>
      <c r="Q143" s="157"/>
      <c r="R143" s="140" t="str">
        <f>IF(OR($L143="X",$L143=6,$L143=7),"-",IF(Q143="","-",IF(J143="M",VLOOKUP(Q143,T100Pts!BI$5:BN$44,(L143+1)),IF(J143="F",VLOOKUP(Q143,T100Pts!BU$5:BZ$44,(L143+1)),""))))</f>
        <v>-</v>
      </c>
      <c r="S143" s="155"/>
      <c r="T143" s="140" t="str">
        <f>IF($L143="X","-",IF(S143="","-",IF(J143="M",VLOOKUP(S143,T100Pts!A$5:I$1146,(L143+1)),IF(J143="F",VLOOKUP(S143,T100Pts!K$5:S$1147,(L143+1)),""))))</f>
        <v>-</v>
      </c>
      <c r="U143" s="141" t="str">
        <f t="shared" si="29"/>
        <v>-</v>
      </c>
      <c r="V143" s="79" t="str">
        <f t="shared" si="30"/>
        <v>-</v>
      </c>
      <c r="W143" s="155"/>
      <c r="X143" s="116" t="str">
        <f>IF($L143="X","-",IF(W143="","-",IF(J143="M",VLOOKUP(W143,T100Pts!U$5:AC$86,(L143+1)),IF(J143="F",VLOOKUP(W143,T100Pts!AE$5:AM$86,(L143+1)),""))))</f>
        <v>-</v>
      </c>
      <c r="Y143" s="163"/>
      <c r="Z143" s="116" t="str">
        <f>IF($L143="X","-",IF(Y143="","-",IF(J143="M",VLOOKUP(Y143,T100Pts!AO$5:AW$126,(L143+1)),IF(J143="F",VLOOKUP(Y143,T100Pts!AY$5:BG$126,(L143+1)),""))))</f>
        <v>-</v>
      </c>
      <c r="AA143" s="165"/>
      <c r="AB143" s="116" t="str">
        <f>IF(OR($L143="X",$L143=6,$L143=7),"-",IF(AA143="","-",IF(J143="M",VLOOKUP(AA143,T100Pts!BI$5:BN$44,(L143+1)),IF(J143="F",VLOOKUP(AA143,T100Pts!BU$5:BZ$44,(L143+1)),""))))</f>
        <v>-</v>
      </c>
      <c r="AC143" s="163"/>
      <c r="AD143" s="116" t="str">
        <f>IF($L143="X","-",IF(AC143="","-",IF(J143="M",VLOOKUP(AC143,T100Pts!A$5:I$1146,(L143+1)),IF(J143="F",VLOOKUP(AC143,T100Pts!K$5:S$1146,(L143+1)),""))))</f>
        <v>-</v>
      </c>
      <c r="AE143" s="117" t="str">
        <f t="shared" si="31"/>
        <v>-</v>
      </c>
      <c r="AF143" s="114" t="str">
        <f t="shared" si="32"/>
        <v>-</v>
      </c>
      <c r="AG143" s="115" t="e">
        <f t="shared" ref="AG143:AG206" si="33">AVERAGE(U143,AE143)</f>
        <v>#DIV/0!</v>
      </c>
      <c r="AH143" s="114" t="str">
        <f t="shared" si="27"/>
        <v>-</v>
      </c>
      <c r="AI143" s="161" t="s">
        <v>207</v>
      </c>
      <c r="AJ143" s="77" t="str">
        <f t="shared" si="28"/>
        <v/>
      </c>
    </row>
    <row r="144" spans="1:36" ht="15.75" customHeight="1" x14ac:dyDescent="0.25">
      <c r="A144" s="138">
        <v>131</v>
      </c>
      <c r="B144" s="168"/>
      <c r="C144" s="137"/>
      <c r="D144" s="174"/>
      <c r="E144" s="175"/>
      <c r="F144" s="176"/>
      <c r="G144" s="177"/>
      <c r="H144" s="178"/>
      <c r="I144" s="139" t="str">
        <f t="shared" si="25"/>
        <v>-</v>
      </c>
      <c r="J144" s="181" t="s">
        <v>139</v>
      </c>
      <c r="K144" s="153" t="str">
        <f t="shared" si="26"/>
        <v>-</v>
      </c>
      <c r="L144" s="153" t="str">
        <f>IF(F144="","-",IF(K144&lt;&gt;"",VLOOKUP(K144,T100Pts!CH$4:CI$59,(2))))</f>
        <v>-</v>
      </c>
      <c r="M144" s="155"/>
      <c r="N144" s="153" t="str">
        <f>IF($L144="X","-",IF(M144="","-",IF(J144="M",VLOOKUP(M144,T100Pts!U$5:AC$86,(L144+1)),IF(J144="F",VLOOKUP(M144,T100Pts!AE$5:AM$86,(L144+1)),""))))</f>
        <v>-</v>
      </c>
      <c r="O144" s="155"/>
      <c r="P144" s="140" t="str">
        <f>IF($L144="X","-",IF(O144="","-",IF(J144="M",VLOOKUP(O144,T100Pts!AO$5:AW$126,(L144+1)),IF(J144="F",VLOOKUP(O144,T100Pts!AY$5:BG$126,(L144+1)),""))))</f>
        <v>-</v>
      </c>
      <c r="Q144" s="157"/>
      <c r="R144" s="140" t="str">
        <f>IF(OR($L144="X",$L144=6,$L144=7),"-",IF(Q144="","-",IF(J144="M",VLOOKUP(Q144,T100Pts!BI$5:BN$44,(L144+1)),IF(J144="F",VLOOKUP(Q144,T100Pts!BU$5:BZ$44,(L144+1)),""))))</f>
        <v>-</v>
      </c>
      <c r="S144" s="155"/>
      <c r="T144" s="140" t="str">
        <f>IF($L144="X","-",IF(S144="","-",IF(J144="M",VLOOKUP(S144,T100Pts!A$5:I$1146,(L144+1)),IF(J144="F",VLOOKUP(S144,T100Pts!K$5:S$1147,(L144+1)),""))))</f>
        <v>-</v>
      </c>
      <c r="U144" s="141" t="str">
        <f t="shared" si="29"/>
        <v>-</v>
      </c>
      <c r="V144" s="79" t="str">
        <f t="shared" si="30"/>
        <v>-</v>
      </c>
      <c r="W144" s="155"/>
      <c r="X144" s="116" t="str">
        <f>IF($L144="X","-",IF(W144="","-",IF(J144="M",VLOOKUP(W144,T100Pts!U$5:AC$86,(L144+1)),IF(J144="F",VLOOKUP(W144,T100Pts!AE$5:AM$86,(L144+1)),""))))</f>
        <v>-</v>
      </c>
      <c r="Y144" s="163"/>
      <c r="Z144" s="116" t="str">
        <f>IF($L144="X","-",IF(Y144="","-",IF(J144="M",VLOOKUP(Y144,T100Pts!AO$5:AW$126,(L144+1)),IF(J144="F",VLOOKUP(Y144,T100Pts!AY$5:BG$126,(L144+1)),""))))</f>
        <v>-</v>
      </c>
      <c r="AA144" s="165"/>
      <c r="AB144" s="116" t="str">
        <f>IF(OR($L144="X",$L144=6,$L144=7),"-",IF(AA144="","-",IF(J144="M",VLOOKUP(AA144,T100Pts!BI$5:BN$44,(L144+1)),IF(J144="F",VLOOKUP(AA144,T100Pts!BU$5:BZ$44,(L144+1)),""))))</f>
        <v>-</v>
      </c>
      <c r="AC144" s="228"/>
      <c r="AD144" s="116" t="str">
        <f>IF($L144="X","-",IF(AC144="","-",IF(J144="M",VLOOKUP(AC144,T100Pts!A$5:I$1146,(L144+1)),IF(J144="F",VLOOKUP(AC144,T100Pts!K$5:S$1146,(L144+1)),""))))</f>
        <v>-</v>
      </c>
      <c r="AE144" s="117" t="str">
        <f t="shared" si="31"/>
        <v>-</v>
      </c>
      <c r="AF144" s="114" t="str">
        <f t="shared" si="32"/>
        <v>-</v>
      </c>
      <c r="AG144" s="115" t="e">
        <f t="shared" si="33"/>
        <v>#DIV/0!</v>
      </c>
      <c r="AH144" s="114" t="str">
        <f t="shared" si="27"/>
        <v>-</v>
      </c>
      <c r="AI144" s="161"/>
      <c r="AJ144" s="77" t="str">
        <f t="shared" si="28"/>
        <v/>
      </c>
    </row>
    <row r="145" spans="1:36" ht="15.75" customHeight="1" x14ac:dyDescent="0.25">
      <c r="A145" s="138">
        <v>132</v>
      </c>
      <c r="B145" s="168"/>
      <c r="C145" s="137"/>
      <c r="D145" s="174"/>
      <c r="E145" s="175"/>
      <c r="F145" s="176"/>
      <c r="G145" s="177"/>
      <c r="H145" s="178"/>
      <c r="I145" s="139" t="str">
        <f t="shared" si="25"/>
        <v>-</v>
      </c>
      <c r="J145" s="181" t="s">
        <v>139</v>
      </c>
      <c r="K145" s="153" t="str">
        <f t="shared" si="26"/>
        <v>-</v>
      </c>
      <c r="L145" s="153" t="str">
        <f>IF(F145="","-",IF(K145&lt;&gt;"",VLOOKUP(K145,T100Pts!CH$4:CI$59,(2))))</f>
        <v>-</v>
      </c>
      <c r="M145" s="155"/>
      <c r="N145" s="153" t="str">
        <f>IF($L145="X","-",IF(M145="","-",IF(J145="M",VLOOKUP(M145,T100Pts!U$5:AC$86,(L145+1)),IF(J145="F",VLOOKUP(M145,T100Pts!AE$5:AM$86,(L145+1)),""))))</f>
        <v>-</v>
      </c>
      <c r="O145" s="155"/>
      <c r="P145" s="140" t="str">
        <f>IF($L145="X","-",IF(O145="","-",IF(J145="M",VLOOKUP(O145,T100Pts!AO$5:AW$126,(L145+1)),IF(J145="F",VLOOKUP(O145,T100Pts!AY$5:BG$126,(L145+1)),""))))</f>
        <v>-</v>
      </c>
      <c r="Q145" s="157"/>
      <c r="R145" s="140" t="str">
        <f>IF(OR($L145="X",$L145=6,$L145=7),"-",IF(Q145="","-",IF(J145="M",VLOOKUP(Q145,T100Pts!BI$5:BN$44,(L145+1)),IF(J145="F",VLOOKUP(Q145,T100Pts!BU$5:BZ$44,(L145+1)),""))))</f>
        <v>-</v>
      </c>
      <c r="S145" s="155"/>
      <c r="T145" s="140" t="str">
        <f>IF($L145="X","-",IF(S145="","-",IF(J145="M",VLOOKUP(S145,T100Pts!A$5:I$1146,(L145+1)),IF(J145="F",VLOOKUP(S145,T100Pts!K$5:S$1147,(L145+1)),""))))</f>
        <v>-</v>
      </c>
      <c r="U145" s="141" t="str">
        <f t="shared" si="29"/>
        <v>-</v>
      </c>
      <c r="V145" s="79" t="str">
        <f t="shared" si="30"/>
        <v>-</v>
      </c>
      <c r="W145" s="230"/>
      <c r="X145" s="116" t="str">
        <f>IF($L145="X","-",IF(W145="","-",IF(J145="M",VLOOKUP(W145,T100Pts!U$5:AC$86,(L145+1)),IF(J145="F",VLOOKUP(W145,T100Pts!AE$5:AM$86,(L145+1)),""))))</f>
        <v>-</v>
      </c>
      <c r="Y145" s="163"/>
      <c r="Z145" s="116" t="str">
        <f>IF($L145="X","-",IF(Y145="","-",IF(J145="M",VLOOKUP(Y145,T100Pts!AO$5:AW$126,(L145+1)),IF(J145="F",VLOOKUP(Y145,T100Pts!AY$5:BG$126,(L145+1)),""))))</f>
        <v>-</v>
      </c>
      <c r="AA145" s="165"/>
      <c r="AB145" s="116" t="str">
        <f>IF(OR($L145="X",$L145=6,$L145=7),"-",IF(AA145="","-",IF(J145="M",VLOOKUP(AA145,T100Pts!BI$5:BN$44,(L145+1)),IF(J145="F",VLOOKUP(AA145,T100Pts!BU$5:BZ$44,(L145+1)),""))))</f>
        <v>-</v>
      </c>
      <c r="AC145" s="227"/>
      <c r="AD145" s="116" t="str">
        <f>IF($L145="X","-",IF(AC145="","-",IF(J145="M",VLOOKUP(AC145,T100Pts!A$5:I$1146,(L145+1)),IF(J145="F",VLOOKUP(AC145,T100Pts!K$5:S$1146,(L145+1)),""))))</f>
        <v>-</v>
      </c>
      <c r="AE145" s="117" t="str">
        <f t="shared" si="31"/>
        <v>-</v>
      </c>
      <c r="AF145" s="114" t="str">
        <f t="shared" si="32"/>
        <v>-</v>
      </c>
      <c r="AG145" s="115" t="e">
        <f t="shared" si="33"/>
        <v>#DIV/0!</v>
      </c>
      <c r="AH145" s="114" t="str">
        <f t="shared" si="27"/>
        <v>-</v>
      </c>
      <c r="AI145" s="161"/>
      <c r="AJ145" s="77" t="str">
        <f t="shared" si="28"/>
        <v/>
      </c>
    </row>
    <row r="146" spans="1:36" ht="15.75" customHeight="1" x14ac:dyDescent="0.25">
      <c r="A146" s="138">
        <v>133</v>
      </c>
      <c r="B146" s="168"/>
      <c r="C146" s="137"/>
      <c r="D146" s="174"/>
      <c r="E146" s="175"/>
      <c r="F146" s="176"/>
      <c r="G146" s="177"/>
      <c r="H146" s="178"/>
      <c r="I146" s="154" t="str">
        <f t="shared" si="25"/>
        <v>-</v>
      </c>
      <c r="J146" s="181" t="s">
        <v>139</v>
      </c>
      <c r="K146" s="153" t="str">
        <f t="shared" si="26"/>
        <v>-</v>
      </c>
      <c r="L146" s="153" t="str">
        <f>IF(F146="","-",IF(K146&lt;&gt;"",VLOOKUP(K146,T100Pts!CH$4:CI$59,(2))))</f>
        <v>-</v>
      </c>
      <c r="M146" s="155"/>
      <c r="N146" s="153" t="str">
        <f>IF($L146="X","-",IF(M146="","-",IF(J146="M",VLOOKUP(M146,T100Pts!U$5:AC$86,(L146+1)),IF(J146="F",VLOOKUP(M146,T100Pts!AE$5:AM$86,(L146+1)),""))))</f>
        <v>-</v>
      </c>
      <c r="O146" s="155"/>
      <c r="P146" s="140" t="str">
        <f>IF($L146="X","-",IF(O146="","-",IF(J146="M",VLOOKUP(O146,T100Pts!AO$5:AW$126,(L146+1)),IF(J146="F",VLOOKUP(O146,T100Pts!AY$5:BG$126,(L146+1)),""))))</f>
        <v>-</v>
      </c>
      <c r="Q146" s="157"/>
      <c r="R146" s="140" t="str">
        <f>IF(OR($L146="X",$L146=6,$L146=7),"-",IF(Q146="","-",IF(J146="M",VLOOKUP(Q146,T100Pts!BI$5:BN$44,(L146+1)),IF(J146="F",VLOOKUP(Q146,T100Pts!BU$5:BZ$44,(L146+1)),""))))</f>
        <v>-</v>
      </c>
      <c r="S146" s="155"/>
      <c r="T146" s="140" t="str">
        <f>IF($L146="X","-",IF(S146="","-",IF(J146="M",VLOOKUP(S146,T100Pts!A$5:I$1146,(L146+1)),IF(J146="F",VLOOKUP(S146,T100Pts!K$5:S$1147,(L146+1)),""))))</f>
        <v>-</v>
      </c>
      <c r="U146" s="141" t="str">
        <f t="shared" si="29"/>
        <v>-</v>
      </c>
      <c r="V146" s="79" t="str">
        <f t="shared" si="30"/>
        <v>-</v>
      </c>
      <c r="W146" s="155"/>
      <c r="X146" s="116" t="str">
        <f>IF($L146="X","-",IF(W146="","-",IF(J146="M",VLOOKUP(W146,T100Pts!U$5:AC$86,(L146+1)),IF(J146="F",VLOOKUP(W146,T100Pts!AE$5:AM$86,(L146+1)),""))))</f>
        <v>-</v>
      </c>
      <c r="Y146" s="163"/>
      <c r="Z146" s="116" t="str">
        <f>IF($L146="X","-",IF(Y146="","-",IF(J146="M",VLOOKUP(Y146,T100Pts!AO$5:AW$126,(L146+1)),IF(J146="F",VLOOKUP(Y146,T100Pts!AY$5:BG$126,(L146+1)),""))))</f>
        <v>-</v>
      </c>
      <c r="AA146" s="165"/>
      <c r="AB146" s="116" t="str">
        <f>IF(OR($L146="X",$L146=6,$L146=7),"-",IF(AA146="","-",IF(J146="M",VLOOKUP(AA146,T100Pts!BI$5:BN$44,(L146+1)),IF(J146="F",VLOOKUP(AA146,T100Pts!BU$5:BZ$44,(L146+1)),""))))</f>
        <v>-</v>
      </c>
      <c r="AC146" s="227"/>
      <c r="AD146" s="116" t="str">
        <f>IF($L146="X","-",IF(AC146="","-",IF(J146="M",VLOOKUP(AC146,T100Pts!A$5:I$1146,(L146+1)),IF(J146="F",VLOOKUP(AC146,T100Pts!K$5:S$1146,(L146+1)),""))))</f>
        <v>-</v>
      </c>
      <c r="AE146" s="117" t="str">
        <f t="shared" si="31"/>
        <v>-</v>
      </c>
      <c r="AF146" s="114" t="str">
        <f t="shared" si="32"/>
        <v>-</v>
      </c>
      <c r="AG146" s="115" t="e">
        <f t="shared" si="33"/>
        <v>#DIV/0!</v>
      </c>
      <c r="AH146" s="114" t="str">
        <f>IF(NOT(ISNUMBER(AG146)), "-", IF(AG146 &lt; 70, "NA", "A"))</f>
        <v>-</v>
      </c>
      <c r="AI146" s="161"/>
      <c r="AJ146" s="77" t="str">
        <f t="shared" si="28"/>
        <v/>
      </c>
    </row>
    <row r="147" spans="1:36" ht="15.75" customHeight="1" x14ac:dyDescent="0.25">
      <c r="A147" s="138">
        <v>134</v>
      </c>
      <c r="B147" s="168"/>
      <c r="C147" s="137"/>
      <c r="D147" s="234"/>
      <c r="E147" s="235"/>
      <c r="F147" s="236"/>
      <c r="G147" s="237"/>
      <c r="H147" s="238"/>
      <c r="I147" s="239" t="str">
        <f>IF(OR(G147="",H147=""),"-",ROUND(G147/(H147^2),0))</f>
        <v>-</v>
      </c>
      <c r="J147" s="155" t="s">
        <v>139</v>
      </c>
      <c r="K147" s="240" t="str">
        <f>IF(F147&gt;0,DATEDIF(F147,$L$1,"Y"),"-")</f>
        <v>-</v>
      </c>
      <c r="L147" s="240" t="str">
        <f>IF(F147="","-",IF(K147&lt;&gt;"",VLOOKUP(K147,T100Pts!CH$4:CI$59,(2))))</f>
        <v>-</v>
      </c>
      <c r="M147" s="190"/>
      <c r="N147" s="240" t="str">
        <f>IF($L147="X","-",IF(M147="","-",IF(J147="M",VLOOKUP(M147,T100Pts!U$5:AC$86,(L147+1)),IF(J147="F",VLOOKUP(M147,T100Pts!AE$5:AM$86,(L147+1)),""))))</f>
        <v>-</v>
      </c>
      <c r="O147" s="190"/>
      <c r="P147" s="241" t="str">
        <f>IF($L147="X","-",IF(O147="","-",IF(J147="M",VLOOKUP(O147,T100Pts!AO$5:AW$126,(L147+1)),IF(J147="F",VLOOKUP(O147,T100Pts!AY$5:BG$126,(L147+1)),""))))</f>
        <v>-</v>
      </c>
      <c r="Q147" s="193"/>
      <c r="R147" s="241" t="str">
        <f>IF(OR($L147="X",$L147=6,$L147=7),"-",IF(Q147="","-",IF(J147="M",VLOOKUP(Q147,T100Pts!BI$5:BN$44,(L147+1)),IF(J147="F",VLOOKUP(Q147,T100Pts!BU$5:BZ$44,(L147+1)),""))))</f>
        <v>-</v>
      </c>
      <c r="S147" s="190"/>
      <c r="T147" s="241" t="str">
        <f>IF($L147="X","-",IF(S147="","-",IF(J147="M",VLOOKUP(S147,T100Pts!A$5:I$1146,(L147+1)),IF(J147="F",VLOOKUP(S147,T100Pts!K$5:S$1147,(L147+1)),""))))</f>
        <v>-</v>
      </c>
      <c r="U147" s="242" t="str">
        <f>IF(OR(N147="X",P147="X",R147="X",T147="X"),"NR",IF(AND(N147="-",P147="-",T147="-"),"-",IF(R147="-",AVERAGE(IF(ISNUMBER(N147),N147),IF(ISNUMBER(P147),P147),IF(ISNUMBER(T147),T147)),AVERAGE(IF(ISNUMBER(N147),N147),IF(ISNUMBER(P147),P147),IF(ISNUMBER(R147),R147),IF(ISNUMBER(T147),T147)))))</f>
        <v>-</v>
      </c>
      <c r="V147" s="195" t="str">
        <f>IF(NOT(ISNUMBER(U147)), "-", IF(U147 &lt; 70, "NA", "A"))</f>
        <v>-</v>
      </c>
      <c r="W147" s="190"/>
      <c r="X147" s="116" t="str">
        <f>IF($L147="X","-",IF(W147="","-",IF(J147="M",VLOOKUP(W147,T100Pts!U$5:AC$86,(L147+1)),IF(J147="F",VLOOKUP(W147,T100Pts!AE$5:AM$86,(L147+1)),""))))</f>
        <v>-</v>
      </c>
      <c r="Y147" s="163"/>
      <c r="Z147" s="116" t="str">
        <f>IF($L147="X","-",IF(Y147="","-",IF(J147="M",VLOOKUP(Y147,T100Pts!AO$5:AW$126,(L147+1)),IF(J147="F",VLOOKUP(Y147,T100Pts!AY$5:BG$126,(L147+1)),""))))</f>
        <v>-</v>
      </c>
      <c r="AA147" s="165"/>
      <c r="AB147" s="116" t="str">
        <f>IF(OR($L147="X",$L147=6,$L147=7),"-",IF(AA147="","-",IF(J147="M",VLOOKUP(AA147,T100Pts!BI$5:BN$44,(L147+1)),IF(J147="F",VLOOKUP(AA147,T100Pts!BU$5:BZ$44,(L147+1)),""))))</f>
        <v>-</v>
      </c>
      <c r="AC147" s="227"/>
      <c r="AD147" s="116" t="str">
        <f>IF($L147="X","-",IF(AC147="","-",IF(J147="M",VLOOKUP(AC147,T100Pts!A$5:I$1146,(L147+1)),IF(J147="F",VLOOKUP(AC147,T100Pts!K$5:S$1146,(L147+1)),""))))</f>
        <v>-</v>
      </c>
      <c r="AE147" s="117" t="str">
        <f t="shared" si="31"/>
        <v>-</v>
      </c>
      <c r="AF147" s="114" t="str">
        <f t="shared" si="32"/>
        <v>-</v>
      </c>
      <c r="AG147" s="115" t="e">
        <f t="shared" si="33"/>
        <v>#DIV/0!</v>
      </c>
      <c r="AH147" s="114" t="str">
        <f t="shared" ref="AH147:AH151" si="34">IF(NOT(ISNUMBER(AG147)), "-", IF(AG147 &lt; 70, "NA", "A"))</f>
        <v>-</v>
      </c>
      <c r="AI147" s="161" t="s">
        <v>220</v>
      </c>
      <c r="AJ147" s="77" t="str">
        <f t="shared" si="28"/>
        <v/>
      </c>
    </row>
    <row r="148" spans="1:36" ht="15.75" customHeight="1" x14ac:dyDescent="0.25">
      <c r="A148" s="138">
        <v>135</v>
      </c>
      <c r="B148" s="168"/>
      <c r="C148" s="243"/>
      <c r="D148" s="234"/>
      <c r="E148" s="235"/>
      <c r="F148" s="236"/>
      <c r="G148" s="237"/>
      <c r="H148" s="238"/>
      <c r="I148" s="239" t="str">
        <f>IF(OR(G148="",H148=""),"-",ROUND(G148/(H148^2),0))</f>
        <v>-</v>
      </c>
      <c r="J148" s="155" t="s">
        <v>139</v>
      </c>
      <c r="K148" s="240" t="str">
        <f>IF(F148&gt;0,DATEDIF(F148,$L$1,"Y"),"-")</f>
        <v>-</v>
      </c>
      <c r="L148" s="240" t="str">
        <f>IF(F148="","-",IF(K148&lt;&gt;"",VLOOKUP(K148,T100Pts!CH$4:CI$59,(2))))</f>
        <v>-</v>
      </c>
      <c r="M148" s="190"/>
      <c r="N148" s="240" t="str">
        <f>IF($L148="X","-",IF(M148="","-",IF(J148="M",VLOOKUP(M148,T100Pts!U$5:AC$86,(L148+1)),IF(J148="F",VLOOKUP(M148,T100Pts!AE$5:AM$86,(L148+1)),""))))</f>
        <v>-</v>
      </c>
      <c r="O148" s="190"/>
      <c r="P148" s="241" t="str">
        <f>IF($L148="X","-",IF(O148="","-",IF(J148="M",VLOOKUP(O148,T100Pts!AO$5:AW$126,(L148+1)),IF(J148="F",VLOOKUP(O148,T100Pts!AY$5:BG$126,(L148+1)),""))))</f>
        <v>-</v>
      </c>
      <c r="Q148" s="193"/>
      <c r="R148" s="241" t="str">
        <f>IF(OR($L148="X",$L148=6,$L148=7),"-",IF(Q148="","-",IF(J148="M",VLOOKUP(Q148,T100Pts!BI$5:BN$44,(L148+1)),IF(J148="F",VLOOKUP(Q148,T100Pts!BU$5:BZ$44,(L148+1)),""))))</f>
        <v>-</v>
      </c>
      <c r="S148" s="190"/>
      <c r="T148" s="241" t="str">
        <f>IF($L148="X","-",IF(S148="","-",IF(J148="M",VLOOKUP(S148,T100Pts!A$5:I$1146,(L148+1)),IF(J148="F",VLOOKUP(S148,T100Pts!K$5:S$1147,(L148+1)),""))))</f>
        <v>-</v>
      </c>
      <c r="U148" s="242" t="str">
        <f>IF(OR(N148="X",P148="X",R148="X",T148="X"),"NR",IF(AND(N148="-",P148="-",T148="-"),"-",IF(R148="-",AVERAGE(IF(ISNUMBER(N148),N148),IF(ISNUMBER(P148),P148),IF(ISNUMBER(T148),T148)),AVERAGE(IF(ISNUMBER(N148),N148),IF(ISNUMBER(P148),P148),IF(ISNUMBER(R148),R148),IF(ISNUMBER(T148),T148)))))</f>
        <v>-</v>
      </c>
      <c r="V148" s="195" t="str">
        <f>IF(NOT(ISNUMBER(U148)), "-", IF(U148 &lt; 70, "NA", "A"))</f>
        <v>-</v>
      </c>
      <c r="W148" s="190"/>
      <c r="X148" s="116" t="str">
        <f>IF($L148="X","-",IF(W148="","-",IF(J148="M",VLOOKUP(W148,T100Pts!U$5:AC$86,(L148+1)),IF(J148="F",VLOOKUP(W148,T100Pts!AE$5:AM$86,(L148+1)),""))))</f>
        <v>-</v>
      </c>
      <c r="Y148" s="163"/>
      <c r="Z148" s="116" t="str">
        <f>IF($L148="X","-",IF(Y148="","-",IF(J148="M",VLOOKUP(Y148,T100Pts!AO$5:AW$126,(L148+1)),IF(J148="F",VLOOKUP(Y148,T100Pts!AY$5:BG$126,(L148+1)),""))))</f>
        <v>-</v>
      </c>
      <c r="AA148" s="165"/>
      <c r="AB148" s="116" t="str">
        <f>IF(OR($L148="X",$L148=6,$L148=7),"-",IF(AA148="","-",IF(J148="M",VLOOKUP(AA148,T100Pts!BI$5:BN$44,(L148+1)),IF(J148="F",VLOOKUP(AA148,T100Pts!BU$5:BZ$44,(L148+1)),""))))</f>
        <v>-</v>
      </c>
      <c r="AC148" s="227"/>
      <c r="AD148" s="116" t="str">
        <f>IF($L148="X","-",IF(AC148="","-",IF(J148="M",VLOOKUP(AC148,T100Pts!A$5:I$1146,(L148+1)),IF(J148="F",VLOOKUP(AC148,T100Pts!K$5:S$1146,(L148+1)),""))))</f>
        <v>-</v>
      </c>
      <c r="AE148" s="117" t="str">
        <f t="shared" si="31"/>
        <v>-</v>
      </c>
      <c r="AF148" s="114" t="str">
        <f t="shared" si="32"/>
        <v>-</v>
      </c>
      <c r="AG148" s="115" t="e">
        <f t="shared" si="33"/>
        <v>#DIV/0!</v>
      </c>
      <c r="AH148" s="114" t="str">
        <f t="shared" si="34"/>
        <v>-</v>
      </c>
      <c r="AI148" s="161"/>
      <c r="AJ148" s="77" t="str">
        <f t="shared" si="28"/>
        <v/>
      </c>
    </row>
    <row r="149" spans="1:36" ht="15.75" customHeight="1" x14ac:dyDescent="0.25">
      <c r="A149" s="138">
        <v>136</v>
      </c>
      <c r="B149" s="168"/>
      <c r="C149" s="244"/>
      <c r="D149" s="234"/>
      <c r="E149" s="235"/>
      <c r="F149" s="236"/>
      <c r="G149" s="237"/>
      <c r="H149" s="238"/>
      <c r="I149" s="239" t="str">
        <f>IF(OR(G149="",H149=""),"-",ROUND(G149/(H149^2),0))</f>
        <v>-</v>
      </c>
      <c r="J149" s="155" t="s">
        <v>140</v>
      </c>
      <c r="K149" s="240" t="str">
        <f>IF(F149&gt;0,DATEDIF(F149,$L$1,"Y"),"-")</f>
        <v>-</v>
      </c>
      <c r="L149" s="240" t="str">
        <f>IF(F149="","-",IF(K149&lt;&gt;"",VLOOKUP(K149,T100Pts!CH$4:CI$59,(2))))</f>
        <v>-</v>
      </c>
      <c r="M149" s="190"/>
      <c r="N149" s="240" t="str">
        <f>IF($L149="X","-",IF(M149="","-",IF(J149="M",VLOOKUP(M149,T100Pts!U$5:AC$86,(L149+1)),IF(J149="F",VLOOKUP(M149,T100Pts!AE$5:AM$86,(L149+1)),""))))</f>
        <v>-</v>
      </c>
      <c r="O149" s="190"/>
      <c r="P149" s="241" t="str">
        <f>IF($L149="X","-",IF(O149="","-",IF(J149="M",VLOOKUP(O149,T100Pts!AO$5:AW$126,(L149+1)),IF(J149="F",VLOOKUP(O149,T100Pts!AY$5:BG$126,(L149+1)),""))))</f>
        <v>-</v>
      </c>
      <c r="Q149" s="193"/>
      <c r="R149" s="241" t="str">
        <f>IF(OR($L149="X",$L149=6,$L149=7),"-",IF(Q149="","-",IF(J149="M",VLOOKUP(Q149,T100Pts!BI$5:BN$44,(L149+1)),IF(J149="F",VLOOKUP(Q149,T100Pts!BU$5:BZ$44,(L149+1)),""))))</f>
        <v>-</v>
      </c>
      <c r="S149" s="190"/>
      <c r="T149" s="241" t="str">
        <f>IF($L149="X","-",IF(S149="","-",IF(J149="M",VLOOKUP(S149,T100Pts!A$5:I$1146,(L149+1)),IF(J149="F",VLOOKUP(S149,T100Pts!K$5:S$1147,(L149+1)),""))))</f>
        <v>-</v>
      </c>
      <c r="U149" s="242" t="str">
        <f>IF(OR(N149="X",P149="X",R149="X",T149="X"),"NR",IF(AND(N149="-",P149="-",T149="-"),"-",IF(R149="-",AVERAGE(IF(ISNUMBER(N149),N149),IF(ISNUMBER(P149),P149),IF(ISNUMBER(T149),T149)),AVERAGE(IF(ISNUMBER(N149),N149),IF(ISNUMBER(P149),P149),IF(ISNUMBER(R149),R149),IF(ISNUMBER(T149),T149)))))</f>
        <v>-</v>
      </c>
      <c r="V149" s="195" t="str">
        <f>IF(NOT(ISNUMBER(U149)), "-", IF(U149 &lt; 70, "NA", "A"))</f>
        <v>-</v>
      </c>
      <c r="W149" s="190"/>
      <c r="X149" s="116" t="str">
        <f>IF($L149="X","-",IF(W149="","-",IF(J149="M",VLOOKUP(W149,T100Pts!U$5:AC$86,(L149+1)),IF(J149="F",VLOOKUP(W149,T100Pts!AE$5:AM$86,(L149+1)),""))))</f>
        <v>-</v>
      </c>
      <c r="Y149" s="163"/>
      <c r="Z149" s="116" t="str">
        <f>IF($L149="X","-",IF(Y149="","-",IF(J149="M",VLOOKUP(Y149,T100Pts!AO$5:AW$126,(L149+1)),IF(J149="F",VLOOKUP(Y149,T100Pts!AY$5:BG$126,(L149+1)),""))))</f>
        <v>-</v>
      </c>
      <c r="AA149" s="165"/>
      <c r="AB149" s="116" t="str">
        <f>IF(OR($L149="X",$L149=6,$L149=7),"-",IF(AA149="","-",IF(J149="M",VLOOKUP(AA149,T100Pts!BI$5:BN$44,(L149+1)),IF(J149="F",VLOOKUP(AA149,T100Pts!BU$5:BZ$44,(L149+1)),""))))</f>
        <v>-</v>
      </c>
      <c r="AC149" s="227"/>
      <c r="AD149" s="116" t="str">
        <f>IF($L149="X","-",IF(AC149="","-",IF(J149="M",VLOOKUP(AC149,T100Pts!A$5:I$1146,(L149+1)),IF(J149="F",VLOOKUP(AC149,T100Pts!K$5:S$1146,(L149+1)),""))))</f>
        <v>-</v>
      </c>
      <c r="AE149" s="117" t="str">
        <f t="shared" si="31"/>
        <v>-</v>
      </c>
      <c r="AF149" s="114" t="str">
        <f t="shared" si="32"/>
        <v>-</v>
      </c>
      <c r="AG149" s="115" t="e">
        <f t="shared" si="33"/>
        <v>#DIV/0!</v>
      </c>
      <c r="AH149" s="114" t="str">
        <f t="shared" si="34"/>
        <v>-</v>
      </c>
      <c r="AI149" s="161"/>
      <c r="AJ149" s="77" t="str">
        <f t="shared" si="28"/>
        <v/>
      </c>
    </row>
    <row r="150" spans="1:36" ht="15.75" customHeight="1" x14ac:dyDescent="0.25">
      <c r="A150" s="138">
        <v>137</v>
      </c>
      <c r="B150" s="168"/>
      <c r="C150" s="243"/>
      <c r="D150" s="234"/>
      <c r="E150" s="235"/>
      <c r="F150" s="236"/>
      <c r="G150" s="237"/>
      <c r="H150" s="238"/>
      <c r="I150" s="239" t="str">
        <f>IF(OR(G150="",H150=""),"-",ROUND(G150/(H150^2),0))</f>
        <v>-</v>
      </c>
      <c r="J150" s="155" t="s">
        <v>139</v>
      </c>
      <c r="K150" s="240" t="str">
        <f>IF(F150&gt;0,DATEDIF(F150,$L$1,"Y"),"-")</f>
        <v>-</v>
      </c>
      <c r="L150" s="240" t="str">
        <f>IF(F150="","-",IF(K150&lt;&gt;"",VLOOKUP(K150,T100Pts!CH$4:CI$59,(2))))</f>
        <v>-</v>
      </c>
      <c r="M150" s="190"/>
      <c r="N150" s="240" t="str">
        <f>IF($L150="X","-",IF(M150="","-",IF(J150="M",VLOOKUP(M150,T100Pts!U$5:AC$86,(L150+1)),IF(J150="F",VLOOKUP(M150,T100Pts!AE$5:AM$86,(L150+1)),""))))</f>
        <v>-</v>
      </c>
      <c r="O150" s="190"/>
      <c r="P150" s="241" t="str">
        <f>IF($L150="X","-",IF(O150="","-",IF(J150="M",VLOOKUP(O150,T100Pts!AO$5:AW$126,(L150+1)),IF(J150="F",VLOOKUP(O150,T100Pts!AY$5:BG$126,(L150+1)),""))))</f>
        <v>-</v>
      </c>
      <c r="Q150" s="193"/>
      <c r="R150" s="241" t="str">
        <f>IF(OR($L150="X",$L150=6,$L150=7),"-",IF(Q150="","-",IF(J150="M",VLOOKUP(Q150,T100Pts!BI$5:BN$44,(L150+1)),IF(J150="F",VLOOKUP(Q150,T100Pts!BU$5:BZ$44,(L150+1)),""))))</f>
        <v>-</v>
      </c>
      <c r="S150" s="190"/>
      <c r="T150" s="241" t="str">
        <f>IF($L150="X","-",IF(S150="","-",IF(J150="M",VLOOKUP(S150,T100Pts!A$5:I$1146,(L150+1)),IF(J150="F",VLOOKUP(S150,T100Pts!K$5:S$1147,(L150+1)),""))))</f>
        <v>-</v>
      </c>
      <c r="U150" s="242" t="str">
        <f>IF(OR(N150="X",P150="X",R150="X",T150="X"),"NR",IF(AND(N150="-",P150="-",T150="-"),"-",IF(R150="-",AVERAGE(IF(ISNUMBER(N150),N150),IF(ISNUMBER(P150),P150),IF(ISNUMBER(T150),T150)),AVERAGE(IF(ISNUMBER(N150),N150),IF(ISNUMBER(P150),P150),IF(ISNUMBER(R150),R150),IF(ISNUMBER(T150),T150)))))</f>
        <v>-</v>
      </c>
      <c r="V150" s="195" t="str">
        <f>IF(NOT(ISNUMBER(U150)), "-", IF(U150 &lt; 70, "NA", "A"))</f>
        <v>-</v>
      </c>
      <c r="W150" s="190"/>
      <c r="X150" s="116" t="str">
        <f>IF($L150="X","-",IF(W150="","-",IF(J150="M",VLOOKUP(W150,T100Pts!U$5:AC$86,(L150+1)),IF(J150="F",VLOOKUP(W150,T100Pts!AE$5:AM$86,(L150+1)),""))))</f>
        <v>-</v>
      </c>
      <c r="Y150" s="163"/>
      <c r="Z150" s="116" t="str">
        <f>IF($L150="X","-",IF(Y150="","-",IF(J150="M",VLOOKUP(Y150,T100Pts!AO$5:AW$126,(L150+1)),IF(J150="F",VLOOKUP(Y150,T100Pts!AY$5:BG$126,(L150+1)),""))))</f>
        <v>-</v>
      </c>
      <c r="AA150" s="165"/>
      <c r="AB150" s="116" t="str">
        <f>IF(OR($L150="X",$L150=6,$L150=7),"-",IF(AA150="","-",IF(J150="M",VLOOKUP(AA150,T100Pts!BI$5:BN$44,(L150+1)),IF(J150="F",VLOOKUP(AA150,T100Pts!BU$5:BZ$44,(L150+1)),""))))</f>
        <v>-</v>
      </c>
      <c r="AC150" s="227"/>
      <c r="AD150" s="116" t="str">
        <f>IF($L150="X","-",IF(AC150="","-",IF(J150="M",VLOOKUP(AC150,T100Pts!A$5:I$1146,(L150+1)),IF(J150="F",VLOOKUP(AC150,T100Pts!K$5:S$1146,(L150+1)),""))))</f>
        <v>-</v>
      </c>
      <c r="AE150" s="117" t="str">
        <f t="shared" si="31"/>
        <v>-</v>
      </c>
      <c r="AF150" s="114" t="str">
        <f t="shared" si="32"/>
        <v>-</v>
      </c>
      <c r="AG150" s="115" t="e">
        <f t="shared" si="33"/>
        <v>#DIV/0!</v>
      </c>
      <c r="AH150" s="114" t="str">
        <f t="shared" si="34"/>
        <v>-</v>
      </c>
      <c r="AI150" s="161" t="s">
        <v>221</v>
      </c>
      <c r="AJ150" s="77" t="str">
        <f t="shared" si="28"/>
        <v/>
      </c>
    </row>
    <row r="151" spans="1:36" ht="15.75" customHeight="1" x14ac:dyDescent="0.25">
      <c r="A151" s="138">
        <v>138</v>
      </c>
      <c r="B151" s="168"/>
      <c r="C151" s="137"/>
      <c r="D151" s="231"/>
      <c r="E151" s="175"/>
      <c r="F151" s="176"/>
      <c r="G151" s="177"/>
      <c r="H151" s="178"/>
      <c r="I151" s="154" t="str">
        <f t="shared" si="25"/>
        <v>-</v>
      </c>
      <c r="J151" s="181" t="s">
        <v>139</v>
      </c>
      <c r="K151" s="153" t="str">
        <f t="shared" si="26"/>
        <v>-</v>
      </c>
      <c r="L151" s="153" t="str">
        <f>IF(F151="","-",IF(K151&lt;&gt;"",VLOOKUP(K151,T100Pts!CH$4:CI$59,(2))))</f>
        <v>-</v>
      </c>
      <c r="M151" s="155"/>
      <c r="N151" s="153" t="str">
        <f>IF($L151="X","-",IF(M151="","-",IF(J151="M",VLOOKUP(M151,T100Pts!U$5:AC$86,(L151+1)),IF(J151="F",VLOOKUP(M151,T100Pts!AE$5:AM$86,(L151+1)),""))))</f>
        <v>-</v>
      </c>
      <c r="O151" s="155"/>
      <c r="P151" s="140" t="str">
        <f>IF($L151="X","-",IF(O151="","-",IF(J151="M",VLOOKUP(O151,T100Pts!AO$5:AW$126,(L151+1)),IF(J151="F",VLOOKUP(O151,T100Pts!AY$5:BG$126,(L151+1)),""))))</f>
        <v>-</v>
      </c>
      <c r="Q151" s="157"/>
      <c r="R151" s="140" t="str">
        <f>IF(OR($L151="X",$L151=6,$L151=7),"-",IF(Q151="","-",IF(J151="M",VLOOKUP(Q151,T100Pts!BI$5:BN$44,(L151+1)),IF(J151="F",VLOOKUP(Q151,T100Pts!BU$5:BZ$44,(L151+1)),""))))</f>
        <v>-</v>
      </c>
      <c r="S151" s="155"/>
      <c r="T151" s="140" t="str">
        <f>IF($L151="X","-",IF(S151="","-",IF(J151="M",VLOOKUP(S151,T100Pts!A$5:I$1146,(L151+1)),IF(J151="F",VLOOKUP(S151,T100Pts!K$5:S$1147,(L151+1)),""))))</f>
        <v>-</v>
      </c>
      <c r="U151" s="141" t="str">
        <f t="shared" si="29"/>
        <v>-</v>
      </c>
      <c r="V151" s="79" t="str">
        <f t="shared" si="30"/>
        <v>-</v>
      </c>
      <c r="W151" s="155"/>
      <c r="X151" s="116" t="str">
        <f>IF($L151="X","-",IF(W151="","-",IF(J151="M",VLOOKUP(W151,T100Pts!U$5:AC$86,(L151+1)),IF(J151="F",VLOOKUP(W151,T100Pts!AE$5:AM$86,(L151+1)),""))))</f>
        <v>-</v>
      </c>
      <c r="Y151" s="163"/>
      <c r="Z151" s="116" t="str">
        <f>IF($L151="X","-",IF(Y151="","-",IF(J151="M",VLOOKUP(Y151,T100Pts!AO$5:AW$126,(L151+1)),IF(J151="F",VLOOKUP(Y151,T100Pts!AY$5:BG$126,(L151+1)),""))))</f>
        <v>-</v>
      </c>
      <c r="AA151" s="165"/>
      <c r="AB151" s="116" t="str">
        <f>IF(OR($L151="X",$L151=6,$L151=7),"-",IF(AA151="","-",IF(J151="M",VLOOKUP(AA151,T100Pts!BI$5:BN$44,(L151+1)),IF(J151="F",VLOOKUP(AA151,T100Pts!BU$5:BZ$44,(L151+1)),""))))</f>
        <v>-</v>
      </c>
      <c r="AC151" s="227"/>
      <c r="AD151" s="116" t="str">
        <f>IF($L151="X","-",IF(AC151="","-",IF(J151="M",VLOOKUP(AC151,T100Pts!A$5:I$1146,(L151+1)),IF(J151="F",VLOOKUP(AC151,T100Pts!K$5:S$1146,(L151+1)),""))))</f>
        <v>-</v>
      </c>
      <c r="AE151" s="117" t="str">
        <f t="shared" si="31"/>
        <v>-</v>
      </c>
      <c r="AF151" s="114" t="str">
        <f t="shared" si="32"/>
        <v>-</v>
      </c>
      <c r="AG151" s="115" t="e">
        <f t="shared" si="33"/>
        <v>#DIV/0!</v>
      </c>
      <c r="AH151" s="114" t="str">
        <f t="shared" si="34"/>
        <v>-</v>
      </c>
      <c r="AI151" s="161"/>
      <c r="AJ151" s="77" t="str">
        <f t="shared" si="28"/>
        <v/>
      </c>
    </row>
    <row r="152" spans="1:36" ht="15.75" customHeight="1" x14ac:dyDescent="0.25">
      <c r="A152" s="138">
        <v>139</v>
      </c>
      <c r="B152" s="168"/>
      <c r="C152" s="137"/>
      <c r="D152" s="174"/>
      <c r="E152" s="175"/>
      <c r="F152" s="176"/>
      <c r="G152" s="177"/>
      <c r="H152" s="178"/>
      <c r="I152" s="154" t="str">
        <f t="shared" si="25"/>
        <v>-</v>
      </c>
      <c r="J152" s="181" t="s">
        <v>139</v>
      </c>
      <c r="K152" s="153" t="str">
        <f t="shared" si="26"/>
        <v>-</v>
      </c>
      <c r="L152" s="153" t="str">
        <f>IF(F152="","-",IF(K152&lt;&gt;"",VLOOKUP(K152,T100Pts!CH$4:CI$59,(2))))</f>
        <v>-</v>
      </c>
      <c r="M152" s="155"/>
      <c r="N152" s="153" t="str">
        <f>IF($L152="X","-",IF(M152="","-",IF(J152="M",VLOOKUP(M152,T100Pts!U$5:AC$86,(L152+1)),IF(J152="F",VLOOKUP(M152,T100Pts!AE$5:AM$86,(L152+1)),""))))</f>
        <v>-</v>
      </c>
      <c r="O152" s="155"/>
      <c r="P152" s="140" t="str">
        <f>IF($L152="X","-",IF(O152="","-",IF(J152="M",VLOOKUP(O152,T100Pts!AO$5:AW$126,(L152+1)),IF(J152="F",VLOOKUP(O152,T100Pts!AY$5:BG$126,(L152+1)),""))))</f>
        <v>-</v>
      </c>
      <c r="Q152" s="157"/>
      <c r="R152" s="140" t="str">
        <f>IF(OR($L152="X",$L152=6,$L152=7),"-",IF(Q152="","-",IF(J152="M",VLOOKUP(Q152,T100Pts!BI$5:BN$44,(L152+1)),IF(J152="F",VLOOKUP(Q152,T100Pts!BU$5:BZ$44,(L152+1)),""))))</f>
        <v>-</v>
      </c>
      <c r="S152" s="155"/>
      <c r="T152" s="140" t="str">
        <f>IF($L152="X","-",IF(S152="","-",IF(J152="M",VLOOKUP(S152,T100Pts!A$5:I$1146,(L152+1)),IF(J152="F",VLOOKUP(S152,T100Pts!K$5:S$1147,(L152+1)),""))))</f>
        <v>-</v>
      </c>
      <c r="U152" s="141" t="str">
        <f t="shared" si="29"/>
        <v>-</v>
      </c>
      <c r="V152" s="79" t="str">
        <f t="shared" si="30"/>
        <v>-</v>
      </c>
      <c r="W152" s="155"/>
      <c r="X152" s="116" t="str">
        <f>IF($L152="X","-",IF(W152="","-",IF(J152="M",VLOOKUP(W152,T100Pts!U$5:AC$86,(L152+1)),IF(J152="F",VLOOKUP(W152,T100Pts!AE$5:AM$86,(L152+1)),""))))</f>
        <v>-</v>
      </c>
      <c r="Y152" s="163"/>
      <c r="Z152" s="116" t="str">
        <f>IF($L152="X","-",IF(Y152="","-",IF(J152="M",VLOOKUP(Y152,T100Pts!AO$5:AW$126,(L152+1)),IF(J152="F",VLOOKUP(Y152,T100Pts!AY$5:BG$126,(L152+1)),""))))</f>
        <v>-</v>
      </c>
      <c r="AA152" s="165"/>
      <c r="AB152" s="116" t="str">
        <f>IF(OR($L152="X",$L152=6,$L152=7),"-",IF(AA152="","-",IF(J152="M",VLOOKUP(AA152,T100Pts!BI$5:BN$44,(L152+1)),IF(J152="F",VLOOKUP(AA152,T100Pts!BU$5:BZ$44,(L152+1)),""))))</f>
        <v>-</v>
      </c>
      <c r="AC152" s="228"/>
      <c r="AD152" s="116" t="str">
        <f>IF($L152="X","-",IF(AC152="","-",IF(J152="M",VLOOKUP(AC152,T100Pts!A$5:I$1146,(L152+1)),IF(J152="F",VLOOKUP(AC152,T100Pts!K$5:S$1146,(L152+1)),""))))</f>
        <v>-</v>
      </c>
      <c r="AE152" s="117" t="str">
        <f t="shared" si="31"/>
        <v>-</v>
      </c>
      <c r="AF152" s="114" t="str">
        <f t="shared" si="32"/>
        <v>-</v>
      </c>
      <c r="AG152" s="115" t="e">
        <f t="shared" si="33"/>
        <v>#DIV/0!</v>
      </c>
      <c r="AH152" s="114" t="str">
        <f t="shared" si="27"/>
        <v>-</v>
      </c>
      <c r="AI152" s="161"/>
      <c r="AJ152" s="77" t="str">
        <f t="shared" si="28"/>
        <v/>
      </c>
    </row>
    <row r="153" spans="1:36" ht="15.75" customHeight="1" x14ac:dyDescent="0.25">
      <c r="A153" s="138">
        <v>140</v>
      </c>
      <c r="B153" s="168"/>
      <c r="C153" s="137"/>
      <c r="D153" s="174"/>
      <c r="E153" s="175"/>
      <c r="F153" s="176"/>
      <c r="G153" s="177"/>
      <c r="H153" s="178"/>
      <c r="I153" s="154" t="str">
        <f t="shared" si="25"/>
        <v>-</v>
      </c>
      <c r="J153" s="181" t="s">
        <v>139</v>
      </c>
      <c r="K153" s="153" t="str">
        <f t="shared" si="26"/>
        <v>-</v>
      </c>
      <c r="L153" s="153" t="str">
        <f>IF(F153="","-",IF(K153&lt;&gt;"",VLOOKUP(K153,T100Pts!CH$4:CI$59,(2))))</f>
        <v>-</v>
      </c>
      <c r="M153" s="155"/>
      <c r="N153" s="153" t="str">
        <f>IF($L153="X","-",IF(M153="","-",IF(J153="M",VLOOKUP(M153,T100Pts!U$5:AC$86,(L153+1)),IF(J153="F",VLOOKUP(M153,T100Pts!AE$5:AM$86,(L153+1)),""))))</f>
        <v>-</v>
      </c>
      <c r="O153" s="155"/>
      <c r="P153" s="140" t="str">
        <f>IF($L153="X","-",IF(O153="","-",IF(J153="M",VLOOKUP(O153,T100Pts!AO$5:AW$126,(L153+1)),IF(J153="F",VLOOKUP(O153,T100Pts!AY$5:BG$126,(L153+1)),""))))</f>
        <v>-</v>
      </c>
      <c r="Q153" s="157"/>
      <c r="R153" s="140" t="str">
        <f>IF(OR($L153="X",$L153=6,$L153=7),"-",IF(Q153="","-",IF(J153="M",VLOOKUP(Q153,T100Pts!BI$5:BN$44,(L153+1)),IF(J153="F",VLOOKUP(Q153,T100Pts!BU$5:BZ$44,(L153+1)),""))))</f>
        <v>-</v>
      </c>
      <c r="S153" s="155"/>
      <c r="T153" s="140" t="str">
        <f>IF($L153="X","-",IF(S153="","-",IF(J153="M",VLOOKUP(S153,T100Pts!A$5:I$1146,(L153+1)),IF(J153="F",VLOOKUP(S153,T100Pts!K$5:S$1147,(L153+1)),""))))</f>
        <v>-</v>
      </c>
      <c r="U153" s="141" t="str">
        <f t="shared" si="29"/>
        <v>-</v>
      </c>
      <c r="V153" s="79" t="str">
        <f t="shared" si="30"/>
        <v>-</v>
      </c>
      <c r="W153" s="155"/>
      <c r="X153" s="116" t="str">
        <f>IF($L153="X","-",IF(W153="","-",IF(J153="M",VLOOKUP(W153,T100Pts!U$5:AC$86,(L153+1)),IF(J153="F",VLOOKUP(W153,T100Pts!AE$5:AM$86,(L153+1)),""))))</f>
        <v>-</v>
      </c>
      <c r="Y153" s="163"/>
      <c r="Z153" s="116" t="str">
        <f>IF($L153="X","-",IF(Y153="","-",IF(J153="M",VLOOKUP(Y153,T100Pts!AO$5:AW$126,(L153+1)),IF(J153="F",VLOOKUP(Y153,T100Pts!AY$5:BG$126,(L153+1)),""))))</f>
        <v>-</v>
      </c>
      <c r="AA153" s="165"/>
      <c r="AB153" s="116" t="str">
        <f>IF(OR($L153="X",$L153=6,$L153=7),"-",IF(AA153="","-",IF(J153="M",VLOOKUP(AA153,T100Pts!BI$5:BN$44,(L153+1)),IF(J153="F",VLOOKUP(AA153,T100Pts!BU$5:BZ$44,(L153+1)),""))))</f>
        <v>-</v>
      </c>
      <c r="AC153" s="163"/>
      <c r="AD153" s="116" t="str">
        <f>IF($L153="X","-",IF(AC153="","-",IF(J153="M",VLOOKUP(AC153,T100Pts!A$5:I$1146,(L153+1)),IF(J153="F",VLOOKUP(AC153,T100Pts!K$5:S$1146,(L153+1)),""))))</f>
        <v>-</v>
      </c>
      <c r="AE153" s="117" t="str">
        <f t="shared" si="31"/>
        <v>-</v>
      </c>
      <c r="AF153" s="114" t="str">
        <f t="shared" si="32"/>
        <v>-</v>
      </c>
      <c r="AG153" s="115" t="e">
        <f t="shared" si="33"/>
        <v>#DIV/0!</v>
      </c>
      <c r="AH153" s="114" t="str">
        <f t="shared" si="27"/>
        <v>-</v>
      </c>
      <c r="AI153" s="161"/>
      <c r="AJ153" s="77" t="str">
        <f t="shared" si="28"/>
        <v/>
      </c>
    </row>
    <row r="154" spans="1:36" ht="15.75" customHeight="1" x14ac:dyDescent="0.2">
      <c r="A154" s="138">
        <v>141</v>
      </c>
      <c r="B154" s="168"/>
      <c r="C154" s="137"/>
      <c r="D154" s="169"/>
      <c r="E154" s="183"/>
      <c r="F154" s="173"/>
      <c r="G154" s="168"/>
      <c r="H154" s="168"/>
      <c r="I154" s="154" t="str">
        <f t="shared" si="25"/>
        <v>-</v>
      </c>
      <c r="J154" s="203" t="s">
        <v>139</v>
      </c>
      <c r="K154" s="153" t="str">
        <f t="shared" si="26"/>
        <v>-</v>
      </c>
      <c r="L154" s="153" t="str">
        <f>IF(F154="","-",IF(K154&lt;&gt;"",VLOOKUP(K154,T100Pts!CH$4:CI$59,(2))))</f>
        <v>-</v>
      </c>
      <c r="M154" s="155"/>
      <c r="N154" s="153" t="str">
        <f>IF($L154="X","-",IF(M154="","-",IF(J154="M",VLOOKUP(M154,T100Pts!U$5:AC$86,(L154+1)),IF(J154="F",VLOOKUP(M154,T100Pts!AE$5:AM$86,(L154+1)),""))))</f>
        <v>-</v>
      </c>
      <c r="O154" s="155"/>
      <c r="P154" s="140" t="str">
        <f>IF($L154="X","-",IF(O154="","-",IF(J154="M",VLOOKUP(O154,T100Pts!AO$5:AW$126,(L154+1)),IF(J154="F",VLOOKUP(O154,T100Pts!AY$5:BG$126,(L154+1)),""))))</f>
        <v>-</v>
      </c>
      <c r="Q154" s="157"/>
      <c r="R154" s="140" t="str">
        <f>IF(OR($L154="X",$L154=6,$L154=7),"-",IF(Q154="","-",IF(J154="M",VLOOKUP(Q154,T100Pts!BI$5:BN$44,(L154+1)),IF(J154="F",VLOOKUP(Q154,T100Pts!BU$5:BZ$44,(L154+1)),""))))</f>
        <v>-</v>
      </c>
      <c r="S154" s="155"/>
      <c r="T154" s="140" t="str">
        <f>IF($L154="X","-",IF(S154="","-",IF(J154="M",VLOOKUP(S154,T100Pts!A$5:I$1146,(L154+1)),IF(J154="F",VLOOKUP(S154,T100Pts!K$5:S$1147,(L154+1)),""))))</f>
        <v>-</v>
      </c>
      <c r="U154" s="141" t="str">
        <f t="shared" si="29"/>
        <v>-</v>
      </c>
      <c r="V154" s="79" t="str">
        <f t="shared" si="30"/>
        <v>-</v>
      </c>
      <c r="W154" s="155"/>
      <c r="X154" s="116" t="str">
        <f>IF($L154="X","-",IF(W154="","-",IF(J154="M",VLOOKUP(W154,T100Pts!U$5:AC$86,(L154+1)),IF(J154="F",VLOOKUP(W154,T100Pts!AE$5:AM$86,(L154+1)),""))))</f>
        <v>-</v>
      </c>
      <c r="Y154" s="163"/>
      <c r="Z154" s="116" t="str">
        <f>IF($L154="X","-",IF(Y154="","-",IF(J154="M",VLOOKUP(Y154,T100Pts!AO$5:AW$126,(L154+1)),IF(J154="F",VLOOKUP(Y154,T100Pts!AY$5:BG$126,(L154+1)),""))))</f>
        <v>-</v>
      </c>
      <c r="AA154" s="165"/>
      <c r="AB154" s="116" t="str">
        <f>IF(OR($L154="X",$L154=6,$L154=7),"-",IF(AA154="","-",IF(J154="M",VLOOKUP(AA154,T100Pts!BI$5:BN$44,(L154+1)),IF(J154="F",VLOOKUP(AA154,T100Pts!BU$5:BZ$44,(L154+1)),""))))</f>
        <v>-</v>
      </c>
      <c r="AC154" s="163"/>
      <c r="AD154" s="116" t="str">
        <f>IF($L154="X","-",IF(AC154="","-",IF(J154="M",VLOOKUP(AC154,T100Pts!A$5:I$1146,(L154+1)),IF(J154="F",VLOOKUP(AC154,T100Pts!K$5:S$1146,(L154+1)),""))))</f>
        <v>-</v>
      </c>
      <c r="AE154" s="117" t="str">
        <f t="shared" si="31"/>
        <v>-</v>
      </c>
      <c r="AF154" s="114" t="str">
        <f t="shared" si="32"/>
        <v>-</v>
      </c>
      <c r="AG154" s="115" t="e">
        <f t="shared" si="33"/>
        <v>#DIV/0!</v>
      </c>
      <c r="AH154" s="114" t="str">
        <f t="shared" si="27"/>
        <v>-</v>
      </c>
      <c r="AI154" s="161" t="s">
        <v>222</v>
      </c>
      <c r="AJ154" s="77" t="str">
        <f t="shared" si="28"/>
        <v/>
      </c>
    </row>
    <row r="155" spans="1:36" ht="15.75" customHeight="1" x14ac:dyDescent="0.2">
      <c r="A155" s="138">
        <v>142</v>
      </c>
      <c r="B155" s="168"/>
      <c r="C155" s="137"/>
      <c r="D155" s="169"/>
      <c r="E155" s="183"/>
      <c r="F155" s="173"/>
      <c r="G155" s="168"/>
      <c r="H155" s="168"/>
      <c r="I155" s="154" t="str">
        <f t="shared" ref="I155:I182" si="35">IF(OR(G155="",H155=""),"-",ROUND(G155/(H155^2),0))</f>
        <v>-</v>
      </c>
      <c r="J155" s="203" t="s">
        <v>139</v>
      </c>
      <c r="K155" s="153" t="str">
        <f t="shared" ref="K155:K182" si="36">IF(F155&gt;0,DATEDIF(F155,$L$1,"Y"),"-")</f>
        <v>-</v>
      </c>
      <c r="L155" s="153" t="str">
        <f>IF(F155="","-",IF(K155&lt;&gt;"",VLOOKUP(K155,T100Pts!CH$4:CI$59,(2))))</f>
        <v>-</v>
      </c>
      <c r="M155" s="155"/>
      <c r="N155" s="153" t="str">
        <f>IF($L155="X","-",IF(M155="","-",IF(J155="M",VLOOKUP(M155,T100Pts!U$5:AC$86,(L155+1)),IF(J155="F",VLOOKUP(M155,T100Pts!AE$5:AM$86,(L155+1)),""))))</f>
        <v>-</v>
      </c>
      <c r="O155" s="155"/>
      <c r="P155" s="140" t="str">
        <f>IF($L155="X","-",IF(O155="","-",IF(J155="M",VLOOKUP(O155,T100Pts!AO$5:AW$126,(L155+1)),IF(J155="F",VLOOKUP(O155,T100Pts!AY$5:BG$126,(L155+1)),""))))</f>
        <v>-</v>
      </c>
      <c r="Q155" s="157"/>
      <c r="R155" s="140" t="str">
        <f>IF(OR($L155="X",$L155=6,$L155=7),"-",IF(Q155="","-",IF(J155="M",VLOOKUP(Q155,T100Pts!BI$5:BN$44,(L155+1)),IF(J155="F",VLOOKUP(Q155,T100Pts!BU$5:BZ$44,(L155+1)),""))))</f>
        <v>-</v>
      </c>
      <c r="S155" s="155"/>
      <c r="T155" s="140" t="str">
        <f>IF($L155="X","-",IF(S155="","-",IF(J155="M",VLOOKUP(S155,T100Pts!A$5:I$1146,(L155+1)),IF(J155="F",VLOOKUP(S155,T100Pts!K$5:S$1147,(L155+1)),""))))</f>
        <v>-</v>
      </c>
      <c r="U155" s="141" t="str">
        <f t="shared" si="29"/>
        <v>-</v>
      </c>
      <c r="V155" s="79" t="str">
        <f t="shared" si="30"/>
        <v>-</v>
      </c>
      <c r="W155" s="155"/>
      <c r="X155" s="116" t="str">
        <f>IF($L155="X","-",IF(W155="","-",IF(J155="M",VLOOKUP(W155,T100Pts!U$5:AC$86,(L155+1)),IF(J155="F",VLOOKUP(W155,T100Pts!AE$5:AM$86,(L155+1)),""))))</f>
        <v>-</v>
      </c>
      <c r="Y155" s="163"/>
      <c r="Z155" s="116" t="str">
        <f>IF($L155="X","-",IF(Y155="","-",IF(J155="M",VLOOKUP(Y155,T100Pts!AO$5:AW$126,(L155+1)),IF(J155="F",VLOOKUP(Y155,T100Pts!AY$5:BG$126,(L155+1)),""))))</f>
        <v>-</v>
      </c>
      <c r="AA155" s="165"/>
      <c r="AB155" s="116" t="str">
        <f>IF(OR($L155="X",$L155=6,$L155=7),"-",IF(AA155="","-",IF(J155="M",VLOOKUP(AA155,T100Pts!BI$5:BN$44,(L155+1)),IF(J155="F",VLOOKUP(AA155,T100Pts!BU$5:BZ$44,(L155+1)),""))))</f>
        <v>-</v>
      </c>
      <c r="AC155" s="227"/>
      <c r="AD155" s="116" t="str">
        <f>IF($L155="X","-",IF(AC155="","-",IF(J155="M",VLOOKUP(AC155,T100Pts!A$5:I$1146,(L155+1)),IF(J155="F",VLOOKUP(AC155,T100Pts!K$5:S$1146,(L155+1)),""))))</f>
        <v>-</v>
      </c>
      <c r="AE155" s="117" t="str">
        <f t="shared" si="31"/>
        <v>-</v>
      </c>
      <c r="AF155" s="114" t="str">
        <f t="shared" si="32"/>
        <v>-</v>
      </c>
      <c r="AG155" s="115" t="e">
        <f t="shared" si="33"/>
        <v>#DIV/0!</v>
      </c>
      <c r="AH155" s="114" t="str">
        <f t="shared" si="27"/>
        <v>-</v>
      </c>
      <c r="AI155" s="161"/>
      <c r="AJ155" s="77" t="str">
        <f t="shared" si="28"/>
        <v/>
      </c>
    </row>
    <row r="156" spans="1:36" ht="15.75" customHeight="1" x14ac:dyDescent="0.2">
      <c r="A156" s="138">
        <v>143</v>
      </c>
      <c r="B156" s="168"/>
      <c r="C156" s="137"/>
      <c r="D156" s="169"/>
      <c r="E156" s="183"/>
      <c r="F156" s="173"/>
      <c r="G156" s="168"/>
      <c r="H156" s="168"/>
      <c r="I156" s="154" t="str">
        <f t="shared" si="35"/>
        <v>-</v>
      </c>
      <c r="J156" s="203" t="s">
        <v>139</v>
      </c>
      <c r="K156" s="153" t="str">
        <f t="shared" si="36"/>
        <v>-</v>
      </c>
      <c r="L156" s="153" t="str">
        <f>IF(F156="","-",IF(K156&lt;&gt;"",VLOOKUP(K156,T100Pts!CH$4:CI$59,(2))))</f>
        <v>-</v>
      </c>
      <c r="M156" s="155"/>
      <c r="N156" s="153" t="str">
        <f>IF($L156="X","-",IF(M156="","-",IF(J156="M",VLOOKUP(M156,T100Pts!U$5:AC$86,(L156+1)),IF(J156="F",VLOOKUP(M156,T100Pts!AE$5:AM$86,(L156+1)),""))))</f>
        <v>-</v>
      </c>
      <c r="O156" s="155"/>
      <c r="P156" s="140" t="str">
        <f>IF($L156="X","-",IF(O156="","-",IF(J156="M",VLOOKUP(O156,T100Pts!AO$5:AW$126,(L156+1)),IF(J156="F",VLOOKUP(O156,T100Pts!AY$5:BG$126,(L156+1)),""))))</f>
        <v>-</v>
      </c>
      <c r="Q156" s="157"/>
      <c r="R156" s="140" t="str">
        <f>IF(OR($L156="X",$L156=6,$L156=7),"-",IF(Q156="","-",IF(J156="M",VLOOKUP(Q156,T100Pts!BI$5:BN$44,(L156+1)),IF(J156="F",VLOOKUP(Q156,T100Pts!BU$5:BZ$44,(L156+1)),""))))</f>
        <v>-</v>
      </c>
      <c r="S156" s="155"/>
      <c r="T156" s="140" t="str">
        <f>IF($L156="X","-",IF(S156="","-",IF(J156="M",VLOOKUP(S156,T100Pts!A$5:I$1146,(L156+1)),IF(J156="F",VLOOKUP(S156,T100Pts!K$5:S$1147,(L156+1)),""))))</f>
        <v>-</v>
      </c>
      <c r="U156" s="141" t="str">
        <f t="shared" si="29"/>
        <v>-</v>
      </c>
      <c r="V156" s="79" t="str">
        <f t="shared" si="30"/>
        <v>-</v>
      </c>
      <c r="W156" s="155"/>
      <c r="X156" s="116" t="str">
        <f>IF($L156="X","-",IF(W156="","-",IF(J156="M",VLOOKUP(W156,T100Pts!U$5:AC$86,(L156+1)),IF(J156="F",VLOOKUP(W156,T100Pts!AE$5:AM$86,(L156+1)),""))))</f>
        <v>-</v>
      </c>
      <c r="Y156" s="163"/>
      <c r="Z156" s="116" t="str">
        <f>IF($L156="X","-",IF(Y156="","-",IF(J156="M",VLOOKUP(Y156,T100Pts!AO$5:AW$126,(L156+1)),IF(J156="F",VLOOKUP(Y156,T100Pts!AY$5:BG$126,(L156+1)),""))))</f>
        <v>-</v>
      </c>
      <c r="AA156" s="165"/>
      <c r="AB156" s="116" t="str">
        <f>IF(OR($L156="X",$L156=6,$L156=7),"-",IF(AA156="","-",IF(J156="M",VLOOKUP(AA156,T100Pts!BI$5:BN$44,(L156+1)),IF(J156="F",VLOOKUP(AA156,T100Pts!BU$5:BZ$44,(L156+1)),""))))</f>
        <v>-</v>
      </c>
      <c r="AC156" s="227"/>
      <c r="AD156" s="116" t="str">
        <f>IF($L156="X","-",IF(AC156="","-",IF(J156="M",VLOOKUP(AC156,T100Pts!A$5:I$1146,(L156+1)),IF(J156="F",VLOOKUP(AC156,T100Pts!K$5:S$1146,(L156+1)),""))))</f>
        <v>-</v>
      </c>
      <c r="AE156" s="117" t="str">
        <f t="shared" si="31"/>
        <v>-</v>
      </c>
      <c r="AF156" s="114" t="str">
        <f t="shared" si="32"/>
        <v>-</v>
      </c>
      <c r="AG156" s="115" t="e">
        <f t="shared" si="33"/>
        <v>#DIV/0!</v>
      </c>
      <c r="AH156" s="114" t="str">
        <f t="shared" si="27"/>
        <v>-</v>
      </c>
      <c r="AI156" s="161"/>
      <c r="AJ156" s="77" t="str">
        <f t="shared" si="28"/>
        <v/>
      </c>
    </row>
    <row r="157" spans="1:36" ht="15.75" customHeight="1" x14ac:dyDescent="0.25">
      <c r="A157" s="138">
        <v>144</v>
      </c>
      <c r="B157" s="168"/>
      <c r="C157" s="137"/>
      <c r="D157" s="186"/>
      <c r="E157" s="187"/>
      <c r="F157" s="188"/>
      <c r="G157" s="172"/>
      <c r="H157" s="172"/>
      <c r="I157" s="154" t="str">
        <f t="shared" si="35"/>
        <v>-</v>
      </c>
      <c r="J157" s="203" t="s">
        <v>140</v>
      </c>
      <c r="K157" s="153" t="str">
        <f t="shared" si="36"/>
        <v>-</v>
      </c>
      <c r="L157" s="153" t="str">
        <f>IF(F157="","-",IF(K157&lt;&gt;"",VLOOKUP(K157,T100Pts!CH$4:CI$59,(2))))</f>
        <v>-</v>
      </c>
      <c r="M157" s="155"/>
      <c r="N157" s="153" t="str">
        <f>IF($L157="X","-",IF(M157="","-",IF(J157="M",VLOOKUP(M157,T100Pts!U$5:AC$86,(L157+1)),IF(J157="F",VLOOKUP(M157,T100Pts!AE$5:AM$86,(L157+1)),""))))</f>
        <v>-</v>
      </c>
      <c r="O157" s="155"/>
      <c r="P157" s="140" t="str">
        <f>IF($L157="X","-",IF(O157="","-",IF(J157="M",VLOOKUP(O157,T100Pts!AO$5:AW$126,(L157+1)),IF(J157="F",VLOOKUP(O157,T100Pts!AY$5:BG$126,(L157+1)),""))))</f>
        <v>-</v>
      </c>
      <c r="Q157" s="157"/>
      <c r="R157" s="140" t="str">
        <f>IF(OR($L157="X",$L157=6,$L157=7),"-",IF(Q157="","-",IF(J157="M",VLOOKUP(Q157,T100Pts!BI$5:BN$44,(L157+1)),IF(J157="F",VLOOKUP(Q157,T100Pts!BU$5:BZ$44,(L157+1)),""))))</f>
        <v>-</v>
      </c>
      <c r="S157" s="155"/>
      <c r="T157" s="140" t="str">
        <f>IF($L157="X","-",IF(S157="","-",IF(J157="M",VLOOKUP(S157,T100Pts!A$5:I$1146,(L157+1)),IF(J157="F",VLOOKUP(S157,T100Pts!K$5:S$1147,(L157+1)),""))))</f>
        <v>-</v>
      </c>
      <c r="U157" s="141" t="str">
        <f t="shared" si="29"/>
        <v>-</v>
      </c>
      <c r="V157" s="79" t="str">
        <f t="shared" si="30"/>
        <v>-</v>
      </c>
      <c r="W157" s="155"/>
      <c r="X157" s="116" t="str">
        <f>IF($L157="X","-",IF(W157="","-",IF(J157="M",VLOOKUP(W157,T100Pts!U$5:AC$86,(L157+1)),IF(J157="F",VLOOKUP(W157,T100Pts!AE$5:AM$86,(L157+1)),""))))</f>
        <v>-</v>
      </c>
      <c r="Y157" s="163"/>
      <c r="Z157" s="116" t="str">
        <f>IF($L157="X","-",IF(Y157="","-",IF(J157="M",VLOOKUP(Y157,T100Pts!AO$5:AW$126,(L157+1)),IF(J157="F",VLOOKUP(Y157,T100Pts!AY$5:BG$126,(L157+1)),""))))</f>
        <v>-</v>
      </c>
      <c r="AA157" s="165"/>
      <c r="AB157" s="116" t="str">
        <f>IF(OR($L157="X",$L157=6,$L157=7),"-",IF(AA157="","-",IF(J157="M",VLOOKUP(AA157,T100Pts!BI$5:BN$44,(L157+1)),IF(J157="F",VLOOKUP(AA157,T100Pts!BU$5:BZ$44,(L157+1)),""))))</f>
        <v>-</v>
      </c>
      <c r="AC157" s="228"/>
      <c r="AD157" s="116" t="str">
        <f>IF($L157="X","-",IF(AC157="","-",IF(J157="M",VLOOKUP(AC157,T100Pts!A$5:I$1146,(L157+1)),IF(J157="F",VLOOKUP(AC157,T100Pts!K$5:S$1146,(L157+1)),""))))</f>
        <v>-</v>
      </c>
      <c r="AE157" s="117" t="str">
        <f t="shared" si="31"/>
        <v>-</v>
      </c>
      <c r="AF157" s="114" t="str">
        <f t="shared" si="32"/>
        <v>-</v>
      </c>
      <c r="AG157" s="115" t="e">
        <f t="shared" si="33"/>
        <v>#DIV/0!</v>
      </c>
      <c r="AH157" s="114" t="str">
        <f t="shared" si="27"/>
        <v>-</v>
      </c>
      <c r="AI157" s="161"/>
      <c r="AJ157" s="77" t="str">
        <f t="shared" si="28"/>
        <v/>
      </c>
    </row>
    <row r="158" spans="1:36" ht="15.75" customHeight="1" x14ac:dyDescent="0.25">
      <c r="A158" s="138">
        <v>145</v>
      </c>
      <c r="B158" s="168"/>
      <c r="C158" s="137"/>
      <c r="D158" s="174"/>
      <c r="E158" s="175"/>
      <c r="F158" s="176"/>
      <c r="G158" s="177"/>
      <c r="H158" s="178"/>
      <c r="I158" s="154" t="str">
        <f t="shared" si="35"/>
        <v>-</v>
      </c>
      <c r="J158" s="181" t="s">
        <v>140</v>
      </c>
      <c r="K158" s="153" t="str">
        <f t="shared" si="36"/>
        <v>-</v>
      </c>
      <c r="L158" s="153" t="str">
        <f>IF(F158="","-",IF(K158&lt;&gt;"",VLOOKUP(K158,T100Pts!CH$4:CI$59,(2))))</f>
        <v>-</v>
      </c>
      <c r="M158" s="155"/>
      <c r="N158" s="153" t="str">
        <f>IF($L158="X","-",IF(M158="","-",IF(J158="M",VLOOKUP(M158,T100Pts!U$5:AC$86,(L158+1)),IF(J158="F",VLOOKUP(M158,T100Pts!AE$5:AM$86,(L158+1)),""))))</f>
        <v>-</v>
      </c>
      <c r="O158" s="155"/>
      <c r="P158" s="140" t="str">
        <f>IF($L158="X","-",IF(O158="","-",IF(J158="M",VLOOKUP(O158,T100Pts!AO$5:AW$126,(L158+1)),IF(J158="F",VLOOKUP(O158,T100Pts!AY$5:BG$126,(L158+1)),""))))</f>
        <v>-</v>
      </c>
      <c r="Q158" s="157"/>
      <c r="R158" s="140" t="str">
        <f>IF(OR($L158="X",$L158=6,$L158=7),"-",IF(Q158="","-",IF(J158="M",VLOOKUP(Q158,T100Pts!BI$5:BN$44,(L158+1)),IF(J158="F",VLOOKUP(Q158,T100Pts!BU$5:BZ$44,(L158+1)),""))))</f>
        <v>-</v>
      </c>
      <c r="S158" s="155"/>
      <c r="T158" s="140" t="str">
        <f>IF($L158="X","-",IF(S158="","-",IF(J158="M",VLOOKUP(S158,T100Pts!A$5:I$1146,(L158+1)),IF(J158="F",VLOOKUP(S158,T100Pts!K$5:S$1147,(L158+1)),""))))</f>
        <v>-</v>
      </c>
      <c r="U158" s="141" t="str">
        <f t="shared" si="29"/>
        <v>-</v>
      </c>
      <c r="V158" s="79" t="str">
        <f t="shared" si="30"/>
        <v>-</v>
      </c>
      <c r="W158" s="155"/>
      <c r="X158" s="116" t="str">
        <f>IF($L158="X","-",IF(W158="","-",IF(J158="M",VLOOKUP(W158,T100Pts!U$5:AC$86,(L158+1)),IF(J158="F",VLOOKUP(W158,T100Pts!AE$5:AM$86,(L158+1)),""))))</f>
        <v>-</v>
      </c>
      <c r="Y158" s="163"/>
      <c r="Z158" s="116" t="str">
        <f>IF($L158="X","-",IF(Y158="","-",IF(J158="M",VLOOKUP(Y158,T100Pts!AO$5:AW$126,(L158+1)),IF(J158="F",VLOOKUP(Y158,T100Pts!AY$5:BG$126,(L158+1)),""))))</f>
        <v>-</v>
      </c>
      <c r="AA158" s="165"/>
      <c r="AB158" s="116" t="str">
        <f>IF(OR($L158="X",$L158=6,$L158=7),"-",IF(AA158="","-",IF(J158="M",VLOOKUP(AA158,T100Pts!BI$5:BN$44,(L158+1)),IF(J158="F",VLOOKUP(AA158,T100Pts!BU$5:BZ$44,(L158+1)),""))))</f>
        <v>-</v>
      </c>
      <c r="AC158" s="163"/>
      <c r="AD158" s="116" t="str">
        <f>IF($L158="X","-",IF(AC158="","-",IF(J158="M",VLOOKUP(AC158,T100Pts!A$5:I$1146,(L158+1)),IF(J158="F",VLOOKUP(AC158,T100Pts!K$5:S$1146,(L158+1)),""))))</f>
        <v>-</v>
      </c>
      <c r="AE158" s="117" t="str">
        <f t="shared" si="31"/>
        <v>-</v>
      </c>
      <c r="AF158" s="114" t="str">
        <f t="shared" si="32"/>
        <v>-</v>
      </c>
      <c r="AG158" s="115" t="e">
        <f t="shared" si="33"/>
        <v>#DIV/0!</v>
      </c>
      <c r="AH158" s="114" t="str">
        <f t="shared" si="27"/>
        <v>-</v>
      </c>
      <c r="AI158" s="161" t="s">
        <v>190</v>
      </c>
      <c r="AJ158" s="77" t="str">
        <f t="shared" si="28"/>
        <v/>
      </c>
    </row>
    <row r="159" spans="1:36" ht="15.75" customHeight="1" x14ac:dyDescent="0.25">
      <c r="A159" s="138">
        <v>146</v>
      </c>
      <c r="B159" s="168"/>
      <c r="C159" s="137"/>
      <c r="D159" s="174"/>
      <c r="E159" s="175"/>
      <c r="F159" s="176"/>
      <c r="G159" s="177"/>
      <c r="H159" s="178"/>
      <c r="I159" s="154" t="str">
        <f t="shared" si="35"/>
        <v>-</v>
      </c>
      <c r="J159" s="181" t="s">
        <v>139</v>
      </c>
      <c r="K159" s="153" t="str">
        <f t="shared" si="36"/>
        <v>-</v>
      </c>
      <c r="L159" s="153" t="str">
        <f>IF(F159="","-",IF(K159&lt;&gt;"",VLOOKUP(K159,T100Pts!CH$4:CI$59,(2))))</f>
        <v>-</v>
      </c>
      <c r="M159" s="155"/>
      <c r="N159" s="153" t="str">
        <f>IF($L159="X","-",IF(M159="","-",IF(J159="M",VLOOKUP(M159,T100Pts!U$5:AC$86,(L159+1)),IF(J159="F",VLOOKUP(M159,T100Pts!AE$5:AM$86,(L159+1)),""))))</f>
        <v>-</v>
      </c>
      <c r="O159" s="155"/>
      <c r="P159" s="140" t="str">
        <f>IF($L159="X","-",IF(O159="","-",IF(J159="M",VLOOKUP(O159,T100Pts!AO$5:AW$126,(L159+1)),IF(J159="F",VLOOKUP(O159,T100Pts!AY$5:BG$126,(L159+1)),""))))</f>
        <v>-</v>
      </c>
      <c r="Q159" s="157"/>
      <c r="R159" s="140" t="str">
        <f>IF(OR($L159="X",$L159=6,$L159=7),"-",IF(Q159="","-",IF(J159="M",VLOOKUP(Q159,T100Pts!BI$5:BN$44,(L159+1)),IF(J159="F",VLOOKUP(Q159,T100Pts!BU$5:BZ$44,(L159+1)),""))))</f>
        <v>-</v>
      </c>
      <c r="S159" s="155"/>
      <c r="T159" s="140" t="str">
        <f>IF($L159="X","-",IF(S159="","-",IF(J159="M",VLOOKUP(S159,T100Pts!A$5:I$1146,(L159+1)),IF(J159="F",VLOOKUP(S159,T100Pts!K$5:S$1147,(L159+1)),""))))</f>
        <v>-</v>
      </c>
      <c r="U159" s="141" t="str">
        <f t="shared" si="29"/>
        <v>-</v>
      </c>
      <c r="V159" s="79" t="str">
        <f t="shared" si="30"/>
        <v>-</v>
      </c>
      <c r="W159" s="155"/>
      <c r="X159" s="116" t="str">
        <f>IF($L159="X","-",IF(W159="","-",IF(J159="M",VLOOKUP(W159,T100Pts!U$5:AC$86,(L159+1)),IF(J159="F",VLOOKUP(W159,T100Pts!AE$5:AM$86,(L159+1)),""))))</f>
        <v>-</v>
      </c>
      <c r="Y159" s="163"/>
      <c r="Z159" s="116" t="str">
        <f>IF($L159="X","-",IF(Y159="","-",IF(J159="M",VLOOKUP(Y159,T100Pts!AO$5:AW$126,(L159+1)),IF(J159="F",VLOOKUP(Y159,T100Pts!AY$5:BG$126,(L159+1)),""))))</f>
        <v>-</v>
      </c>
      <c r="AA159" s="165"/>
      <c r="AB159" s="116" t="str">
        <f>IF(OR($L159="X",$L159=6,$L159=7),"-",IF(AA159="","-",IF(J159="M",VLOOKUP(AA159,T100Pts!BI$5:BN$44,(L159+1)),IF(J159="F",VLOOKUP(AA159,T100Pts!BU$5:BZ$44,(L159+1)),""))))</f>
        <v>-</v>
      </c>
      <c r="AC159" s="227"/>
      <c r="AD159" s="116" t="str">
        <f>IF($L159="X","-",IF(AC159="","-",IF(J159="M",VLOOKUP(AC159,T100Pts!A$5:I$1146,(L159+1)),IF(J159="F",VLOOKUP(AC159,T100Pts!K$5:S$1146,(L159+1)),""))))</f>
        <v>-</v>
      </c>
      <c r="AE159" s="117" t="str">
        <f t="shared" si="31"/>
        <v>-</v>
      </c>
      <c r="AF159" s="114" t="str">
        <f t="shared" si="32"/>
        <v>-</v>
      </c>
      <c r="AG159" s="115" t="e">
        <f t="shared" si="33"/>
        <v>#DIV/0!</v>
      </c>
      <c r="AH159" s="114" t="str">
        <f t="shared" si="27"/>
        <v>-</v>
      </c>
      <c r="AI159" s="161"/>
      <c r="AJ159" s="77" t="str">
        <f t="shared" si="28"/>
        <v/>
      </c>
    </row>
    <row r="160" spans="1:36" ht="15.75" customHeight="1" x14ac:dyDescent="0.25">
      <c r="A160" s="138">
        <v>147</v>
      </c>
      <c r="B160" s="168"/>
      <c r="C160" s="137"/>
      <c r="D160" s="174"/>
      <c r="E160" s="175"/>
      <c r="F160" s="176"/>
      <c r="G160" s="177"/>
      <c r="H160" s="178"/>
      <c r="I160" s="154" t="str">
        <f t="shared" si="35"/>
        <v>-</v>
      </c>
      <c r="J160" s="181" t="s">
        <v>139</v>
      </c>
      <c r="K160" s="153" t="str">
        <f t="shared" si="36"/>
        <v>-</v>
      </c>
      <c r="L160" s="153" t="str">
        <f>IF(F160="","-",IF(K160&lt;&gt;"",VLOOKUP(K160,T100Pts!CH$4:CI$59,(2))))</f>
        <v>-</v>
      </c>
      <c r="M160" s="155"/>
      <c r="N160" s="153" t="str">
        <f>IF($L160="X","-",IF(M160="","-",IF(J160="M",VLOOKUP(M160,T100Pts!U$5:AC$86,(L160+1)),IF(J160="F",VLOOKUP(M160,T100Pts!AE$5:AM$86,(L160+1)),""))))</f>
        <v>-</v>
      </c>
      <c r="O160" s="155"/>
      <c r="P160" s="140" t="str">
        <f>IF($L160="X","-",IF(O160="","-",IF(J160="M",VLOOKUP(O160,T100Pts!AO$5:AW$126,(L160+1)),IF(J160="F",VLOOKUP(O160,T100Pts!AY$5:BG$126,(L160+1)),""))))</f>
        <v>-</v>
      </c>
      <c r="Q160" s="157"/>
      <c r="R160" s="140" t="str">
        <f>IF(OR($L160="X",$L160=6,$L160=7),"-",IF(Q160="","-",IF(J160="M",VLOOKUP(Q160,T100Pts!BI$5:BN$44,(L160+1)),IF(J160="F",VLOOKUP(Q160,T100Pts!BU$5:BZ$44,(L160+1)),""))))</f>
        <v>-</v>
      </c>
      <c r="S160" s="155"/>
      <c r="T160" s="140" t="str">
        <f>IF($L160="X","-",IF(S160="","-",IF(J160="M",VLOOKUP(S160,T100Pts!A$5:I$1146,(L160+1)),IF(J160="F",VLOOKUP(S160,T100Pts!K$5:S$1147,(L160+1)),""))))</f>
        <v>-</v>
      </c>
      <c r="U160" s="141" t="str">
        <f t="shared" si="29"/>
        <v>-</v>
      </c>
      <c r="V160" s="79" t="str">
        <f t="shared" si="30"/>
        <v>-</v>
      </c>
      <c r="W160" s="155"/>
      <c r="X160" s="116" t="str">
        <f>IF($L160="X","-",IF(W160="","-",IF(J160="M",VLOOKUP(W160,T100Pts!U$5:AC$86,(L160+1)),IF(J160="F",VLOOKUP(W160,T100Pts!AE$5:AM$86,(L160+1)),""))))</f>
        <v>-</v>
      </c>
      <c r="Y160" s="163"/>
      <c r="Z160" s="116" t="str">
        <f>IF($L160="X","-",IF(Y160="","-",IF(J160="M",VLOOKUP(Y160,T100Pts!AO$5:AW$126,(L160+1)),IF(J160="F",VLOOKUP(Y160,T100Pts!AY$5:BG$126,(L160+1)),""))))</f>
        <v>-</v>
      </c>
      <c r="AA160" s="165"/>
      <c r="AB160" s="116" t="str">
        <f>IF(OR($L160="X",$L160=6,$L160=7),"-",IF(AA160="","-",IF(J160="M",VLOOKUP(AA160,T100Pts!BI$5:BN$44,(L160+1)),IF(J160="F",VLOOKUP(AA160,T100Pts!BU$5:BZ$44,(L160+1)),""))))</f>
        <v>-</v>
      </c>
      <c r="AC160" s="228"/>
      <c r="AD160" s="116" t="str">
        <f>IF($L160="X","-",IF(AC160="","-",IF(J160="M",VLOOKUP(AC160,T100Pts!A$5:I$1146,(L160+1)),IF(J160="F",VLOOKUP(AC160,T100Pts!K$5:S$1146,(L160+1)),""))))</f>
        <v>-</v>
      </c>
      <c r="AE160" s="117" t="str">
        <f t="shared" si="31"/>
        <v>-</v>
      </c>
      <c r="AF160" s="114" t="str">
        <f t="shared" si="32"/>
        <v>-</v>
      </c>
      <c r="AG160" s="115" t="e">
        <f t="shared" si="33"/>
        <v>#DIV/0!</v>
      </c>
      <c r="AH160" s="114" t="str">
        <f t="shared" si="27"/>
        <v>-</v>
      </c>
      <c r="AI160" s="161"/>
      <c r="AJ160" s="77" t="str">
        <f t="shared" si="28"/>
        <v/>
      </c>
    </row>
    <row r="161" spans="1:36" ht="15.75" customHeight="1" x14ac:dyDescent="0.25">
      <c r="A161" s="138">
        <v>148</v>
      </c>
      <c r="B161" s="168"/>
      <c r="C161" s="137"/>
      <c r="D161" s="174"/>
      <c r="E161" s="175"/>
      <c r="F161" s="176"/>
      <c r="G161" s="177"/>
      <c r="H161" s="178"/>
      <c r="I161" s="154" t="str">
        <f t="shared" si="35"/>
        <v>-</v>
      </c>
      <c r="J161" s="181" t="s">
        <v>139</v>
      </c>
      <c r="K161" s="153" t="str">
        <f t="shared" si="36"/>
        <v>-</v>
      </c>
      <c r="L161" s="153" t="str">
        <f>IF(F161="","-",IF(K161&lt;&gt;"",VLOOKUP(K161,T100Pts!CH$4:CI$59,(2))))</f>
        <v>-</v>
      </c>
      <c r="M161" s="155"/>
      <c r="N161" s="153" t="str">
        <f>IF($L161="X","-",IF(M161="","-",IF(J161="M",VLOOKUP(M161,T100Pts!U$5:AC$86,(L161+1)),IF(J161="F",VLOOKUP(M161,T100Pts!AE$5:AM$86,(L161+1)),""))))</f>
        <v>-</v>
      </c>
      <c r="O161" s="155"/>
      <c r="P161" s="140" t="str">
        <f>IF($L161="X","-",IF(O161="","-",IF(J161="M",VLOOKUP(O161,T100Pts!AO$5:AW$126,(L161+1)),IF(J161="F",VLOOKUP(O161,T100Pts!AY$5:BG$126,(L161+1)),""))))</f>
        <v>-</v>
      </c>
      <c r="Q161" s="157"/>
      <c r="R161" s="140" t="str">
        <f>IF(OR($L161="X",$L161=6,$L161=7),"-",IF(Q161="","-",IF(J161="M",VLOOKUP(Q161,T100Pts!BI$5:BN$44,(L161+1)),IF(J161="F",VLOOKUP(Q161,T100Pts!BU$5:BZ$44,(L161+1)),""))))</f>
        <v>-</v>
      </c>
      <c r="S161" s="155"/>
      <c r="T161" s="140" t="str">
        <f>IF($L161="X","-",IF(S161="","-",IF(J161="M",VLOOKUP(S161,T100Pts!A$5:I$1146,(L161+1)),IF(J161="F",VLOOKUP(S161,T100Pts!K$5:S$1147,(L161+1)),""))))</f>
        <v>-</v>
      </c>
      <c r="U161" s="141" t="str">
        <f t="shared" si="29"/>
        <v>-</v>
      </c>
      <c r="V161" s="79" t="str">
        <f t="shared" si="30"/>
        <v>-</v>
      </c>
      <c r="W161" s="155"/>
      <c r="X161" s="116" t="str">
        <f>IF($L161="X","-",IF(W161="","-",IF(J161="M",VLOOKUP(W161,T100Pts!U$5:AC$86,(L161+1)),IF(J161="F",VLOOKUP(W161,T100Pts!AE$5:AM$86,(L161+1)),""))))</f>
        <v>-</v>
      </c>
      <c r="Y161" s="163"/>
      <c r="Z161" s="116" t="str">
        <f>IF($L161="X","-",IF(Y161="","-",IF(J161="M",VLOOKUP(Y161,T100Pts!AO$5:AW$126,(L161+1)),IF(J161="F",VLOOKUP(Y161,T100Pts!AY$5:BG$126,(L161+1)),""))))</f>
        <v>-</v>
      </c>
      <c r="AA161" s="165"/>
      <c r="AB161" s="116" t="str">
        <f>IF(OR($L161="X",$L161=6,$L161=7),"-",IF(AA161="","-",IF(J161="M",VLOOKUP(AA161,T100Pts!BI$5:BN$44,(L161+1)),IF(J161="F",VLOOKUP(AA161,T100Pts!BU$5:BZ$44,(L161+1)),""))))</f>
        <v>-</v>
      </c>
      <c r="AC161" s="228"/>
      <c r="AD161" s="116" t="str">
        <f>IF($L161="X","-",IF(AC161="","-",IF(J161="M",VLOOKUP(AC161,T100Pts!A$5:I$1146,(L161+1)),IF(J161="F",VLOOKUP(AC161,T100Pts!K$5:S$1146,(L161+1)),""))))</f>
        <v>-</v>
      </c>
      <c r="AE161" s="117" t="str">
        <f t="shared" si="31"/>
        <v>-</v>
      </c>
      <c r="AF161" s="114" t="str">
        <f t="shared" si="32"/>
        <v>-</v>
      </c>
      <c r="AG161" s="115" t="e">
        <f t="shared" si="33"/>
        <v>#DIV/0!</v>
      </c>
      <c r="AH161" s="114" t="str">
        <f t="shared" si="27"/>
        <v>-</v>
      </c>
      <c r="AI161" s="161"/>
      <c r="AJ161" s="77" t="str">
        <f t="shared" si="28"/>
        <v/>
      </c>
    </row>
    <row r="162" spans="1:36" ht="15.75" customHeight="1" x14ac:dyDescent="0.25">
      <c r="A162" s="138">
        <v>149</v>
      </c>
      <c r="B162" s="168"/>
      <c r="C162" s="137"/>
      <c r="D162" s="174"/>
      <c r="E162" s="175"/>
      <c r="F162" s="176"/>
      <c r="G162" s="177"/>
      <c r="H162" s="178"/>
      <c r="I162" s="154" t="str">
        <f t="shared" si="35"/>
        <v>-</v>
      </c>
      <c r="J162" s="181" t="s">
        <v>139</v>
      </c>
      <c r="K162" s="153" t="str">
        <f t="shared" si="36"/>
        <v>-</v>
      </c>
      <c r="L162" s="153" t="str">
        <f>IF(F162="","-",IF(K162&lt;&gt;"",VLOOKUP(K162,T100Pts!CH$4:CI$59,(2))))</f>
        <v>-</v>
      </c>
      <c r="M162" s="155"/>
      <c r="N162" s="153" t="str">
        <f>IF($L162="X","-",IF(M162="","-",IF(J162="M",VLOOKUP(M162,T100Pts!U$5:AC$86,(L162+1)),IF(J162="F",VLOOKUP(M162,T100Pts!AE$5:AM$86,(L162+1)),""))))</f>
        <v>-</v>
      </c>
      <c r="O162" s="155"/>
      <c r="P162" s="140" t="str">
        <f>IF($L162="X","-",IF(O162="","-",IF(J162="M",VLOOKUP(O162,T100Pts!AO$5:AW$126,(L162+1)),IF(J162="F",VLOOKUP(O162,T100Pts!AY$5:BG$126,(L162+1)),""))))</f>
        <v>-</v>
      </c>
      <c r="Q162" s="157"/>
      <c r="R162" s="140" t="str">
        <f>IF(OR($L162="X",$L162=6,$L162=7),"-",IF(Q162="","-",IF(J162="M",VLOOKUP(Q162,T100Pts!BI$5:BN$44,(L162+1)),IF(J162="F",VLOOKUP(Q162,T100Pts!BU$5:BZ$44,(L162+1)),""))))</f>
        <v>-</v>
      </c>
      <c r="S162" s="155"/>
      <c r="T162" s="140" t="str">
        <f>IF($L162="X","-",IF(S162="","-",IF(J162="M",VLOOKUP(S162,T100Pts!A$5:I$1146,(L162+1)),IF(J162="F",VLOOKUP(S162,T100Pts!K$5:S$1147,(L162+1)),""))))</f>
        <v>-</v>
      </c>
      <c r="U162" s="141" t="str">
        <f t="shared" si="29"/>
        <v>-</v>
      </c>
      <c r="V162" s="79" t="str">
        <f t="shared" si="30"/>
        <v>-</v>
      </c>
      <c r="W162" s="155"/>
      <c r="X162" s="116" t="str">
        <f>IF($L162="X","-",IF(W162="","-",IF(J162="M",VLOOKUP(W162,T100Pts!U$5:AC$86,(L162+1)),IF(J162="F",VLOOKUP(W162,T100Pts!AE$5:AM$86,(L162+1)),""))))</f>
        <v>-</v>
      </c>
      <c r="Y162" s="163"/>
      <c r="Z162" s="116" t="str">
        <f>IF($L162="X","-",IF(Y162="","-",IF(J162="M",VLOOKUP(Y162,T100Pts!AO$5:AW$126,(L162+1)),IF(J162="F",VLOOKUP(Y162,T100Pts!AY$5:BG$126,(L162+1)),""))))</f>
        <v>-</v>
      </c>
      <c r="AA162" s="165"/>
      <c r="AB162" s="116" t="str">
        <f>IF(OR($L162="X",$L162=6,$L162=7),"-",IF(AA162="","-",IF(J162="M",VLOOKUP(AA162,T100Pts!BI$5:BN$44,(L162+1)),IF(J162="F",VLOOKUP(AA162,T100Pts!BU$5:BZ$44,(L162+1)),""))))</f>
        <v>-</v>
      </c>
      <c r="AC162" s="228"/>
      <c r="AD162" s="116" t="str">
        <f>IF($L162="X","-",IF(AC162="","-",IF(J162="M",VLOOKUP(AC162,T100Pts!A$5:I$1146,(L162+1)),IF(J162="F",VLOOKUP(AC162,T100Pts!K$5:S$1146,(L162+1)),""))))</f>
        <v>-</v>
      </c>
      <c r="AE162" s="117" t="str">
        <f t="shared" si="31"/>
        <v>-</v>
      </c>
      <c r="AF162" s="114" t="str">
        <f t="shared" si="32"/>
        <v>-</v>
      </c>
      <c r="AG162" s="115" t="e">
        <f t="shared" si="33"/>
        <v>#DIV/0!</v>
      </c>
      <c r="AH162" s="114" t="str">
        <f t="shared" si="27"/>
        <v>-</v>
      </c>
      <c r="AI162" s="161"/>
      <c r="AJ162" s="77" t="str">
        <f t="shared" si="28"/>
        <v/>
      </c>
    </row>
    <row r="163" spans="1:36" ht="15.75" customHeight="1" x14ac:dyDescent="0.25">
      <c r="A163" s="138">
        <v>150</v>
      </c>
      <c r="B163" s="168"/>
      <c r="C163" s="137"/>
      <c r="D163" s="174"/>
      <c r="E163" s="175"/>
      <c r="F163" s="176"/>
      <c r="G163" s="177"/>
      <c r="H163" s="178"/>
      <c r="I163" s="154" t="str">
        <f t="shared" si="35"/>
        <v>-</v>
      </c>
      <c r="J163" s="181" t="s">
        <v>139</v>
      </c>
      <c r="K163" s="153" t="str">
        <f t="shared" si="36"/>
        <v>-</v>
      </c>
      <c r="L163" s="153" t="str">
        <f>IF(F163="","-",IF(K163&lt;&gt;"",VLOOKUP(K163,T100Pts!CH$4:CI$59,(2))))</f>
        <v>-</v>
      </c>
      <c r="M163" s="155"/>
      <c r="N163" s="153" t="str">
        <f>IF($L163="X","-",IF(M163="","-",IF(J163="M",VLOOKUP(M163,T100Pts!U$5:AC$86,(L163+1)),IF(J163="F",VLOOKUP(M163,T100Pts!AE$5:AM$86,(L163+1)),""))))</f>
        <v>-</v>
      </c>
      <c r="O163" s="155"/>
      <c r="P163" s="140" t="str">
        <f>IF($L163="X","-",IF(O163="","-",IF(J163="M",VLOOKUP(O163,T100Pts!AO$5:AW$126,(L163+1)),IF(J163="F",VLOOKUP(O163,T100Pts!AY$5:BG$126,(L163+1)),""))))</f>
        <v>-</v>
      </c>
      <c r="Q163" s="157"/>
      <c r="R163" s="140" t="str">
        <f>IF(OR($L163="X",$L163=6,$L163=7),"-",IF(Q163="","-",IF(J163="M",VLOOKUP(Q163,T100Pts!BI$5:BN$44,(L163+1)),IF(J163="F",VLOOKUP(Q163,T100Pts!BU$5:BZ$44,(L163+1)),""))))</f>
        <v>-</v>
      </c>
      <c r="S163" s="155"/>
      <c r="T163" s="140" t="str">
        <f>IF($L163="X","-",IF(S163="","-",IF(J163="M",VLOOKUP(S163,T100Pts!A$5:I$1146,(L163+1)),IF(J163="F",VLOOKUP(S163,T100Pts!K$5:S$1147,(L163+1)),""))))</f>
        <v>-</v>
      </c>
      <c r="U163" s="141" t="str">
        <f t="shared" si="29"/>
        <v>-</v>
      </c>
      <c r="V163" s="79" t="str">
        <f t="shared" si="30"/>
        <v>-</v>
      </c>
      <c r="W163" s="155"/>
      <c r="X163" s="116" t="str">
        <f>IF($L163="X","-",IF(W163="","-",IF(J163="M",VLOOKUP(W163,T100Pts!U$5:AC$86,(L163+1)),IF(J163="F",VLOOKUP(W163,T100Pts!AE$5:AM$86,(L163+1)),""))))</f>
        <v>-</v>
      </c>
      <c r="Y163" s="163"/>
      <c r="Z163" s="116" t="str">
        <f>IF($L163="X","-",IF(Y163="","-",IF(J163="M",VLOOKUP(Y163,T100Pts!AO$5:AW$126,(L163+1)),IF(J163="F",VLOOKUP(Y163,T100Pts!AY$5:BG$126,(L163+1)),""))))</f>
        <v>-</v>
      </c>
      <c r="AA163" s="165"/>
      <c r="AB163" s="116" t="str">
        <f>IF(OR($L163="X",$L163=6,$L163=7),"-",IF(AA163="","-",IF(J163="M",VLOOKUP(AA163,T100Pts!BI$5:BN$44,(L163+1)),IF(J163="F",VLOOKUP(AA163,T100Pts!BU$5:BZ$44,(L163+1)),""))))</f>
        <v>-</v>
      </c>
      <c r="AC163" s="163"/>
      <c r="AD163" s="116" t="str">
        <f>IF($L163="X","-",IF(AC163="","-",IF(J163="M",VLOOKUP(AC163,T100Pts!A$5:I$1146,(L163+1)),IF(J163="F",VLOOKUP(AC163,T100Pts!K$5:S$1146,(L163+1)),""))))</f>
        <v>-</v>
      </c>
      <c r="AE163" s="117" t="str">
        <f t="shared" si="31"/>
        <v>-</v>
      </c>
      <c r="AF163" s="114" t="str">
        <f t="shared" si="32"/>
        <v>-</v>
      </c>
      <c r="AG163" s="115" t="e">
        <f t="shared" si="33"/>
        <v>#DIV/0!</v>
      </c>
      <c r="AH163" s="114" t="str">
        <f t="shared" si="27"/>
        <v>-</v>
      </c>
      <c r="AI163" s="161" t="s">
        <v>201</v>
      </c>
      <c r="AJ163" s="77" t="str">
        <f t="shared" si="28"/>
        <v/>
      </c>
    </row>
    <row r="164" spans="1:36" ht="15.75" customHeight="1" x14ac:dyDescent="0.25">
      <c r="A164" s="138">
        <v>151</v>
      </c>
      <c r="B164" s="168"/>
      <c r="C164" s="137"/>
      <c r="D164" s="174"/>
      <c r="E164" s="175"/>
      <c r="F164" s="176"/>
      <c r="G164" s="177"/>
      <c r="H164" s="178"/>
      <c r="I164" s="154" t="str">
        <f t="shared" si="35"/>
        <v>-</v>
      </c>
      <c r="J164" s="181" t="s">
        <v>139</v>
      </c>
      <c r="K164" s="153" t="str">
        <f t="shared" si="36"/>
        <v>-</v>
      </c>
      <c r="L164" s="153" t="str">
        <f>IF(F164="","-",IF(K164&lt;&gt;"",VLOOKUP(K164,T100Pts!CH$4:CI$59,(2))))</f>
        <v>-</v>
      </c>
      <c r="M164" s="155"/>
      <c r="N164" s="153" t="str">
        <f>IF($L164="X","-",IF(M164="","-",IF(J164="M",VLOOKUP(M164,T100Pts!U$5:AC$86,(L164+1)),IF(J164="F",VLOOKUP(M164,T100Pts!AE$5:AM$86,(L164+1)),""))))</f>
        <v>-</v>
      </c>
      <c r="O164" s="155"/>
      <c r="P164" s="140" t="str">
        <f>IF($L164="X","-",IF(O164="","-",IF(J164="M",VLOOKUP(O164,T100Pts!AO$5:AW$126,(L164+1)),IF(J164="F",VLOOKUP(O164,T100Pts!AY$5:BG$126,(L164+1)),""))))</f>
        <v>-</v>
      </c>
      <c r="Q164" s="157"/>
      <c r="R164" s="140" t="str">
        <f>IF(OR($L164="X",$L164=6,$L164=7),"-",IF(Q164="","-",IF(J164="M",VLOOKUP(Q164,T100Pts!BI$5:BN$44,(L164+1)),IF(J164="F",VLOOKUP(Q164,T100Pts!BU$5:BZ$44,(L164+1)),""))))</f>
        <v>-</v>
      </c>
      <c r="S164" s="155"/>
      <c r="T164" s="140" t="str">
        <f>IF($L164="X","-",IF(S164="","-",IF(J164="M",VLOOKUP(S164,T100Pts!A$5:I$1146,(L164+1)),IF(J164="F",VLOOKUP(S164,T100Pts!K$5:S$1147,(L164+1)),""))))</f>
        <v>-</v>
      </c>
      <c r="U164" s="141" t="str">
        <f t="shared" si="29"/>
        <v>-</v>
      </c>
      <c r="V164" s="79" t="str">
        <f t="shared" si="30"/>
        <v>-</v>
      </c>
      <c r="W164" s="155"/>
      <c r="X164" s="116" t="str">
        <f>IF($L164="X","-",IF(W164="","-",IF(J164="M",VLOOKUP(W164,T100Pts!U$5:AC$86,(L164+1)),IF(J164="F",VLOOKUP(W164,T100Pts!AE$5:AM$86,(L164+1)),""))))</f>
        <v>-</v>
      </c>
      <c r="Y164" s="163"/>
      <c r="Z164" s="116" t="str">
        <f>IF($L164="X","-",IF(Y164="","-",IF(J164="M",VLOOKUP(Y164,T100Pts!AO$5:AW$126,(L164+1)),IF(J164="F",VLOOKUP(Y164,T100Pts!AY$5:BG$126,(L164+1)),""))))</f>
        <v>-</v>
      </c>
      <c r="AA164" s="165"/>
      <c r="AB164" s="116" t="str">
        <f>IF(OR($L164="X",$L164=6,$L164=7),"-",IF(AA164="","-",IF(J164="M",VLOOKUP(AA164,T100Pts!BI$5:BN$44,(L164+1)),IF(J164="F",VLOOKUP(AA164,T100Pts!BU$5:BZ$44,(L164+1)),""))))</f>
        <v>-</v>
      </c>
      <c r="AC164" s="227"/>
      <c r="AD164" s="116" t="str">
        <f>IF($L164="X","-",IF(AC164="","-",IF(J164="M",VLOOKUP(AC164,T100Pts!A$5:I$1146,(L164+1)),IF(J164="F",VLOOKUP(AC164,T100Pts!K$5:S$1146,(L164+1)),""))))</f>
        <v>-</v>
      </c>
      <c r="AE164" s="117" t="str">
        <f t="shared" si="31"/>
        <v>-</v>
      </c>
      <c r="AF164" s="114" t="str">
        <f t="shared" si="32"/>
        <v>-</v>
      </c>
      <c r="AG164" s="115" t="e">
        <f t="shared" si="33"/>
        <v>#DIV/0!</v>
      </c>
      <c r="AH164" s="114" t="str">
        <f t="shared" si="27"/>
        <v>-</v>
      </c>
      <c r="AI164" s="161"/>
      <c r="AJ164" s="77" t="str">
        <f t="shared" si="28"/>
        <v/>
      </c>
    </row>
    <row r="165" spans="1:36" ht="15.75" customHeight="1" x14ac:dyDescent="0.25">
      <c r="A165" s="138">
        <v>152</v>
      </c>
      <c r="B165" s="168"/>
      <c r="C165" s="137"/>
      <c r="D165" s="174"/>
      <c r="E165" s="175"/>
      <c r="F165" s="176"/>
      <c r="G165" s="177"/>
      <c r="H165" s="178"/>
      <c r="I165" s="154" t="str">
        <f t="shared" si="35"/>
        <v>-</v>
      </c>
      <c r="J165" s="181" t="s">
        <v>139</v>
      </c>
      <c r="K165" s="153" t="str">
        <f t="shared" si="36"/>
        <v>-</v>
      </c>
      <c r="L165" s="153" t="str">
        <f>IF(F165="","-",IF(K165&lt;&gt;"",VLOOKUP(K165,T100Pts!CH$4:CI$59,(2))))</f>
        <v>-</v>
      </c>
      <c r="M165" s="155"/>
      <c r="N165" s="153" t="str">
        <f>IF($L165="X","-",IF(M165="","-",IF(J165="M",VLOOKUP(M165,T100Pts!U$5:AC$86,(L165+1)),IF(J165="F",VLOOKUP(M165,T100Pts!AE$5:AM$86,(L165+1)),""))))</f>
        <v>-</v>
      </c>
      <c r="O165" s="155"/>
      <c r="P165" s="140" t="str">
        <f>IF($L165="X","-",IF(O165="","-",IF(J165="M",VLOOKUP(O165,T100Pts!AO$5:AW$126,(L165+1)),IF(J165="F",VLOOKUP(O165,T100Pts!AY$5:BG$126,(L165+1)),""))))</f>
        <v>-</v>
      </c>
      <c r="Q165" s="157"/>
      <c r="R165" s="140" t="str">
        <f>IF(OR($L165="X",$L165=6,$L165=7),"-",IF(Q165="","-",IF(J165="M",VLOOKUP(Q165,T100Pts!BI$5:BN$44,(L165+1)),IF(J165="F",VLOOKUP(Q165,T100Pts!BU$5:BZ$44,(L165+1)),""))))</f>
        <v>-</v>
      </c>
      <c r="S165" s="155"/>
      <c r="T165" s="140" t="str">
        <f>IF($L165="X","-",IF(S165="","-",IF(J165="M",VLOOKUP(S165,T100Pts!A$5:I$1146,(L165+1)),IF(J165="F",VLOOKUP(S165,T100Pts!K$5:S$1147,(L165+1)),""))))</f>
        <v>-</v>
      </c>
      <c r="U165" s="141" t="str">
        <f t="shared" si="29"/>
        <v>-</v>
      </c>
      <c r="V165" s="79" t="str">
        <f t="shared" si="30"/>
        <v>-</v>
      </c>
      <c r="W165" s="155"/>
      <c r="X165" s="116" t="str">
        <f>IF($L165="X","-",IF(W165="","-",IF(J165="M",VLOOKUP(W165,T100Pts!U$5:AC$86,(L165+1)),IF(J165="F",VLOOKUP(W165,T100Pts!AE$5:AM$86,(L165+1)),""))))</f>
        <v>-</v>
      </c>
      <c r="Y165" s="163"/>
      <c r="Z165" s="116" t="str">
        <f>IF($L165="X","-",IF(Y165="","-",IF(J165="M",VLOOKUP(Y165,T100Pts!AO$5:AW$126,(L165+1)),IF(J165="F",VLOOKUP(Y165,T100Pts!AY$5:BG$126,(L165+1)),""))))</f>
        <v>-</v>
      </c>
      <c r="AA165" s="165"/>
      <c r="AB165" s="116" t="str">
        <f>IF(OR($L165="X",$L165=6,$L165=7),"-",IF(AA165="","-",IF(J165="M",VLOOKUP(AA165,T100Pts!BI$5:BN$44,(L165+1)),IF(J165="F",VLOOKUP(AA165,T100Pts!BU$5:BZ$44,(L165+1)),""))))</f>
        <v>-</v>
      </c>
      <c r="AC165" s="227"/>
      <c r="AD165" s="116" t="str">
        <f>IF($L165="X","-",IF(AC165="","-",IF(J165="M",VLOOKUP(AC165,T100Pts!A$5:I$1146,(L165+1)),IF(J165="F",VLOOKUP(AC165,T100Pts!K$5:S$1146,(L165+1)),""))))</f>
        <v>-</v>
      </c>
      <c r="AE165" s="117" t="str">
        <f t="shared" si="31"/>
        <v>-</v>
      </c>
      <c r="AF165" s="114" t="str">
        <f t="shared" si="32"/>
        <v>-</v>
      </c>
      <c r="AG165" s="115" t="e">
        <f t="shared" si="33"/>
        <v>#DIV/0!</v>
      </c>
      <c r="AH165" s="114" t="str">
        <f t="shared" si="27"/>
        <v>-</v>
      </c>
      <c r="AI165" s="161"/>
      <c r="AJ165" s="77" t="str">
        <f t="shared" si="28"/>
        <v/>
      </c>
    </row>
    <row r="166" spans="1:36" ht="15.75" customHeight="1" x14ac:dyDescent="0.25">
      <c r="A166" s="138">
        <v>153</v>
      </c>
      <c r="B166" s="168"/>
      <c r="C166" s="137"/>
      <c r="D166" s="174"/>
      <c r="E166" s="175"/>
      <c r="F166" s="176"/>
      <c r="G166" s="177"/>
      <c r="H166" s="178"/>
      <c r="I166" s="154" t="str">
        <f t="shared" si="35"/>
        <v>-</v>
      </c>
      <c r="J166" s="181" t="s">
        <v>139</v>
      </c>
      <c r="K166" s="153" t="str">
        <f t="shared" si="36"/>
        <v>-</v>
      </c>
      <c r="L166" s="153" t="str">
        <f>IF(F166="","-",IF(K166&lt;&gt;"",VLOOKUP(K166,T100Pts!CH$4:CI$59,(2))))</f>
        <v>-</v>
      </c>
      <c r="M166" s="155"/>
      <c r="N166" s="153" t="str">
        <f>IF($L166="X","-",IF(M166="","-",IF(J166="M",VLOOKUP(M166,T100Pts!U$5:AC$86,(L166+1)),IF(J166="F",VLOOKUP(M166,T100Pts!AE$5:AM$86,(L166+1)),""))))</f>
        <v>-</v>
      </c>
      <c r="O166" s="155"/>
      <c r="P166" s="140" t="str">
        <f>IF($L166="X","-",IF(O166="","-",IF(J166="M",VLOOKUP(O166,T100Pts!AO$5:AW$126,(L166+1)),IF(J166="F",VLOOKUP(O166,T100Pts!AY$5:BG$126,(L166+1)),""))))</f>
        <v>-</v>
      </c>
      <c r="Q166" s="157"/>
      <c r="R166" s="140" t="str">
        <f>IF(OR($L166="X",$L166=6,$L166=7),"-",IF(Q166="","-",IF(J166="M",VLOOKUP(Q166,T100Pts!BI$5:BN$44,(L166+1)),IF(J166="F",VLOOKUP(Q166,T100Pts!BU$5:BZ$44,(L166+1)),""))))</f>
        <v>-</v>
      </c>
      <c r="S166" s="155"/>
      <c r="T166" s="140" t="str">
        <f>IF($L166="X","-",IF(S166="","-",IF(J166="M",VLOOKUP(S166,T100Pts!A$5:I$1146,(L166+1)),IF(J166="F",VLOOKUP(S166,T100Pts!K$5:S$1147,(L166+1)),""))))</f>
        <v>-</v>
      </c>
      <c r="U166" s="141" t="str">
        <f t="shared" si="29"/>
        <v>-</v>
      </c>
      <c r="V166" s="79" t="str">
        <f t="shared" si="30"/>
        <v>-</v>
      </c>
      <c r="W166" s="155"/>
      <c r="X166" s="116" t="str">
        <f>IF($L166="X","-",IF(W166="","-",IF(J166="M",VLOOKUP(W166,T100Pts!U$5:AC$86,(L166+1)),IF(J166="F",VLOOKUP(W166,T100Pts!AE$5:AM$86,(L166+1)),""))))</f>
        <v>-</v>
      </c>
      <c r="Y166" s="163"/>
      <c r="Z166" s="116" t="str">
        <f>IF($L166="X","-",IF(Y166="","-",IF(J166="M",VLOOKUP(Y166,T100Pts!AO$5:AW$126,(L166+1)),IF(J166="F",VLOOKUP(Y166,T100Pts!AY$5:BG$126,(L166+1)),""))))</f>
        <v>-</v>
      </c>
      <c r="AA166" s="165"/>
      <c r="AB166" s="116" t="str">
        <f>IF(OR($L166="X",$L166=6,$L166=7),"-",IF(AA166="","-",IF(J166="M",VLOOKUP(AA166,T100Pts!BI$5:BN$44,(L166+1)),IF(J166="F",VLOOKUP(AA166,T100Pts!BU$5:BZ$44,(L166+1)),""))))</f>
        <v>-</v>
      </c>
      <c r="AC166" s="227"/>
      <c r="AD166" s="116" t="str">
        <f>IF($L166="X","-",IF(AC166="","-",IF(J166="M",VLOOKUP(AC166,T100Pts!A$5:I$1146,(L166+1)),IF(J166="F",VLOOKUP(AC166,T100Pts!K$5:S$1146,(L166+1)),""))))</f>
        <v>-</v>
      </c>
      <c r="AE166" s="117" t="str">
        <f t="shared" si="31"/>
        <v>-</v>
      </c>
      <c r="AF166" s="114" t="str">
        <f t="shared" si="32"/>
        <v>-</v>
      </c>
      <c r="AG166" s="115" t="e">
        <f t="shared" si="33"/>
        <v>#DIV/0!</v>
      </c>
      <c r="AH166" s="114" t="str">
        <f t="shared" si="27"/>
        <v>-</v>
      </c>
      <c r="AI166" s="161"/>
      <c r="AJ166" s="77" t="str">
        <f t="shared" si="28"/>
        <v/>
      </c>
    </row>
    <row r="167" spans="1:36" ht="15.75" customHeight="1" x14ac:dyDescent="0.25">
      <c r="A167" s="138">
        <v>154</v>
      </c>
      <c r="B167" s="168"/>
      <c r="C167" s="137"/>
      <c r="D167" s="174"/>
      <c r="E167" s="175"/>
      <c r="F167" s="176"/>
      <c r="G167" s="177"/>
      <c r="H167" s="178"/>
      <c r="I167" s="154" t="str">
        <f t="shared" si="35"/>
        <v>-</v>
      </c>
      <c r="J167" s="181" t="s">
        <v>139</v>
      </c>
      <c r="K167" s="153" t="str">
        <f t="shared" si="36"/>
        <v>-</v>
      </c>
      <c r="L167" s="153" t="str">
        <f>IF(F167="","-",IF(K167&lt;&gt;"",VLOOKUP(K167,T100Pts!CH$4:CI$59,(2))))</f>
        <v>-</v>
      </c>
      <c r="M167" s="155"/>
      <c r="N167" s="153" t="str">
        <f>IF($L167="X","-",IF(M167="","-",IF(J167="M",VLOOKUP(M167,T100Pts!U$5:AC$86,(L167+1)),IF(J167="F",VLOOKUP(M167,T100Pts!AE$5:AM$86,(L167+1)),""))))</f>
        <v>-</v>
      </c>
      <c r="O167" s="155"/>
      <c r="P167" s="140" t="str">
        <f>IF($L167="X","-",IF(O167="","-",IF(J167="M",VLOOKUP(O167,T100Pts!AO$5:AW$126,(L167+1)),IF(J167="F",VLOOKUP(O167,T100Pts!AY$5:BG$126,(L167+1)),""))))</f>
        <v>-</v>
      </c>
      <c r="Q167" s="157"/>
      <c r="R167" s="140" t="str">
        <f>IF(OR($L167="X",$L167=6,$L167=7),"-",IF(Q167="","-",IF(J167="M",VLOOKUP(Q167,T100Pts!BI$5:BN$44,(L167+1)),IF(J167="F",VLOOKUP(Q167,T100Pts!BU$5:BZ$44,(L167+1)),""))))</f>
        <v>-</v>
      </c>
      <c r="S167" s="155"/>
      <c r="T167" s="140" t="str">
        <f>IF($L167="X","-",IF(S167="","-",IF(J167="M",VLOOKUP(S167,T100Pts!A$5:I$1146,(L167+1)),IF(J167="F",VLOOKUP(S167,T100Pts!K$5:S$1147,(L167+1)),""))))</f>
        <v>-</v>
      </c>
      <c r="U167" s="141" t="str">
        <f t="shared" si="29"/>
        <v>-</v>
      </c>
      <c r="V167" s="79" t="str">
        <f t="shared" si="30"/>
        <v>-</v>
      </c>
      <c r="W167" s="155"/>
      <c r="X167" s="116" t="str">
        <f>IF($L167="X","-",IF(W167="","-",IF(J167="M",VLOOKUP(W167,T100Pts!U$5:AC$86,(L167+1)),IF(J167="F",VLOOKUP(W167,T100Pts!AE$5:AM$86,(L167+1)),""))))</f>
        <v>-</v>
      </c>
      <c r="Y167" s="163"/>
      <c r="Z167" s="116" t="str">
        <f>IF($L167="X","-",IF(Y167="","-",IF(J167="M",VLOOKUP(Y167,T100Pts!AO$5:AW$126,(L167+1)),IF(J167="F",VLOOKUP(Y167,T100Pts!AY$5:BG$126,(L167+1)),""))))</f>
        <v>-</v>
      </c>
      <c r="AA167" s="165"/>
      <c r="AB167" s="116" t="str">
        <f>IF(OR($L167="X",$L167=6,$L167=7),"-",IF(AA167="","-",IF(J167="M",VLOOKUP(AA167,T100Pts!BI$5:BN$44,(L167+1)),IF(J167="F",VLOOKUP(AA167,T100Pts!BU$5:BZ$44,(L167+1)),""))))</f>
        <v>-</v>
      </c>
      <c r="AC167" s="228"/>
      <c r="AD167" s="116" t="str">
        <f>IF($L167="X","-",IF(AC167="","-",IF(J167="M",VLOOKUP(AC167,T100Pts!A$5:I$1146,(L167+1)),IF(J167="F",VLOOKUP(AC167,T100Pts!K$5:S$1146,(L167+1)),""))))</f>
        <v>-</v>
      </c>
      <c r="AE167" s="117" t="str">
        <f t="shared" si="31"/>
        <v>-</v>
      </c>
      <c r="AF167" s="114" t="str">
        <f t="shared" si="32"/>
        <v>-</v>
      </c>
      <c r="AG167" s="115" t="e">
        <f t="shared" si="33"/>
        <v>#DIV/0!</v>
      </c>
      <c r="AH167" s="114" t="str">
        <f t="shared" si="27"/>
        <v>-</v>
      </c>
      <c r="AI167" s="161"/>
      <c r="AJ167" s="77" t="str">
        <f t="shared" si="28"/>
        <v/>
      </c>
    </row>
    <row r="168" spans="1:36" ht="15.75" customHeight="1" x14ac:dyDescent="0.25">
      <c r="A168" s="138">
        <v>155</v>
      </c>
      <c r="B168" s="168"/>
      <c r="C168" s="137"/>
      <c r="D168" s="174"/>
      <c r="E168" s="175"/>
      <c r="F168" s="176"/>
      <c r="G168" s="177"/>
      <c r="H168" s="178"/>
      <c r="I168" s="154" t="str">
        <f t="shared" si="35"/>
        <v>-</v>
      </c>
      <c r="J168" s="181" t="s">
        <v>139</v>
      </c>
      <c r="K168" s="153" t="str">
        <f t="shared" si="36"/>
        <v>-</v>
      </c>
      <c r="L168" s="153" t="str">
        <f>IF(F168="","-",IF(K168&lt;&gt;"",VLOOKUP(K168,T100Pts!CH$4:CI$59,(2))))</f>
        <v>-</v>
      </c>
      <c r="M168" s="155"/>
      <c r="N168" s="153" t="str">
        <f>IF($L168="X","-",IF(M168="","-",IF(J168="M",VLOOKUP(M168,T100Pts!U$5:AC$86,(L168+1)),IF(J168="F",VLOOKUP(M168,T100Pts!AE$5:AM$86,(L168+1)),""))))</f>
        <v>-</v>
      </c>
      <c r="O168" s="155"/>
      <c r="P168" s="140" t="str">
        <f>IF($L168="X","-",IF(O168="","-",IF(J168="M",VLOOKUP(O168,T100Pts!AO$5:AW$126,(L168+1)),IF(J168="F",VLOOKUP(O168,T100Pts!AY$5:BG$126,(L168+1)),""))))</f>
        <v>-</v>
      </c>
      <c r="Q168" s="157"/>
      <c r="R168" s="140" t="str">
        <f>IF(OR($L168="X",$L168=6,$L168=7),"-",IF(Q168="","-",IF(J168="M",VLOOKUP(Q168,T100Pts!BI$5:BN$44,(L168+1)),IF(J168="F",VLOOKUP(Q168,T100Pts!BU$5:BZ$44,(L168+1)),""))))</f>
        <v>-</v>
      </c>
      <c r="S168" s="155"/>
      <c r="T168" s="140" t="str">
        <f>IF($L168="X","-",IF(S168="","-",IF(J168="M",VLOOKUP(S168,T100Pts!A$5:I$1146,(L168+1)),IF(J168="F",VLOOKUP(S168,T100Pts!K$5:S$1147,(L168+1)),""))))</f>
        <v>-</v>
      </c>
      <c r="U168" s="141" t="str">
        <f t="shared" si="29"/>
        <v>-</v>
      </c>
      <c r="V168" s="79" t="str">
        <f t="shared" si="30"/>
        <v>-</v>
      </c>
      <c r="W168" s="155"/>
      <c r="X168" s="116" t="str">
        <f>IF($L168="X","-",IF(W168="","-",IF(J168="M",VLOOKUP(W168,T100Pts!U$5:AC$86,(L168+1)),IF(J168="F",VLOOKUP(W168,T100Pts!AE$5:AM$86,(L168+1)),""))))</f>
        <v>-</v>
      </c>
      <c r="Y168" s="163"/>
      <c r="Z168" s="116" t="str">
        <f>IF($L168="X","-",IF(Y168="","-",IF(J168="M",VLOOKUP(Y168,T100Pts!AO$5:AW$126,(L168+1)),IF(J168="F",VLOOKUP(Y168,T100Pts!AY$5:BG$126,(L168+1)),""))))</f>
        <v>-</v>
      </c>
      <c r="AA168" s="165"/>
      <c r="AB168" s="116" t="str">
        <f>IF(OR($L168="X",$L168=6,$L168=7),"-",IF(AA168="","-",IF(J168="M",VLOOKUP(AA168,T100Pts!BI$5:BN$44,(L168+1)),IF(J168="F",VLOOKUP(AA168,T100Pts!BU$5:BZ$44,(L168+1)),""))))</f>
        <v>-</v>
      </c>
      <c r="AC168" s="227"/>
      <c r="AD168" s="116" t="str">
        <f>IF($L168="X","-",IF(AC168="","-",IF(J168="M",VLOOKUP(AC168,T100Pts!A$5:I$1146,(L168+1)),IF(J168="F",VLOOKUP(AC168,T100Pts!K$5:S$1146,(L168+1)),""))))</f>
        <v>-</v>
      </c>
      <c r="AE168" s="117" t="str">
        <f t="shared" si="31"/>
        <v>-</v>
      </c>
      <c r="AF168" s="114" t="str">
        <f t="shared" si="32"/>
        <v>-</v>
      </c>
      <c r="AG168" s="115" t="e">
        <f t="shared" si="33"/>
        <v>#DIV/0!</v>
      </c>
      <c r="AH168" s="114" t="str">
        <f t="shared" si="27"/>
        <v>-</v>
      </c>
      <c r="AI168" s="161"/>
      <c r="AJ168" s="77" t="str">
        <f t="shared" si="28"/>
        <v/>
      </c>
    </row>
    <row r="169" spans="1:36" ht="15.75" customHeight="1" x14ac:dyDescent="0.25">
      <c r="A169" s="138">
        <v>156</v>
      </c>
      <c r="B169" s="168"/>
      <c r="C169" s="137"/>
      <c r="D169" s="174"/>
      <c r="E169" s="175"/>
      <c r="F169" s="176"/>
      <c r="G169" s="177"/>
      <c r="H169" s="178"/>
      <c r="I169" s="154" t="str">
        <f t="shared" si="35"/>
        <v>-</v>
      </c>
      <c r="J169" s="181" t="s">
        <v>139</v>
      </c>
      <c r="K169" s="153" t="str">
        <f t="shared" si="36"/>
        <v>-</v>
      </c>
      <c r="L169" s="153" t="str">
        <f>IF(F169="","-",IF(K169&lt;&gt;"",VLOOKUP(K169,T100Pts!CH$4:CI$59,(2))))</f>
        <v>-</v>
      </c>
      <c r="M169" s="155"/>
      <c r="N169" s="153" t="str">
        <f>IF($L169="X","-",IF(M169="","-",IF(J169="M",VLOOKUP(M169,T100Pts!U$5:AC$86,(L169+1)),IF(J169="F",VLOOKUP(M169,T100Pts!AE$5:AM$86,(L169+1)),""))))</f>
        <v>-</v>
      </c>
      <c r="O169" s="155"/>
      <c r="P169" s="140" t="str">
        <f>IF($L169="X","-",IF(O169="","-",IF(J169="M",VLOOKUP(O169,T100Pts!AO$5:AW$126,(L169+1)),IF(J169="F",VLOOKUP(O169,T100Pts!AY$5:BG$126,(L169+1)),""))))</f>
        <v>-</v>
      </c>
      <c r="Q169" s="157"/>
      <c r="R169" s="140" t="str">
        <f>IF(OR($L169="X",$L169=6,$L169=7),"-",IF(Q169="","-",IF(J169="M",VLOOKUP(Q169,T100Pts!BI$5:BN$44,(L169+1)),IF(J169="F",VLOOKUP(Q169,T100Pts!BU$5:BZ$44,(L169+1)),""))))</f>
        <v>-</v>
      </c>
      <c r="S169" s="155"/>
      <c r="T169" s="140" t="str">
        <f>IF($L169="X","-",IF(S169="","-",IF(J169="M",VLOOKUP(S169,T100Pts!A$5:I$1146,(L169+1)),IF(J169="F",VLOOKUP(S169,T100Pts!K$5:S$1147,(L169+1)),""))))</f>
        <v>-</v>
      </c>
      <c r="U169" s="141" t="str">
        <f t="shared" si="29"/>
        <v>-</v>
      </c>
      <c r="V169" s="79" t="str">
        <f t="shared" si="30"/>
        <v>-</v>
      </c>
      <c r="W169" s="155"/>
      <c r="X169" s="116" t="str">
        <f>IF($L169="X","-",IF(W169="","-",IF(J169="M",VLOOKUP(W169,T100Pts!U$5:AC$86,(L169+1)),IF(J169="F",VLOOKUP(W169,T100Pts!AE$5:AM$86,(L169+1)),""))))</f>
        <v>-</v>
      </c>
      <c r="Y169" s="163"/>
      <c r="Z169" s="116" t="str">
        <f>IF($L169="X","-",IF(Y169="","-",IF(J169="M",VLOOKUP(Y169,T100Pts!AO$5:AW$126,(L169+1)),IF(J169="F",VLOOKUP(Y169,T100Pts!AY$5:BG$126,(L169+1)),""))))</f>
        <v>-</v>
      </c>
      <c r="AA169" s="165"/>
      <c r="AB169" s="116" t="str">
        <f>IF(OR($L169="X",$L169=6,$L169=7),"-",IF(AA169="","-",IF(J169="M",VLOOKUP(AA169,T100Pts!BI$5:BN$44,(L169+1)),IF(J169="F",VLOOKUP(AA169,T100Pts!BU$5:BZ$44,(L169+1)),""))))</f>
        <v>-</v>
      </c>
      <c r="AC169" s="228"/>
      <c r="AD169" s="116" t="str">
        <f>IF($L169="X","-",IF(AC169="","-",IF(J169="M",VLOOKUP(AC169,T100Pts!A$5:I$1146,(L169+1)),IF(J169="F",VLOOKUP(AC169,T100Pts!K$5:S$1146,(L169+1)),""))))</f>
        <v>-</v>
      </c>
      <c r="AE169" s="117" t="str">
        <f t="shared" si="31"/>
        <v>-</v>
      </c>
      <c r="AF169" s="114" t="str">
        <f t="shared" si="32"/>
        <v>-</v>
      </c>
      <c r="AG169" s="115" t="e">
        <f t="shared" si="33"/>
        <v>#DIV/0!</v>
      </c>
      <c r="AH169" s="114" t="str">
        <f t="shared" si="27"/>
        <v>-</v>
      </c>
      <c r="AI169" s="161"/>
      <c r="AJ169" s="77" t="str">
        <f t="shared" si="28"/>
        <v/>
      </c>
    </row>
    <row r="170" spans="1:36" ht="15.75" customHeight="1" x14ac:dyDescent="0.25">
      <c r="A170" s="138">
        <v>157</v>
      </c>
      <c r="B170" s="168"/>
      <c r="C170" s="137"/>
      <c r="D170" s="174"/>
      <c r="E170" s="175"/>
      <c r="F170" s="176"/>
      <c r="G170" s="177"/>
      <c r="H170" s="178"/>
      <c r="I170" s="154" t="str">
        <f t="shared" si="35"/>
        <v>-</v>
      </c>
      <c r="J170" s="181" t="s">
        <v>139</v>
      </c>
      <c r="K170" s="153" t="str">
        <f t="shared" si="36"/>
        <v>-</v>
      </c>
      <c r="L170" s="153" t="str">
        <f>IF(F170="","-",IF(K170&lt;&gt;"",VLOOKUP(K170,T100Pts!CH$4:CI$59,(2))))</f>
        <v>-</v>
      </c>
      <c r="M170" s="155"/>
      <c r="N170" s="153" t="str">
        <f>IF($L170="X","-",IF(M170="","-",IF(J170="M",VLOOKUP(M170,T100Pts!U$5:AC$86,(L170+1)),IF(J170="F",VLOOKUP(M170,T100Pts!AE$5:AM$86,(L170+1)),""))))</f>
        <v>-</v>
      </c>
      <c r="O170" s="155"/>
      <c r="P170" s="140" t="str">
        <f>IF($L170="X","-",IF(O170="","-",IF(J170="M",VLOOKUP(O170,T100Pts!AO$5:AW$126,(L170+1)),IF(J170="F",VLOOKUP(O170,T100Pts!AY$5:BG$126,(L170+1)),""))))</f>
        <v>-</v>
      </c>
      <c r="Q170" s="157"/>
      <c r="R170" s="140" t="str">
        <f>IF(OR($L170="X",$L170=6,$L170=7),"-",IF(Q170="","-",IF(J170="M",VLOOKUP(Q170,T100Pts!BI$5:BN$44,(L170+1)),IF(J170="F",VLOOKUP(Q170,T100Pts!BU$5:BZ$44,(L170+1)),""))))</f>
        <v>-</v>
      </c>
      <c r="S170" s="155"/>
      <c r="T170" s="140" t="str">
        <f>IF($L170="X","-",IF(S170="","-",IF(J170="M",VLOOKUP(S170,T100Pts!A$5:I$1146,(L170+1)),IF(J170="F",VLOOKUP(S170,T100Pts!K$5:S$1147,(L170+1)),""))))</f>
        <v>-</v>
      </c>
      <c r="U170" s="141" t="str">
        <f t="shared" si="29"/>
        <v>-</v>
      </c>
      <c r="V170" s="79" t="str">
        <f t="shared" si="30"/>
        <v>-</v>
      </c>
      <c r="W170" s="155"/>
      <c r="X170" s="116" t="str">
        <f>IF($L170="X","-",IF(W170="","-",IF(J170="M",VLOOKUP(W170,T100Pts!U$5:AC$86,(L170+1)),IF(J170="F",VLOOKUP(W170,T100Pts!AE$5:AM$86,(L170+1)),""))))</f>
        <v>-</v>
      </c>
      <c r="Y170" s="163"/>
      <c r="Z170" s="116" t="str">
        <f>IF($L170="X","-",IF(Y170="","-",IF(J170="M",VLOOKUP(Y170,T100Pts!AO$5:AW$126,(L170+1)),IF(J170="F",VLOOKUP(Y170,T100Pts!AY$5:BG$126,(L170+1)),""))))</f>
        <v>-</v>
      </c>
      <c r="AA170" s="165"/>
      <c r="AB170" s="116" t="str">
        <f>IF(OR($L170="X",$L170=6,$L170=7),"-",IF(AA170="","-",IF(J170="M",VLOOKUP(AA170,T100Pts!BI$5:BN$44,(L170+1)),IF(J170="F",VLOOKUP(AA170,T100Pts!BU$5:BZ$44,(L170+1)),""))))</f>
        <v>-</v>
      </c>
      <c r="AC170" s="227"/>
      <c r="AD170" s="116" t="str">
        <f>IF($L170="X","-",IF(AC170="","-",IF(J170="M",VLOOKUP(AC170,T100Pts!A$5:I$1146,(L170+1)),IF(J170="F",VLOOKUP(AC170,T100Pts!K$5:S$1146,(L170+1)),""))))</f>
        <v>-</v>
      </c>
      <c r="AE170" s="117" t="str">
        <f t="shared" si="31"/>
        <v>-</v>
      </c>
      <c r="AF170" s="114" t="str">
        <f t="shared" si="32"/>
        <v>-</v>
      </c>
      <c r="AG170" s="115" t="e">
        <f t="shared" si="33"/>
        <v>#DIV/0!</v>
      </c>
      <c r="AH170" s="114" t="str">
        <f t="shared" si="27"/>
        <v>-</v>
      </c>
      <c r="AI170" s="161"/>
      <c r="AJ170" s="77" t="str">
        <f t="shared" si="28"/>
        <v/>
      </c>
    </row>
    <row r="171" spans="1:36" ht="15.75" customHeight="1" x14ac:dyDescent="0.25">
      <c r="A171" s="138">
        <v>158</v>
      </c>
      <c r="B171" s="168"/>
      <c r="C171" s="137"/>
      <c r="D171" s="174"/>
      <c r="E171" s="175"/>
      <c r="F171" s="176"/>
      <c r="G171" s="177"/>
      <c r="H171" s="178"/>
      <c r="I171" s="154" t="str">
        <f t="shared" si="35"/>
        <v>-</v>
      </c>
      <c r="J171" s="181" t="s">
        <v>140</v>
      </c>
      <c r="K171" s="153" t="str">
        <f t="shared" si="36"/>
        <v>-</v>
      </c>
      <c r="L171" s="153" t="str">
        <f>IF(F171="","-",IF(K171&lt;&gt;"",VLOOKUP(K171,T100Pts!CH$4:CI$59,(2))))</f>
        <v>-</v>
      </c>
      <c r="M171" s="155"/>
      <c r="N171" s="153" t="str">
        <f>IF($L171="X","-",IF(M171="","-",IF(J171="M",VLOOKUP(M171,T100Pts!U$5:AC$86,(L171+1)),IF(J171="F",VLOOKUP(M171,T100Pts!AE$5:AM$86,(L171+1)),""))))</f>
        <v>-</v>
      </c>
      <c r="O171" s="155"/>
      <c r="P171" s="140" t="str">
        <f>IF($L171="X","-",IF(O171="","-",IF(J171="M",VLOOKUP(O171,T100Pts!AO$5:AW$126,(L171+1)),IF(J171="F",VLOOKUP(O171,T100Pts!AY$5:BG$126,(L171+1)),""))))</f>
        <v>-</v>
      </c>
      <c r="Q171" s="157"/>
      <c r="R171" s="140" t="str">
        <f>IF(OR($L171="X",$L171=6,$L171=7),"-",IF(Q171="","-",IF(J171="M",VLOOKUP(Q171,T100Pts!BI$5:BN$44,(L171+1)),IF(J171="F",VLOOKUP(Q171,T100Pts!BU$5:BZ$44,(L171+1)),""))))</f>
        <v>-</v>
      </c>
      <c r="S171" s="155"/>
      <c r="T171" s="140" t="str">
        <f>IF($L171="X","-",IF(S171="","-",IF(J171="M",VLOOKUP(S171,T100Pts!A$5:I$1146,(L171+1)),IF(J171="F",VLOOKUP(S171,T100Pts!K$5:S$1147,(L171+1)),""))))</f>
        <v>-</v>
      </c>
      <c r="U171" s="141" t="str">
        <f t="shared" si="29"/>
        <v>-</v>
      </c>
      <c r="V171" s="79" t="str">
        <f t="shared" si="30"/>
        <v>-</v>
      </c>
      <c r="W171" s="155"/>
      <c r="X171" s="116" t="str">
        <f>IF($L171="X","-",IF(W171="","-",IF(J171="M",VLOOKUP(W171,T100Pts!U$5:AC$86,(L171+1)),IF(J171="F",VLOOKUP(W171,T100Pts!AE$5:AM$86,(L171+1)),""))))</f>
        <v>-</v>
      </c>
      <c r="Y171" s="163"/>
      <c r="Z171" s="116" t="str">
        <f>IF($L171="X","-",IF(Y171="","-",IF(J171="M",VLOOKUP(Y171,T100Pts!AO$5:AW$126,(L171+1)),IF(J171="F",VLOOKUP(Y171,T100Pts!AY$5:BG$126,(L171+1)),""))))</f>
        <v>-</v>
      </c>
      <c r="AA171" s="165"/>
      <c r="AB171" s="116" t="str">
        <f>IF(OR($L171="X",$L171=6,$L171=7),"-",IF(AA171="","-",IF(J171="M",VLOOKUP(AA171,T100Pts!BI$5:BN$44,(L171+1)),IF(J171="F",VLOOKUP(AA171,T100Pts!BU$5:BZ$44,(L171+1)),""))))</f>
        <v>-</v>
      </c>
      <c r="AC171" s="227"/>
      <c r="AD171" s="116" t="str">
        <f>IF($L171="X","-",IF(AC171="","-",IF(J171="M",VLOOKUP(AC171,T100Pts!A$5:I$1146,(L171+1)),IF(J171="F",VLOOKUP(AC171,T100Pts!K$5:S$1146,(L171+1)),""))))</f>
        <v>-</v>
      </c>
      <c r="AE171" s="117" t="str">
        <f t="shared" si="31"/>
        <v>-</v>
      </c>
      <c r="AF171" s="114" t="str">
        <f t="shared" si="32"/>
        <v>-</v>
      </c>
      <c r="AG171" s="115" t="e">
        <f t="shared" si="33"/>
        <v>#DIV/0!</v>
      </c>
      <c r="AH171" s="114" t="str">
        <f t="shared" si="27"/>
        <v>-</v>
      </c>
      <c r="AI171" s="161"/>
      <c r="AJ171" s="77" t="str">
        <f t="shared" si="28"/>
        <v/>
      </c>
    </row>
    <row r="172" spans="1:36" ht="15.75" customHeight="1" x14ac:dyDescent="0.25">
      <c r="A172" s="138">
        <v>159</v>
      </c>
      <c r="B172" s="168"/>
      <c r="C172" s="137"/>
      <c r="D172" s="174"/>
      <c r="E172" s="175"/>
      <c r="F172" s="176"/>
      <c r="G172" s="177"/>
      <c r="H172" s="178"/>
      <c r="I172" s="154" t="str">
        <f t="shared" si="35"/>
        <v>-</v>
      </c>
      <c r="J172" s="181" t="s">
        <v>139</v>
      </c>
      <c r="K172" s="153" t="str">
        <f t="shared" si="36"/>
        <v>-</v>
      </c>
      <c r="L172" s="153" t="str">
        <f>IF(F172="","-",IF(K172&lt;&gt;"",VLOOKUP(K172,T100Pts!CH$4:CI$59,(2))))</f>
        <v>-</v>
      </c>
      <c r="M172" s="155"/>
      <c r="N172" s="153" t="str">
        <f>IF($L172="X","-",IF(M172="","-",IF(J172="M",VLOOKUP(M172,T100Pts!U$5:AC$86,(L172+1)),IF(J172="F",VLOOKUP(M172,T100Pts!AE$5:AM$86,(L172+1)),""))))</f>
        <v>-</v>
      </c>
      <c r="O172" s="155"/>
      <c r="P172" s="140" t="str">
        <f>IF($L172="X","-",IF(O172="","-",IF(J172="M",VLOOKUP(O172,T100Pts!AO$5:AW$126,(L172+1)),IF(J172="F",VLOOKUP(O172,T100Pts!AY$5:BG$126,(L172+1)),""))))</f>
        <v>-</v>
      </c>
      <c r="Q172" s="157"/>
      <c r="R172" s="140" t="str">
        <f>IF(OR($L172="X",$L172=6,$L172=7),"-",IF(Q172="","-",IF(J172="M",VLOOKUP(Q172,T100Pts!BI$5:BN$44,(L172+1)),IF(J172="F",VLOOKUP(Q172,T100Pts!BU$5:BZ$44,(L172+1)),""))))</f>
        <v>-</v>
      </c>
      <c r="S172" s="155"/>
      <c r="T172" s="140" t="str">
        <f>IF($L172="X","-",IF(S172="","-",IF(J172="M",VLOOKUP(S172,T100Pts!A$5:I$1146,(L172+1)),IF(J172="F",VLOOKUP(S172,T100Pts!K$5:S$1147,(L172+1)),""))))</f>
        <v>-</v>
      </c>
      <c r="U172" s="141" t="str">
        <f t="shared" si="29"/>
        <v>-</v>
      </c>
      <c r="V172" s="79" t="str">
        <f t="shared" si="30"/>
        <v>-</v>
      </c>
      <c r="W172" s="155"/>
      <c r="X172" s="116" t="str">
        <f>IF($L172="X","-",IF(W172="","-",IF(J172="M",VLOOKUP(W172,T100Pts!U$5:AC$86,(L172+1)),IF(J172="F",VLOOKUP(W172,T100Pts!AE$5:AM$86,(L172+1)),""))))</f>
        <v>-</v>
      </c>
      <c r="Y172" s="163"/>
      <c r="Z172" s="116" t="str">
        <f>IF($L172="X","-",IF(Y172="","-",IF(J172="M",VLOOKUP(Y172,T100Pts!AO$5:AW$126,(L172+1)),IF(J172="F",VLOOKUP(Y172,T100Pts!AY$5:BG$126,(L172+1)),""))))</f>
        <v>-</v>
      </c>
      <c r="AA172" s="165"/>
      <c r="AB172" s="116" t="str">
        <f>IF(OR($L172="X",$L172=6,$L172=7),"-",IF(AA172="","-",IF(J172="M",VLOOKUP(AA172,T100Pts!BI$5:BN$44,(L172+1)),IF(J172="F",VLOOKUP(AA172,T100Pts!BU$5:BZ$44,(L172+1)),""))))</f>
        <v>-</v>
      </c>
      <c r="AC172" s="228"/>
      <c r="AD172" s="116" t="str">
        <f>IF($L172="X","-",IF(AC172="","-",IF(J172="M",VLOOKUP(AC172,T100Pts!A$5:I$1146,(L172+1)),IF(J172="F",VLOOKUP(AC172,T100Pts!K$5:S$1146,(L172+1)),""))))</f>
        <v>-</v>
      </c>
      <c r="AE172" s="117" t="str">
        <f t="shared" si="31"/>
        <v>-</v>
      </c>
      <c r="AF172" s="114" t="str">
        <f t="shared" si="32"/>
        <v>-</v>
      </c>
      <c r="AG172" s="115" t="e">
        <f t="shared" si="33"/>
        <v>#DIV/0!</v>
      </c>
      <c r="AH172" s="114" t="str">
        <f t="shared" si="27"/>
        <v>-</v>
      </c>
      <c r="AI172" s="161"/>
      <c r="AJ172" s="77" t="str">
        <f t="shared" si="28"/>
        <v/>
      </c>
    </row>
    <row r="173" spans="1:36" ht="15.75" customHeight="1" x14ac:dyDescent="0.25">
      <c r="A173" s="138">
        <v>160</v>
      </c>
      <c r="B173" s="168"/>
      <c r="C173" s="137"/>
      <c r="D173" s="174"/>
      <c r="E173" s="175"/>
      <c r="F173" s="176"/>
      <c r="G173" s="177"/>
      <c r="H173" s="178"/>
      <c r="I173" s="154" t="str">
        <f t="shared" si="35"/>
        <v>-</v>
      </c>
      <c r="J173" s="181" t="s">
        <v>139</v>
      </c>
      <c r="K173" s="153" t="str">
        <f t="shared" si="36"/>
        <v>-</v>
      </c>
      <c r="L173" s="153" t="str">
        <f>IF(F173="","-",IF(K173&lt;&gt;"",VLOOKUP(K173,T100Pts!CH$4:CI$59,(2))))</f>
        <v>-</v>
      </c>
      <c r="M173" s="155"/>
      <c r="N173" s="153" t="str">
        <f>IF($L173="X","-",IF(M173="","-",IF(J173="M",VLOOKUP(M173,T100Pts!U$5:AC$86,(L173+1)),IF(J173="F",VLOOKUP(M173,T100Pts!AE$5:AM$86,(L173+1)),""))))</f>
        <v>-</v>
      </c>
      <c r="O173" s="155"/>
      <c r="P173" s="140" t="str">
        <f>IF($L173="X","-",IF(O173="","-",IF(J173="M",VLOOKUP(O173,T100Pts!AO$5:AW$126,(L173+1)),IF(J173="F",VLOOKUP(O173,T100Pts!AY$5:BG$126,(L173+1)),""))))</f>
        <v>-</v>
      </c>
      <c r="Q173" s="157"/>
      <c r="R173" s="140" t="str">
        <f>IF(OR($L173="X",$L173=6,$L173=7),"-",IF(Q173="","-",IF(J173="M",VLOOKUP(Q173,T100Pts!BI$5:BN$44,(L173+1)),IF(J173="F",VLOOKUP(Q173,T100Pts!BU$5:BZ$44,(L173+1)),""))))</f>
        <v>-</v>
      </c>
      <c r="S173" s="155"/>
      <c r="T173" s="140" t="str">
        <f>IF($L173="X","-",IF(S173="","-",IF(J173="M",VLOOKUP(S173,T100Pts!A$5:I$1146,(L173+1)),IF(J173="F",VLOOKUP(S173,T100Pts!K$5:S$1147,(L173+1)),""))))</f>
        <v>-</v>
      </c>
      <c r="U173" s="141" t="str">
        <f t="shared" si="29"/>
        <v>-</v>
      </c>
      <c r="V173" s="79" t="str">
        <f t="shared" si="30"/>
        <v>-</v>
      </c>
      <c r="W173" s="155"/>
      <c r="X173" s="116" t="str">
        <f>IF($L173="X","-",IF(W173="","-",IF(J173="M",VLOOKUP(W173,T100Pts!U$5:AC$86,(L173+1)),IF(J173="F",VLOOKUP(W173,T100Pts!AE$5:AM$86,(L173+1)),""))))</f>
        <v>-</v>
      </c>
      <c r="Y173" s="163"/>
      <c r="Z173" s="116" t="str">
        <f>IF($L173="X","-",IF(Y173="","-",IF(J173="M",VLOOKUP(Y173,T100Pts!AO$5:AW$126,(L173+1)),IF(J173="F",VLOOKUP(Y173,T100Pts!AY$5:BG$126,(L173+1)),""))))</f>
        <v>-</v>
      </c>
      <c r="AA173" s="165"/>
      <c r="AB173" s="116" t="str">
        <f>IF(OR($L173="X",$L173=6,$L173=7),"-",IF(AA173="","-",IF(J173="M",VLOOKUP(AA173,T100Pts!BI$5:BN$44,(L173+1)),IF(J173="F",VLOOKUP(AA173,T100Pts!BU$5:BZ$44,(L173+1)),""))))</f>
        <v>-</v>
      </c>
      <c r="AC173" s="227"/>
      <c r="AD173" s="116" t="str">
        <f>IF($L173="X","-",IF(AC173="","-",IF(J173="M",VLOOKUP(AC173,T100Pts!A$5:I$1146,(L173+1)),IF(J173="F",VLOOKUP(AC173,T100Pts!K$5:S$1146,(L173+1)),""))))</f>
        <v>-</v>
      </c>
      <c r="AE173" s="117" t="str">
        <f t="shared" si="31"/>
        <v>-</v>
      </c>
      <c r="AF173" s="114" t="str">
        <f t="shared" si="32"/>
        <v>-</v>
      </c>
      <c r="AG173" s="115" t="e">
        <f t="shared" si="33"/>
        <v>#DIV/0!</v>
      </c>
      <c r="AH173" s="114" t="str">
        <f t="shared" si="27"/>
        <v>-</v>
      </c>
      <c r="AI173" s="161"/>
      <c r="AJ173" s="77" t="str">
        <f t="shared" ref="AJ173:AJ236" si="37">IF(OR(B173="TG",B173="GD",B173="GB",B173="CY",B173="CR",B173="TC",B173="MY",B173="CT",B173="TP",B173="TP EC",B173="TT",B173="TT EC",B173="ST",B173="ST EC"),"Oficial",IF(OR(B173="VP",B173="VS",B173="VS EC"),"Vol",IF(B173="","","Subof")))</f>
        <v/>
      </c>
    </row>
    <row r="174" spans="1:36" ht="15.75" customHeight="1" x14ac:dyDescent="0.25">
      <c r="A174" s="138">
        <v>161</v>
      </c>
      <c r="B174" s="168"/>
      <c r="C174" s="137"/>
      <c r="D174" s="174"/>
      <c r="E174" s="175"/>
      <c r="F174" s="176"/>
      <c r="G174" s="177"/>
      <c r="H174" s="178"/>
      <c r="I174" s="154" t="str">
        <f t="shared" si="35"/>
        <v>-</v>
      </c>
      <c r="J174" s="181" t="s">
        <v>139</v>
      </c>
      <c r="K174" s="153" t="str">
        <f t="shared" si="36"/>
        <v>-</v>
      </c>
      <c r="L174" s="153" t="str">
        <f>IF(F174="","-",IF(K174&lt;&gt;"",VLOOKUP(K174,T100Pts!CH$4:CI$59,(2))))</f>
        <v>-</v>
      </c>
      <c r="M174" s="155"/>
      <c r="N174" s="153" t="str">
        <f>IF($L174="X","-",IF(M174="","-",IF(J174="M",VLOOKUP(M174,T100Pts!U$5:AC$86,(L174+1)),IF(J174="F",VLOOKUP(M174,T100Pts!AE$5:AM$86,(L174+1)),""))))</f>
        <v>-</v>
      </c>
      <c r="O174" s="155"/>
      <c r="P174" s="140" t="str">
        <f>IF($L174="X","-",IF(O174="","-",IF(J174="M",VLOOKUP(O174,T100Pts!AO$5:AW$126,(L174+1)),IF(J174="F",VLOOKUP(O174,T100Pts!AY$5:BG$126,(L174+1)),""))))</f>
        <v>-</v>
      </c>
      <c r="Q174" s="157"/>
      <c r="R174" s="140" t="str">
        <f>IF(OR($L174="X",$L174=6,$L174=7),"-",IF(Q174="","-",IF(J174="M",VLOOKUP(Q174,T100Pts!BI$5:BN$44,(L174+1)),IF(J174="F",VLOOKUP(Q174,T100Pts!BU$5:BZ$44,(L174+1)),""))))</f>
        <v>-</v>
      </c>
      <c r="S174" s="155"/>
      <c r="T174" s="140" t="str">
        <f>IF($L174="X","-",IF(S174="","-",IF(J174="M",VLOOKUP(S174,T100Pts!A$5:I$1146,(L174+1)),IF(J174="F",VLOOKUP(S174,T100Pts!K$5:S$1147,(L174+1)),""))))</f>
        <v>-</v>
      </c>
      <c r="U174" s="141" t="str">
        <f t="shared" si="29"/>
        <v>-</v>
      </c>
      <c r="V174" s="79" t="str">
        <f t="shared" si="30"/>
        <v>-</v>
      </c>
      <c r="W174" s="155"/>
      <c r="X174" s="116" t="str">
        <f>IF($L174="X","-",IF(W174="","-",IF(J174="M",VLOOKUP(W174,T100Pts!U$5:AC$86,(L174+1)),IF(J174="F",VLOOKUP(W174,T100Pts!AE$5:AM$86,(L174+1)),""))))</f>
        <v>-</v>
      </c>
      <c r="Y174" s="163"/>
      <c r="Z174" s="116" t="str">
        <f>IF($L174="X","-",IF(Y174="","-",IF(J174="M",VLOOKUP(Y174,T100Pts!AO$5:AW$126,(L174+1)),IF(J174="F",VLOOKUP(Y174,T100Pts!AY$5:BG$126,(L174+1)),""))))</f>
        <v>-</v>
      </c>
      <c r="AA174" s="165"/>
      <c r="AB174" s="116" t="str">
        <f>IF(OR($L174="X",$L174=6,$L174=7),"-",IF(AA174="","-",IF(J174="M",VLOOKUP(AA174,T100Pts!BI$5:BN$44,(L174+1)),IF(J174="F",VLOOKUP(AA174,T100Pts!BU$5:BZ$44,(L174+1)),""))))</f>
        <v>-</v>
      </c>
      <c r="AC174" s="227"/>
      <c r="AD174" s="116" t="str">
        <f>IF($L174="X","-",IF(AC174="","-",IF(J174="M",VLOOKUP(AC174,T100Pts!A$5:I$1146,(L174+1)),IF(J174="F",VLOOKUP(AC174,T100Pts!K$5:S$1146,(L174+1)),""))))</f>
        <v>-</v>
      </c>
      <c r="AE174" s="117" t="str">
        <f t="shared" si="31"/>
        <v>-</v>
      </c>
      <c r="AF174" s="114" t="str">
        <f t="shared" si="32"/>
        <v>-</v>
      </c>
      <c r="AG174" s="115" t="e">
        <f t="shared" si="33"/>
        <v>#DIV/0!</v>
      </c>
      <c r="AH174" s="114" t="str">
        <f t="shared" si="27"/>
        <v>-</v>
      </c>
      <c r="AI174" s="161"/>
      <c r="AJ174" s="77" t="str">
        <f t="shared" si="37"/>
        <v/>
      </c>
    </row>
    <row r="175" spans="1:36" ht="15.75" customHeight="1" x14ac:dyDescent="0.25">
      <c r="A175" s="138">
        <v>162</v>
      </c>
      <c r="B175" s="168"/>
      <c r="C175" s="137"/>
      <c r="D175" s="174"/>
      <c r="E175" s="175"/>
      <c r="F175" s="176"/>
      <c r="G175" s="177"/>
      <c r="H175" s="178"/>
      <c r="I175" s="154" t="str">
        <f t="shared" si="35"/>
        <v>-</v>
      </c>
      <c r="J175" s="181" t="s">
        <v>139</v>
      </c>
      <c r="K175" s="153" t="str">
        <f t="shared" si="36"/>
        <v>-</v>
      </c>
      <c r="L175" s="153" t="str">
        <f>IF(F175="","-",IF(K175&lt;&gt;"",VLOOKUP(K175,T100Pts!CH$4:CI$59,(2))))</f>
        <v>-</v>
      </c>
      <c r="M175" s="155"/>
      <c r="N175" s="153" t="str">
        <f>IF($L175="X","-",IF(M175="","-",IF(J175="M",VLOOKUP(M175,T100Pts!U$5:AC$86,(L175+1)),IF(J175="F",VLOOKUP(M175,T100Pts!AE$5:AM$86,(L175+1)),""))))</f>
        <v>-</v>
      </c>
      <c r="O175" s="155"/>
      <c r="P175" s="140" t="str">
        <f>IF($L175="X","-",IF(O175="","-",IF(J175="M",VLOOKUP(O175,T100Pts!AO$5:AW$126,(L175+1)),IF(J175="F",VLOOKUP(O175,T100Pts!AY$5:BG$126,(L175+1)),""))))</f>
        <v>-</v>
      </c>
      <c r="Q175" s="157"/>
      <c r="R175" s="140" t="str">
        <f>IF(OR($L175="X",$L175=6,$L175=7),"-",IF(Q175="","-",IF(J175="M",VLOOKUP(Q175,T100Pts!BI$5:BN$44,(L175+1)),IF(J175="F",VLOOKUP(Q175,T100Pts!BU$5:BZ$44,(L175+1)),""))))</f>
        <v>-</v>
      </c>
      <c r="S175" s="155"/>
      <c r="T175" s="140" t="str">
        <f>IF($L175="X","-",IF(S175="","-",IF(J175="M",VLOOKUP(S175,T100Pts!A$5:I$1146,(L175+1)),IF(J175="F",VLOOKUP(S175,T100Pts!K$5:S$1147,(L175+1)),""))))</f>
        <v>-</v>
      </c>
      <c r="U175" s="141" t="str">
        <f t="shared" si="29"/>
        <v>-</v>
      </c>
      <c r="V175" s="79" t="str">
        <f t="shared" si="30"/>
        <v>-</v>
      </c>
      <c r="W175" s="155"/>
      <c r="X175" s="116" t="str">
        <f>IF($L175="X","-",IF(W175="","-",IF(J175="M",VLOOKUP(W175,T100Pts!U$5:AC$86,(L175+1)),IF(J175="F",VLOOKUP(W175,T100Pts!AE$5:AM$86,(L175+1)),""))))</f>
        <v>-</v>
      </c>
      <c r="Y175" s="155"/>
      <c r="Z175" s="116" t="str">
        <f>IF($L175="X","-",IF(Y175="","-",IF(J175="M",VLOOKUP(Y175,T100Pts!AO$5:AW$126,(L175+1)),IF(J175="F",VLOOKUP(Y175,T100Pts!AY$5:BG$126,(L175+1)),""))))</f>
        <v>-</v>
      </c>
      <c r="AA175" s="157"/>
      <c r="AB175" s="116" t="str">
        <f>IF(OR($L175="X",$L175=6,$L175=7),"-",IF(AA175="","-",IF(J175="M",VLOOKUP(AA175,T100Pts!BI$5:BN$44,(L175+1)),IF(J175="F",VLOOKUP(AA175,T100Pts!BU$5:BZ$44,(L175+1)),""))))</f>
        <v>-</v>
      </c>
      <c r="AC175" s="155"/>
      <c r="AD175" s="116" t="str">
        <f>IF($L175="X","-",IF(AC175="","-",IF(J175="M",VLOOKUP(AC175,T100Pts!A$5:I$1146,(L175+1)),IF(J175="F",VLOOKUP(AC175,T100Pts!K$5:S$1146,(L175+1)),""))))</f>
        <v>-</v>
      </c>
      <c r="AE175" s="141" t="str">
        <f t="shared" si="31"/>
        <v>-</v>
      </c>
      <c r="AF175" s="114" t="str">
        <f t="shared" si="32"/>
        <v>-</v>
      </c>
      <c r="AG175" s="115" t="e">
        <f t="shared" si="33"/>
        <v>#DIV/0!</v>
      </c>
      <c r="AH175" s="114" t="str">
        <f t="shared" si="27"/>
        <v>-</v>
      </c>
      <c r="AI175" s="161"/>
      <c r="AJ175" s="77" t="str">
        <f t="shared" si="37"/>
        <v/>
      </c>
    </row>
    <row r="176" spans="1:36" ht="15.75" customHeight="1" x14ac:dyDescent="0.25">
      <c r="A176" s="138">
        <v>163</v>
      </c>
      <c r="B176" s="168"/>
      <c r="C176" s="137"/>
      <c r="D176" s="174"/>
      <c r="E176" s="175"/>
      <c r="F176" s="176"/>
      <c r="G176" s="177"/>
      <c r="H176" s="178"/>
      <c r="I176" s="154" t="str">
        <f t="shared" si="35"/>
        <v>-</v>
      </c>
      <c r="J176" s="181" t="s">
        <v>139</v>
      </c>
      <c r="K176" s="153" t="str">
        <f t="shared" si="36"/>
        <v>-</v>
      </c>
      <c r="L176" s="153" t="str">
        <f>IF(F176="","-",IF(K176&lt;&gt;"",VLOOKUP(K176,T100Pts!CH$4:CI$59,(2))))</f>
        <v>-</v>
      </c>
      <c r="M176" s="155"/>
      <c r="N176" s="153" t="str">
        <f>IF($L176="X","-",IF(M176="","-",IF(J176="M",VLOOKUP(M176,T100Pts!U$5:AC$86,(L176+1)),IF(J176="F",VLOOKUP(M176,T100Pts!AE$5:AM$86,(L176+1)),""))))</f>
        <v>-</v>
      </c>
      <c r="O176" s="155"/>
      <c r="P176" s="140" t="str">
        <f>IF($L176="X","-",IF(O176="","-",IF(J176="M",VLOOKUP(O176,T100Pts!AO$5:AW$126,(L176+1)),IF(J176="F",VLOOKUP(O176,T100Pts!AY$5:BG$126,(L176+1)),""))))</f>
        <v>-</v>
      </c>
      <c r="Q176" s="157"/>
      <c r="R176" s="140" t="str">
        <f>IF(OR($L176="X",$L176=6,$L176=7),"-",IF(Q176="","-",IF(J176="M",VLOOKUP(Q176,T100Pts!BI$5:BN$44,(L176+1)),IF(J176="F",VLOOKUP(Q176,T100Pts!BU$5:BZ$44,(L176+1)),""))))</f>
        <v>-</v>
      </c>
      <c r="S176" s="155"/>
      <c r="T176" s="140" t="str">
        <f>IF($L176="X","-",IF(S176="","-",IF(J176="M",VLOOKUP(S176,T100Pts!A$5:I$1146,(L176+1)),IF(J176="F",VLOOKUP(S176,T100Pts!K$5:S$1147,(L176+1)),""))))</f>
        <v>-</v>
      </c>
      <c r="U176" s="141" t="str">
        <f t="shared" si="29"/>
        <v>-</v>
      </c>
      <c r="V176" s="79" t="str">
        <f t="shared" si="30"/>
        <v>-</v>
      </c>
      <c r="W176" s="155"/>
      <c r="X176" s="116" t="str">
        <f>IF($L176="X","-",IF(W176="","-",IF(J176="M",VLOOKUP(W176,T100Pts!U$5:AC$86,(L176+1)),IF(J176="F",VLOOKUP(W176,T100Pts!AE$5:AM$86,(L176+1)),""))))</f>
        <v>-</v>
      </c>
      <c r="Y176" s="163"/>
      <c r="Z176" s="116" t="str">
        <f>IF($L176="X","-",IF(Y176="","-",IF(J176="M",VLOOKUP(Y176,T100Pts!AO$5:AW$126,(L176+1)),IF(J176="F",VLOOKUP(Y176,T100Pts!AY$5:BG$126,(L176+1)),""))))</f>
        <v>-</v>
      </c>
      <c r="AA176" s="165"/>
      <c r="AB176" s="116" t="str">
        <f>IF(OR($L176="X",$L176=6,$L176=7),"-",IF(AA176="","-",IF(J176="M",VLOOKUP(AA176,T100Pts!BI$5:BN$44,(L176+1)),IF(J176="F",VLOOKUP(AA176,T100Pts!BU$5:BZ$44,(L176+1)),""))))</f>
        <v>-</v>
      </c>
      <c r="AC176" s="163"/>
      <c r="AD176" s="116" t="str">
        <f>IF($L176="X","-",IF(AC176="","-",IF(J176="M",VLOOKUP(AC176,T100Pts!A$5:I$1146,(L176+1)),IF(J176="F",VLOOKUP(AC176,T100Pts!K$5:S$1146,(L176+1)),""))))</f>
        <v>-</v>
      </c>
      <c r="AE176" s="117" t="str">
        <f t="shared" si="31"/>
        <v>-</v>
      </c>
      <c r="AF176" s="114" t="str">
        <f t="shared" si="32"/>
        <v>-</v>
      </c>
      <c r="AG176" s="115" t="e">
        <f t="shared" si="33"/>
        <v>#DIV/0!</v>
      </c>
      <c r="AH176" s="114" t="str">
        <f t="shared" si="27"/>
        <v>-</v>
      </c>
      <c r="AI176" s="161" t="s">
        <v>223</v>
      </c>
      <c r="AJ176" s="77" t="str">
        <f t="shared" si="37"/>
        <v/>
      </c>
    </row>
    <row r="177" spans="1:36" ht="15.75" customHeight="1" x14ac:dyDescent="0.25">
      <c r="A177" s="138">
        <v>164</v>
      </c>
      <c r="B177" s="168"/>
      <c r="C177" s="137"/>
      <c r="D177" s="174"/>
      <c r="E177" s="175"/>
      <c r="F177" s="176"/>
      <c r="G177" s="177"/>
      <c r="H177" s="178"/>
      <c r="I177" s="154" t="str">
        <f t="shared" si="35"/>
        <v>-</v>
      </c>
      <c r="J177" s="181" t="s">
        <v>139</v>
      </c>
      <c r="K177" s="153" t="str">
        <f t="shared" si="36"/>
        <v>-</v>
      </c>
      <c r="L177" s="153" t="str">
        <f>IF(F177="","-",IF(K177&lt;&gt;"",VLOOKUP(K177,T100Pts!CH$4:CI$59,(2))))</f>
        <v>-</v>
      </c>
      <c r="M177" s="155"/>
      <c r="N177" s="153" t="str">
        <f>IF($L177="X","-",IF(M177="","-",IF(J177="M",VLOOKUP(M177,T100Pts!U$5:AC$86,(L177+1)),IF(J177="F",VLOOKUP(M177,T100Pts!AE$5:AM$86,(L177+1)),""))))</f>
        <v>-</v>
      </c>
      <c r="O177" s="155"/>
      <c r="P177" s="140" t="str">
        <f>IF($L177="X","-",IF(O177="","-",IF(J177="M",VLOOKUP(O177,T100Pts!AO$5:AW$126,(L177+1)),IF(J177="F",VLOOKUP(O177,T100Pts!AY$5:BG$126,(L177+1)),""))))</f>
        <v>-</v>
      </c>
      <c r="Q177" s="157"/>
      <c r="R177" s="140" t="str">
        <f>IF(OR($L177="X",$L177=6,$L177=7),"-",IF(Q177="","-",IF(J177="M",VLOOKUP(Q177,T100Pts!BI$5:BN$44,(L177+1)),IF(J177="F",VLOOKUP(Q177,T100Pts!BU$5:BZ$44,(L177+1)),""))))</f>
        <v>-</v>
      </c>
      <c r="S177" s="155"/>
      <c r="T177" s="140" t="str">
        <f>IF($L177="X","-",IF(S177="","-",IF(J177="M",VLOOKUP(S177,T100Pts!A$5:I$1146,(L177+1)),IF(J177="F",VLOOKUP(S177,T100Pts!K$5:S$1147,(L177+1)),""))))</f>
        <v>-</v>
      </c>
      <c r="U177" s="141" t="str">
        <f t="shared" si="29"/>
        <v>-</v>
      </c>
      <c r="V177" s="79" t="str">
        <f t="shared" si="30"/>
        <v>-</v>
      </c>
      <c r="W177" s="155"/>
      <c r="X177" s="116" t="str">
        <f>IF($L177="X","-",IF(W177="","-",IF(J177="M",VLOOKUP(W177,T100Pts!U$5:AC$86,(L177+1)),IF(J177="F",VLOOKUP(W177,T100Pts!AE$5:AM$86,(L177+1)),""))))</f>
        <v>-</v>
      </c>
      <c r="Y177" s="163"/>
      <c r="Z177" s="116" t="str">
        <f>IF($L177="X","-",IF(Y177="","-",IF(J177="M",VLOOKUP(Y177,T100Pts!AO$5:AW$126,(L177+1)),IF(J177="F",VLOOKUP(Y177,T100Pts!AY$5:BG$126,(L177+1)),""))))</f>
        <v>-</v>
      </c>
      <c r="AA177" s="165"/>
      <c r="AB177" s="116" t="str">
        <f>IF(OR($L177="X",$L177=6,$L177=7),"-",IF(AA177="","-",IF(J177="M",VLOOKUP(AA177,T100Pts!BI$5:BN$44,(L177+1)),IF(J177="F",VLOOKUP(AA177,T100Pts!BU$5:BZ$44,(L177+1)),""))))</f>
        <v>-</v>
      </c>
      <c r="AC177" s="227"/>
      <c r="AD177" s="116" t="str">
        <f>IF($L177="X","-",IF(AC177="","-",IF(J177="M",VLOOKUP(AC177,T100Pts!A$5:I$1146,(L177+1)),IF(J177="F",VLOOKUP(AC177,T100Pts!K$5:S$1146,(L177+1)),""))))</f>
        <v>-</v>
      </c>
      <c r="AE177" s="117" t="str">
        <f t="shared" si="31"/>
        <v>-</v>
      </c>
      <c r="AF177" s="114" t="str">
        <f t="shared" si="32"/>
        <v>-</v>
      </c>
      <c r="AG177" s="115" t="e">
        <f t="shared" si="33"/>
        <v>#DIV/0!</v>
      </c>
      <c r="AH177" s="114" t="str">
        <f t="shared" si="27"/>
        <v>-</v>
      </c>
      <c r="AI177" s="161"/>
      <c r="AJ177" s="77" t="str">
        <f t="shared" si="37"/>
        <v/>
      </c>
    </row>
    <row r="178" spans="1:36" ht="15.75" customHeight="1" x14ac:dyDescent="0.25">
      <c r="A178" s="138">
        <v>165</v>
      </c>
      <c r="B178" s="168"/>
      <c r="C178" s="137"/>
      <c r="D178" s="174"/>
      <c r="E178" s="175"/>
      <c r="F178" s="176"/>
      <c r="G178" s="177"/>
      <c r="H178" s="178"/>
      <c r="I178" s="154" t="str">
        <f t="shared" si="35"/>
        <v>-</v>
      </c>
      <c r="J178" s="181" t="s">
        <v>139</v>
      </c>
      <c r="K178" s="153" t="str">
        <f t="shared" si="36"/>
        <v>-</v>
      </c>
      <c r="L178" s="153" t="str">
        <f>IF(F178="","-",IF(K178&lt;&gt;"",VLOOKUP(K178,T100Pts!CH$4:CI$59,(2))))</f>
        <v>-</v>
      </c>
      <c r="M178" s="155"/>
      <c r="N178" s="153" t="str">
        <f>IF($L178="X","-",IF(M178="","-",IF(J178="M",VLOOKUP(M178,T100Pts!U$5:AC$86,(L178+1)),IF(J178="F",VLOOKUP(M178,T100Pts!AE$5:AM$86,(L178+1)),""))))</f>
        <v>-</v>
      </c>
      <c r="O178" s="155"/>
      <c r="P178" s="140" t="str">
        <f>IF($L178="X","-",IF(O178="","-",IF(J178="M",VLOOKUP(O178,T100Pts!AO$5:AW$126,(L178+1)),IF(J178="F",VLOOKUP(O178,T100Pts!AY$5:BG$126,(L178+1)),""))))</f>
        <v>-</v>
      </c>
      <c r="Q178" s="157"/>
      <c r="R178" s="140" t="str">
        <f>IF(OR($L178="X",$L178=6,$L178=7),"-",IF(Q178="","-",IF(J178="M",VLOOKUP(Q178,T100Pts!BI$5:BN$44,(L178+1)),IF(J178="F",VLOOKUP(Q178,T100Pts!BU$5:BZ$44,(L178+1)),""))))</f>
        <v>-</v>
      </c>
      <c r="S178" s="155"/>
      <c r="T178" s="140" t="str">
        <f>IF($L178="X","-",IF(S178="","-",IF(J178="M",VLOOKUP(S178,T100Pts!A$5:I$1146,(L178+1)),IF(J178="F",VLOOKUP(S178,T100Pts!K$5:S$1147,(L178+1)),""))))</f>
        <v>-</v>
      </c>
      <c r="U178" s="141" t="str">
        <f t="shared" si="29"/>
        <v>-</v>
      </c>
      <c r="V178" s="79" t="str">
        <f t="shared" si="30"/>
        <v>-</v>
      </c>
      <c r="W178" s="155"/>
      <c r="X178" s="116" t="str">
        <f>IF($L178="X","-",IF(W178="","-",IF(J178="M",VLOOKUP(W178,T100Pts!U$5:AC$86,(L178+1)),IF(J178="F",VLOOKUP(W178,T100Pts!AE$5:AM$86,(L178+1)),""))))</f>
        <v>-</v>
      </c>
      <c r="Y178" s="163"/>
      <c r="Z178" s="116" t="str">
        <f>IF($L178="X","-",IF(Y178="","-",IF(J178="M",VLOOKUP(Y178,T100Pts!AO$5:AW$126,(L178+1)),IF(J178="F",VLOOKUP(Y178,T100Pts!AY$5:BG$126,(L178+1)),""))))</f>
        <v>-</v>
      </c>
      <c r="AA178" s="165"/>
      <c r="AB178" s="116" t="str">
        <f>IF(OR($L178="X",$L178=6,$L178=7),"-",IF(AA178="","-",IF(J178="M",VLOOKUP(AA178,T100Pts!BI$5:BN$44,(L178+1)),IF(J178="F",VLOOKUP(AA178,T100Pts!BU$5:BZ$44,(L178+1)),""))))</f>
        <v>-</v>
      </c>
      <c r="AC178" s="228"/>
      <c r="AD178" s="116" t="str">
        <f>IF($L178="X","-",IF(AC178="","-",IF(J178="M",VLOOKUP(AC178,T100Pts!A$5:I$1146,(L178+1)),IF(J178="F",VLOOKUP(AC178,T100Pts!K$5:S$1146,(L178+1)),""))))</f>
        <v>-</v>
      </c>
      <c r="AE178" s="117" t="str">
        <f t="shared" si="31"/>
        <v>-</v>
      </c>
      <c r="AF178" s="114" t="str">
        <f t="shared" si="32"/>
        <v>-</v>
      </c>
      <c r="AG178" s="115" t="e">
        <f t="shared" si="33"/>
        <v>#DIV/0!</v>
      </c>
      <c r="AH178" s="114" t="str">
        <f t="shared" si="27"/>
        <v>-</v>
      </c>
      <c r="AI178" s="161"/>
      <c r="AJ178" s="77" t="str">
        <f t="shared" si="37"/>
        <v/>
      </c>
    </row>
    <row r="179" spans="1:36" ht="15.75" customHeight="1" x14ac:dyDescent="0.25">
      <c r="A179" s="138">
        <v>166</v>
      </c>
      <c r="B179" s="168"/>
      <c r="C179" s="137"/>
      <c r="D179" s="174"/>
      <c r="E179" s="175"/>
      <c r="F179" s="176"/>
      <c r="G179" s="177"/>
      <c r="H179" s="178"/>
      <c r="I179" s="154" t="str">
        <f t="shared" si="35"/>
        <v>-</v>
      </c>
      <c r="J179" s="181" t="s">
        <v>139</v>
      </c>
      <c r="K179" s="153" t="str">
        <f t="shared" si="36"/>
        <v>-</v>
      </c>
      <c r="L179" s="153" t="str">
        <f>IF(F179="","-",IF(K179&lt;&gt;"",VLOOKUP(K179,T100Pts!CH$4:CI$59,(2))))</f>
        <v>-</v>
      </c>
      <c r="M179" s="155"/>
      <c r="N179" s="153" t="str">
        <f>IF($L179="X","-",IF(M179="","-",IF(J179="M",VLOOKUP(M179,T100Pts!U$5:AC$86,(L179+1)),IF(J179="F",VLOOKUP(M179,T100Pts!AE$5:AM$86,(L179+1)),""))))</f>
        <v>-</v>
      </c>
      <c r="O179" s="155"/>
      <c r="P179" s="140" t="str">
        <f>IF($L179="X","-",IF(O179="","-",IF(J179="M",VLOOKUP(O179,T100Pts!AO$5:AW$126,(L179+1)),IF(J179="F",VLOOKUP(O179,T100Pts!AY$5:BG$126,(L179+1)),""))))</f>
        <v>-</v>
      </c>
      <c r="Q179" s="157"/>
      <c r="R179" s="140" t="str">
        <f>IF(OR($L179="X",$L179=6,$L179=7),"-",IF(Q179="","-",IF(J179="M",VLOOKUP(Q179,T100Pts!BI$5:BN$44,(L179+1)),IF(J179="F",VLOOKUP(Q179,T100Pts!BU$5:BZ$44,(L179+1)),""))))</f>
        <v>-</v>
      </c>
      <c r="S179" s="155"/>
      <c r="T179" s="140" t="str">
        <f>IF($L179="X","-",IF(S179="","-",IF(J179="M",VLOOKUP(S179,T100Pts!A$5:I$1146,(L179+1)),IF(J179="F",VLOOKUP(S179,T100Pts!K$5:S$1147,(L179+1)),""))))</f>
        <v>-</v>
      </c>
      <c r="U179" s="141" t="str">
        <f t="shared" si="29"/>
        <v>-</v>
      </c>
      <c r="V179" s="79" t="str">
        <f t="shared" si="30"/>
        <v>-</v>
      </c>
      <c r="W179" s="155"/>
      <c r="X179" s="116" t="str">
        <f>IF($L179="X","-",IF(W179="","-",IF(J179="M",VLOOKUP(W179,T100Pts!U$5:AC$86,(L179+1)),IF(J179="F",VLOOKUP(W179,T100Pts!AE$5:AM$86,(L179+1)),""))))</f>
        <v>-</v>
      </c>
      <c r="Y179" s="163"/>
      <c r="Z179" s="116" t="str">
        <f>IF($L179="X","-",IF(Y179="","-",IF(J179="M",VLOOKUP(Y179,T100Pts!AO$5:AW$126,(L179+1)),IF(J179="F",VLOOKUP(Y179,T100Pts!AY$5:BG$126,(L179+1)),""))))</f>
        <v>-</v>
      </c>
      <c r="AA179" s="165"/>
      <c r="AB179" s="116" t="str">
        <f>IF(OR($L179="X",$L179=6,$L179=7),"-",IF(AA179="","-",IF(J179="M",VLOOKUP(AA179,T100Pts!BI$5:BN$44,(L179+1)),IF(J179="F",VLOOKUP(AA179,T100Pts!BU$5:BZ$44,(L179+1)),""))))</f>
        <v>-</v>
      </c>
      <c r="AC179" s="227"/>
      <c r="AD179" s="116" t="str">
        <f>IF($L179="X","-",IF(AC179="","-",IF(J179="M",VLOOKUP(AC179,T100Pts!A$5:I$1146,(L179+1)),IF(J179="F",VLOOKUP(AC179,T100Pts!K$5:S$1146,(L179+1)),""))))</f>
        <v>-</v>
      </c>
      <c r="AE179" s="117" t="str">
        <f t="shared" si="31"/>
        <v>-</v>
      </c>
      <c r="AF179" s="114" t="str">
        <f t="shared" si="32"/>
        <v>-</v>
      </c>
      <c r="AG179" s="115" t="e">
        <f t="shared" si="33"/>
        <v>#DIV/0!</v>
      </c>
      <c r="AH179" s="114" t="str">
        <f t="shared" si="27"/>
        <v>-</v>
      </c>
      <c r="AI179" s="161"/>
      <c r="AJ179" s="77" t="str">
        <f t="shared" si="37"/>
        <v/>
      </c>
    </row>
    <row r="180" spans="1:36" ht="15.75" customHeight="1" x14ac:dyDescent="0.25">
      <c r="A180" s="138">
        <v>167</v>
      </c>
      <c r="B180" s="168"/>
      <c r="C180" s="137"/>
      <c r="D180" s="174"/>
      <c r="E180" s="175"/>
      <c r="F180" s="176"/>
      <c r="G180" s="177"/>
      <c r="H180" s="178"/>
      <c r="I180" s="154" t="str">
        <f t="shared" si="35"/>
        <v>-</v>
      </c>
      <c r="J180" s="181" t="s">
        <v>139</v>
      </c>
      <c r="K180" s="153" t="str">
        <f t="shared" si="36"/>
        <v>-</v>
      </c>
      <c r="L180" s="153" t="str">
        <f>IF(F180="","-",IF(K180&lt;&gt;"",VLOOKUP(K180,T100Pts!CH$4:CI$59,(2))))</f>
        <v>-</v>
      </c>
      <c r="M180" s="155"/>
      <c r="N180" s="153" t="str">
        <f>IF($L180="X","-",IF(M180="","-",IF(J180="M",VLOOKUP(M180,T100Pts!U$5:AC$86,(L180+1)),IF(J180="F",VLOOKUP(M180,T100Pts!AE$5:AM$86,(L180+1)),""))))</f>
        <v>-</v>
      </c>
      <c r="O180" s="155"/>
      <c r="P180" s="140" t="str">
        <f>IF($L180="X","-",IF(O180="","-",IF(J180="M",VLOOKUP(O180,T100Pts!AO$5:AW$126,(L180+1)),IF(J180="F",VLOOKUP(O180,T100Pts!AY$5:BG$126,(L180+1)),""))))</f>
        <v>-</v>
      </c>
      <c r="Q180" s="157"/>
      <c r="R180" s="140" t="str">
        <f>IF(OR($L180="X",$L180=6,$L180=7),"-",IF(Q180="","-",IF(J180="M",VLOOKUP(Q180,T100Pts!BI$5:BN$44,(L180+1)),IF(J180="F",VLOOKUP(Q180,T100Pts!BU$5:BZ$44,(L180+1)),""))))</f>
        <v>-</v>
      </c>
      <c r="S180" s="155"/>
      <c r="T180" s="140" t="str">
        <f>IF($L180="X","-",IF(S180="","-",IF(J180="M",VLOOKUP(S180,T100Pts!A$5:I$1146,(L180+1)),IF(J180="F",VLOOKUP(S180,T100Pts!K$5:S$1147,(L180+1)),""))))</f>
        <v>-</v>
      </c>
      <c r="U180" s="141" t="str">
        <f t="shared" si="29"/>
        <v>-</v>
      </c>
      <c r="V180" s="79" t="str">
        <f t="shared" si="30"/>
        <v>-</v>
      </c>
      <c r="W180" s="155"/>
      <c r="X180" s="116" t="str">
        <f>IF($L180="X","-",IF(W180="","-",IF(J180="M",VLOOKUP(W180,T100Pts!U$5:AC$86,(L180+1)),IF(J180="F",VLOOKUP(W180,T100Pts!AE$5:AM$86,(L180+1)),""))))</f>
        <v>-</v>
      </c>
      <c r="Y180" s="163"/>
      <c r="Z180" s="116" t="str">
        <f>IF($L180="X","-",IF(Y180="","-",IF(J180="M",VLOOKUP(Y180,T100Pts!AO$5:AW$126,(L180+1)),IF(J180="F",VLOOKUP(Y180,T100Pts!AY$5:BG$126,(L180+1)),""))))</f>
        <v>-</v>
      </c>
      <c r="AA180" s="165"/>
      <c r="AB180" s="116" t="str">
        <f>IF(OR($L180="X",$L180=6,$L180=7),"-",IF(AA180="","-",IF(J180="M",VLOOKUP(AA180,T100Pts!BI$5:BN$44,(L180+1)),IF(J180="F",VLOOKUP(AA180,T100Pts!BU$5:BZ$44,(L180+1)),""))))</f>
        <v>-</v>
      </c>
      <c r="AC180" s="227"/>
      <c r="AD180" s="116" t="str">
        <f>IF($L180="X","-",IF(AC180="","-",IF(J180="M",VLOOKUP(AC180,T100Pts!A$5:I$1146,(L180+1)),IF(J180="F",VLOOKUP(AC180,T100Pts!K$5:S$1146,(L180+1)),""))))</f>
        <v>-</v>
      </c>
      <c r="AE180" s="117" t="str">
        <f t="shared" si="31"/>
        <v>-</v>
      </c>
      <c r="AF180" s="114" t="str">
        <f t="shared" si="32"/>
        <v>-</v>
      </c>
      <c r="AG180" s="115" t="e">
        <f t="shared" si="33"/>
        <v>#DIV/0!</v>
      </c>
      <c r="AH180" s="114" t="str">
        <f t="shared" si="27"/>
        <v>-</v>
      </c>
      <c r="AI180" s="161"/>
      <c r="AJ180" s="77" t="str">
        <f t="shared" si="37"/>
        <v/>
      </c>
    </row>
    <row r="181" spans="1:36" ht="15.75" customHeight="1" x14ac:dyDescent="0.25">
      <c r="A181" s="138">
        <v>168</v>
      </c>
      <c r="B181" s="168"/>
      <c r="C181" s="137"/>
      <c r="D181" s="174"/>
      <c r="E181" s="175"/>
      <c r="F181" s="176"/>
      <c r="G181" s="177"/>
      <c r="H181" s="178"/>
      <c r="I181" s="154" t="str">
        <f t="shared" si="35"/>
        <v>-</v>
      </c>
      <c r="J181" s="181" t="s">
        <v>139</v>
      </c>
      <c r="K181" s="153" t="str">
        <f t="shared" si="36"/>
        <v>-</v>
      </c>
      <c r="L181" s="153" t="str">
        <f>IF(F181="","-",IF(K181&lt;&gt;"",VLOOKUP(K181,T100Pts!CH$4:CI$59,(2))))</f>
        <v>-</v>
      </c>
      <c r="M181" s="155"/>
      <c r="N181" s="153" t="str">
        <f>IF($L181="X","-",IF(M181="","-",IF(J181="M",VLOOKUP(M181,T100Pts!U$5:AC$86,(L181+1)),IF(J181="F",VLOOKUP(M181,T100Pts!AE$5:AM$86,(L181+1)),""))))</f>
        <v>-</v>
      </c>
      <c r="O181" s="155"/>
      <c r="P181" s="140" t="str">
        <f>IF($L181="X","-",IF(O181="","-",IF(J181="M",VLOOKUP(O181,T100Pts!AO$5:AW$126,(L181+1)),IF(J181="F",VLOOKUP(O181,T100Pts!AY$5:BG$126,(L181+1)),""))))</f>
        <v>-</v>
      </c>
      <c r="Q181" s="157"/>
      <c r="R181" s="140" t="str">
        <f>IF(OR($L181="X",$L181=6,$L181=7),"-",IF(Q181="","-",IF(J181="M",VLOOKUP(Q181,T100Pts!BI$5:BN$44,(L181+1)),IF(J181="F",VLOOKUP(Q181,T100Pts!BU$5:BZ$44,(L181+1)),""))))</f>
        <v>-</v>
      </c>
      <c r="S181" s="155"/>
      <c r="T181" s="140" t="str">
        <f>IF($L181="X","-",IF(S181="","-",IF(J181="M",VLOOKUP(S181,T100Pts!A$5:I$1146,(L181+1)),IF(J181="F",VLOOKUP(S181,T100Pts!K$5:S$1147,(L181+1)),""))))</f>
        <v>-</v>
      </c>
      <c r="U181" s="141" t="str">
        <f t="shared" si="29"/>
        <v>-</v>
      </c>
      <c r="V181" s="79" t="str">
        <f t="shared" si="30"/>
        <v>-</v>
      </c>
      <c r="W181" s="155"/>
      <c r="X181" s="116" t="str">
        <f>IF($L181="X","-",IF(W181="","-",IF(J181="M",VLOOKUP(W181,T100Pts!U$5:AC$86,(L181+1)),IF(J181="F",VLOOKUP(W181,T100Pts!AE$5:AM$86,(L181+1)),""))))</f>
        <v>-</v>
      </c>
      <c r="Y181" s="163"/>
      <c r="Z181" s="116" t="str">
        <f>IF($L181="X","-",IF(Y181="","-",IF(J181="M",VLOOKUP(Y181,T100Pts!AO$5:AW$126,(L181+1)),IF(J181="F",VLOOKUP(Y181,T100Pts!AY$5:BG$126,(L181+1)),""))))</f>
        <v>-</v>
      </c>
      <c r="AA181" s="165"/>
      <c r="AB181" s="116" t="str">
        <f>IF(OR($L181="X",$L181=6,$L181=7),"-",IF(AA181="","-",IF(J181="M",VLOOKUP(AA181,T100Pts!BI$5:BN$44,(L181+1)),IF(J181="F",VLOOKUP(AA181,T100Pts!BU$5:BZ$44,(L181+1)),""))))</f>
        <v>-</v>
      </c>
      <c r="AC181" s="163"/>
      <c r="AD181" s="116" t="str">
        <f>IF($L181="X","-",IF(AC181="","-",IF(J181="M",VLOOKUP(AC181,T100Pts!A$5:I$1146,(L181+1)),IF(J181="F",VLOOKUP(AC181,T100Pts!K$5:S$1146,(L181+1)),""))))</f>
        <v>-</v>
      </c>
      <c r="AE181" s="117" t="str">
        <f t="shared" si="31"/>
        <v>-</v>
      </c>
      <c r="AF181" s="114" t="str">
        <f t="shared" si="32"/>
        <v>-</v>
      </c>
      <c r="AG181" s="115" t="e">
        <f t="shared" si="33"/>
        <v>#DIV/0!</v>
      </c>
      <c r="AH181" s="114" t="str">
        <f t="shared" si="27"/>
        <v>-</v>
      </c>
      <c r="AI181" s="161"/>
      <c r="AJ181" s="77" t="str">
        <f t="shared" si="37"/>
        <v/>
      </c>
    </row>
    <row r="182" spans="1:36" ht="15.75" customHeight="1" x14ac:dyDescent="0.25">
      <c r="A182" s="138">
        <v>169</v>
      </c>
      <c r="B182" s="168"/>
      <c r="C182" s="137"/>
      <c r="D182" s="232"/>
      <c r="E182" s="175"/>
      <c r="F182" s="176"/>
      <c r="G182" s="177"/>
      <c r="H182" s="178"/>
      <c r="I182" s="154" t="str">
        <f t="shared" si="35"/>
        <v>-</v>
      </c>
      <c r="J182" s="181" t="s">
        <v>140</v>
      </c>
      <c r="K182" s="153" t="str">
        <f t="shared" si="36"/>
        <v>-</v>
      </c>
      <c r="L182" s="153" t="str">
        <f>IF(F182="","-",IF(K182&lt;&gt;"",VLOOKUP(K182,T100Pts!CH$4:CI$59,(2))))</f>
        <v>-</v>
      </c>
      <c r="M182" s="155"/>
      <c r="N182" s="153" t="str">
        <f>IF($L182="X","-",IF(M182="","-",IF(J182="M",VLOOKUP(M182,T100Pts!U$5:AC$86,(L182+1)),IF(J182="F",VLOOKUP(M182,T100Pts!AE$5:AM$86,(L182+1)),""))))</f>
        <v>-</v>
      </c>
      <c r="O182" s="155"/>
      <c r="P182" s="140" t="str">
        <f>IF($L182="X","-",IF(O182="","-",IF(J182="M",VLOOKUP(O182,T100Pts!AO$5:AW$126,(L182+1)),IF(J182="F",VLOOKUP(O182,T100Pts!AY$5:BG$126,(L182+1)),""))))</f>
        <v>-</v>
      </c>
      <c r="Q182" s="157"/>
      <c r="R182" s="140" t="str">
        <f>IF(OR($L182="X",$L182=6,$L182=7),"-",IF(Q182="","-",IF(J182="M",VLOOKUP(Q182,T100Pts!BI$5:BN$44,(L182+1)),IF(J182="F",VLOOKUP(Q182,T100Pts!BU$5:BZ$44,(L182+1)),""))))</f>
        <v>-</v>
      </c>
      <c r="S182" s="155"/>
      <c r="T182" s="140" t="str">
        <f>IF($L182="X","-",IF(S182="","-",IF(J182="M",VLOOKUP(S182,T100Pts!A$5:I$1146,(L182+1)),IF(J182="F",VLOOKUP(S182,T100Pts!K$5:S$1147,(L182+1)),""))))</f>
        <v>-</v>
      </c>
      <c r="U182" s="141" t="str">
        <f t="shared" si="29"/>
        <v>-</v>
      </c>
      <c r="V182" s="79" t="str">
        <f t="shared" si="30"/>
        <v>-</v>
      </c>
      <c r="W182" s="155"/>
      <c r="X182" s="116" t="str">
        <f>IF($L182="X","-",IF(W182="","-",IF(J182="M",VLOOKUP(W182,T100Pts!U$5:AC$86,(L182+1)),IF(J182="F",VLOOKUP(W182,T100Pts!AE$5:AM$86,(L182+1)),""))))</f>
        <v>-</v>
      </c>
      <c r="Y182" s="163"/>
      <c r="Z182" s="116" t="str">
        <f>IF($L182="X","-",IF(Y182="","-",IF(J182="M",VLOOKUP(Y182,T100Pts!AO$5:AW$126,(L182+1)),IF(J182="F",VLOOKUP(Y182,T100Pts!AY$5:BG$126,(L182+1)),""))))</f>
        <v>-</v>
      </c>
      <c r="AA182" s="165"/>
      <c r="AB182" s="116" t="str">
        <f>IF(OR($L182="X",$L182=6,$L182=7),"-",IF(AA182="","-",IF(J182="M",VLOOKUP(AA182,T100Pts!BI$5:BN$44,(L182+1)),IF(J182="F",VLOOKUP(AA182,T100Pts!BU$5:BZ$44,(L182+1)),""))))</f>
        <v>-</v>
      </c>
      <c r="AC182" s="163"/>
      <c r="AD182" s="116" t="str">
        <f>IF($L182="X","-",IF(AC182="","-",IF(J182="M",VLOOKUP(AC182,T100Pts!A$5:I$1146,(L182+1)),IF(J182="F",VLOOKUP(AC182,T100Pts!K$5:S$1146,(L182+1)),""))))</f>
        <v>-</v>
      </c>
      <c r="AE182" s="117" t="str">
        <f t="shared" si="31"/>
        <v>-</v>
      </c>
      <c r="AF182" s="114" t="str">
        <f t="shared" si="32"/>
        <v>-</v>
      </c>
      <c r="AG182" s="115" t="e">
        <f t="shared" si="33"/>
        <v>#DIV/0!</v>
      </c>
      <c r="AH182" s="114" t="str">
        <f t="shared" si="27"/>
        <v>-</v>
      </c>
      <c r="AI182" s="161"/>
      <c r="AJ182" s="77" t="str">
        <f t="shared" si="37"/>
        <v/>
      </c>
    </row>
    <row r="183" spans="1:36" ht="15.75" customHeight="1" x14ac:dyDescent="0.25">
      <c r="A183" s="138">
        <v>170</v>
      </c>
      <c r="B183" s="168"/>
      <c r="C183" s="137"/>
      <c r="D183" s="174"/>
      <c r="E183" s="175"/>
      <c r="F183" s="176"/>
      <c r="G183" s="177"/>
      <c r="H183" s="178"/>
      <c r="I183" s="154" t="str">
        <f t="shared" ref="I183:I189" si="38">IF(OR(G183="",H183=""),"-",ROUND(G183/(H183^2),0))</f>
        <v>-</v>
      </c>
      <c r="J183" s="181" t="s">
        <v>139</v>
      </c>
      <c r="K183" s="153" t="str">
        <f t="shared" ref="K183:K189" si="39">IF(F183&gt;0,DATEDIF(F183,$L$1,"Y"),"-")</f>
        <v>-</v>
      </c>
      <c r="L183" s="153" t="str">
        <f>IF(F183="","-",IF(K183&lt;&gt;"",VLOOKUP(K183,T100Pts!CH$4:CI$59,(2))))</f>
        <v>-</v>
      </c>
      <c r="M183" s="155"/>
      <c r="N183" s="153" t="str">
        <f>IF($L183="X","-",IF(M183="","-",IF(J183="M",VLOOKUP(M183,T100Pts!U$5:AC$86,(L183+1)),IF(J183="F",VLOOKUP(M183,T100Pts!AE$5:AM$86,(L183+1)),""))))</f>
        <v>-</v>
      </c>
      <c r="O183" s="155"/>
      <c r="P183" s="140" t="str">
        <f>IF($L183="X","-",IF(O183="","-",IF(J183="M",VLOOKUP(O183,T100Pts!AO$5:AW$126,(L183+1)),IF(J183="F",VLOOKUP(O183,T100Pts!AY$5:BG$126,(L183+1)),""))))</f>
        <v>-</v>
      </c>
      <c r="Q183" s="157"/>
      <c r="R183" s="140" t="str">
        <f>IF(OR($L183="X",$L183=6,$L183=7),"-",IF(Q183="","-",IF(J183="M",VLOOKUP(Q183,T100Pts!BI$5:BN$44,(L183+1)),IF(J183="F",VLOOKUP(Q183,T100Pts!BU$5:BZ$44,(L183+1)),""))))</f>
        <v>-</v>
      </c>
      <c r="S183" s="155"/>
      <c r="T183" s="140" t="str">
        <f>IF($L183="X","-",IF(S183="","-",IF(J183="M",VLOOKUP(S183,T100Pts!A$5:I$1146,(L183+1)),IF(J183="F",VLOOKUP(S183,T100Pts!K$5:S$1147,(L183+1)),""))))</f>
        <v>-</v>
      </c>
      <c r="U183" s="141" t="str">
        <f t="shared" si="29"/>
        <v>-</v>
      </c>
      <c r="V183" s="79" t="str">
        <f t="shared" si="30"/>
        <v>-</v>
      </c>
      <c r="W183" s="155"/>
      <c r="X183" s="116" t="str">
        <f>IF($L183="X","-",IF(W183="","-",IF(J183="M",VLOOKUP(W183,T100Pts!U$5:AC$86,(L183+1)),IF(J183="F",VLOOKUP(W183,T100Pts!AE$5:AM$86,(L183+1)),""))))</f>
        <v>-</v>
      </c>
      <c r="Y183" s="163"/>
      <c r="Z183" s="116" t="str">
        <f>IF($L183="X","-",IF(Y183="","-",IF(J183="M",VLOOKUP(Y183,T100Pts!AO$5:AW$126,(L183+1)),IF(J183="F",VLOOKUP(Y183,T100Pts!AY$5:BG$126,(L183+1)),""))))</f>
        <v>-</v>
      </c>
      <c r="AA183" s="165"/>
      <c r="AB183" s="116" t="str">
        <f>IF(OR($L183="X",$L183=6,$L183=7),"-",IF(AA183="","-",IF(J183="M",VLOOKUP(AA183,T100Pts!BI$5:BN$44,(L183+1)),IF(J183="F",VLOOKUP(AA183,T100Pts!BU$5:BZ$44,(L183+1)),""))))</f>
        <v>-</v>
      </c>
      <c r="AC183" s="228"/>
      <c r="AD183" s="116" t="str">
        <f>IF($L183="X","-",IF(AC183="","-",IF(J183="M",VLOOKUP(AC183,T100Pts!A$5:I$1146,(L183+1)),IF(J183="F",VLOOKUP(AC183,T100Pts!K$5:S$1146,(L183+1)),""))))</f>
        <v>-</v>
      </c>
      <c r="AE183" s="117" t="str">
        <f t="shared" si="31"/>
        <v>-</v>
      </c>
      <c r="AF183" s="114" t="str">
        <f t="shared" si="32"/>
        <v>-</v>
      </c>
      <c r="AG183" s="115" t="e">
        <f t="shared" si="33"/>
        <v>#DIV/0!</v>
      </c>
      <c r="AH183" s="114" t="str">
        <f t="shared" si="27"/>
        <v>-</v>
      </c>
      <c r="AI183" s="161"/>
      <c r="AJ183" s="77" t="str">
        <f t="shared" si="37"/>
        <v/>
      </c>
    </row>
    <row r="184" spans="1:36" ht="15.75" customHeight="1" x14ac:dyDescent="0.25">
      <c r="A184" s="138">
        <v>171</v>
      </c>
      <c r="B184" s="168"/>
      <c r="C184" s="137"/>
      <c r="D184" s="174"/>
      <c r="E184" s="175"/>
      <c r="F184" s="176"/>
      <c r="G184" s="177"/>
      <c r="H184" s="178"/>
      <c r="I184" s="154" t="str">
        <f t="shared" si="38"/>
        <v>-</v>
      </c>
      <c r="J184" s="181" t="s">
        <v>139</v>
      </c>
      <c r="K184" s="153" t="str">
        <f t="shared" si="39"/>
        <v>-</v>
      </c>
      <c r="L184" s="153" t="str">
        <f>IF(F184="","-",IF(K184&lt;&gt;"",VLOOKUP(K184,T100Pts!CH$4:CI$59,(2))))</f>
        <v>-</v>
      </c>
      <c r="M184" s="155"/>
      <c r="N184" s="153" t="str">
        <f>IF($L184="X","-",IF(M184="","-",IF(J184="M",VLOOKUP(M184,T100Pts!U$5:AC$86,(L184+1)),IF(J184="F",VLOOKUP(M184,T100Pts!AE$5:AM$86,(L184+1)),""))))</f>
        <v>-</v>
      </c>
      <c r="O184" s="155"/>
      <c r="P184" s="140" t="str">
        <f>IF($L184="X","-",IF(O184="","-",IF(J184="M",VLOOKUP(O184,T100Pts!AO$5:AW$126,(L184+1)),IF(J184="F",VLOOKUP(O184,T100Pts!AY$5:BG$126,(L184+1)),""))))</f>
        <v>-</v>
      </c>
      <c r="Q184" s="157"/>
      <c r="R184" s="140" t="str">
        <f>IF(OR($L184="X",$L184=6,$L184=7),"-",IF(Q184="","-",IF(J184="M",VLOOKUP(Q184,T100Pts!BI$5:BN$44,(L184+1)),IF(J184="F",VLOOKUP(Q184,T100Pts!BU$5:BZ$44,(L184+1)),""))))</f>
        <v>-</v>
      </c>
      <c r="S184" s="155"/>
      <c r="T184" s="140" t="str">
        <f>IF($L184="X","-",IF(S184="","-",IF(J184="M",VLOOKUP(S184,T100Pts!A$5:I$1146,(L184+1)),IF(J184="F",VLOOKUP(S184,T100Pts!K$5:S$1147,(L184+1)),""))))</f>
        <v>-</v>
      </c>
      <c r="U184" s="141" t="str">
        <f t="shared" si="29"/>
        <v>-</v>
      </c>
      <c r="V184" s="79" t="str">
        <f t="shared" si="30"/>
        <v>-</v>
      </c>
      <c r="W184" s="155"/>
      <c r="X184" s="116" t="str">
        <f>IF($L184="X","-",IF(W184="","-",IF(J184="M",VLOOKUP(W184,T100Pts!U$5:AC$86,(L184+1)),IF(J184="F",VLOOKUP(W184,T100Pts!AE$5:AM$86,(L184+1)),""))))</f>
        <v>-</v>
      </c>
      <c r="Y184" s="163"/>
      <c r="Z184" s="116" t="str">
        <f>IF($L184="X","-",IF(Y184="","-",IF(J184="M",VLOOKUP(Y184,T100Pts!AO$5:AW$126,(L184+1)),IF(J184="F",VLOOKUP(Y184,T100Pts!AY$5:BG$126,(L184+1)),""))))</f>
        <v>-</v>
      </c>
      <c r="AA184" s="165"/>
      <c r="AB184" s="116" t="str">
        <f>IF(OR($L184="X",$L184=6,$L184=7),"-",IF(AA184="","-",IF(J184="M",VLOOKUP(AA184,T100Pts!BI$5:BN$44,(L184+1)),IF(J184="F",VLOOKUP(AA184,T100Pts!BU$5:BZ$44,(L184+1)),""))))</f>
        <v>-</v>
      </c>
      <c r="AC184" s="163"/>
      <c r="AD184" s="116" t="str">
        <f>IF($L184="X","-",IF(AC184="","-",IF(J184="M",VLOOKUP(AC184,T100Pts!A$5:I$1146,(L184+1)),IF(J184="F",VLOOKUP(AC184,T100Pts!K$5:S$1146,(L184+1)),""))))</f>
        <v>-</v>
      </c>
      <c r="AE184" s="117" t="str">
        <f t="shared" si="31"/>
        <v>-</v>
      </c>
      <c r="AF184" s="114" t="str">
        <f t="shared" si="32"/>
        <v>-</v>
      </c>
      <c r="AG184" s="115" t="e">
        <f t="shared" si="33"/>
        <v>#DIV/0!</v>
      </c>
      <c r="AH184" s="114" t="str">
        <f t="shared" si="27"/>
        <v>-</v>
      </c>
      <c r="AI184" s="161" t="s">
        <v>224</v>
      </c>
      <c r="AJ184" s="77" t="str">
        <f t="shared" si="37"/>
        <v/>
      </c>
    </row>
    <row r="185" spans="1:36" ht="15.75" customHeight="1" x14ac:dyDescent="0.25">
      <c r="A185" s="138">
        <v>172</v>
      </c>
      <c r="B185" s="168"/>
      <c r="C185" s="137"/>
      <c r="D185" s="174"/>
      <c r="E185" s="175"/>
      <c r="F185" s="176"/>
      <c r="G185" s="177"/>
      <c r="H185" s="178"/>
      <c r="I185" s="154" t="str">
        <f t="shared" si="38"/>
        <v>-</v>
      </c>
      <c r="J185" s="181" t="s">
        <v>139</v>
      </c>
      <c r="K185" s="153" t="str">
        <f t="shared" si="39"/>
        <v>-</v>
      </c>
      <c r="L185" s="153" t="str">
        <f>IF(F185="","-",IF(K185&lt;&gt;"",VLOOKUP(K185,T100Pts!CH$4:CI$59,(2))))</f>
        <v>-</v>
      </c>
      <c r="M185" s="155"/>
      <c r="N185" s="153" t="str">
        <f>IF($L185="X","-",IF(M185="","-",IF(J185="M",VLOOKUP(M185,T100Pts!U$5:AC$86,(L185+1)),IF(J185="F",VLOOKUP(M185,T100Pts!AE$5:AM$86,(L185+1)),""))))</f>
        <v>-</v>
      </c>
      <c r="O185" s="155"/>
      <c r="P185" s="140" t="str">
        <f>IF($L185="X","-",IF(O185="","-",IF(J185="M",VLOOKUP(O185,T100Pts!AO$5:AW$126,(L185+1)),IF(J185="F",VLOOKUP(O185,T100Pts!AY$5:BG$126,(L185+1)),""))))</f>
        <v>-</v>
      </c>
      <c r="Q185" s="157"/>
      <c r="R185" s="140" t="str">
        <f>IF(OR($L185="X",$L185=6,$L185=7),"-",IF(Q185="","-",IF(J185="M",VLOOKUP(Q185,T100Pts!BI$5:BN$44,(L185+1)),IF(J185="F",VLOOKUP(Q185,T100Pts!BU$5:BZ$44,(L185+1)),""))))</f>
        <v>-</v>
      </c>
      <c r="S185" s="155"/>
      <c r="T185" s="140" t="str">
        <f>IF($L185="X","-",IF(S185="","-",IF(J185="M",VLOOKUP(S185,T100Pts!A$5:I$1146,(L185+1)),IF(J185="F",VLOOKUP(S185,T100Pts!K$5:S$1147,(L185+1)),""))))</f>
        <v>-</v>
      </c>
      <c r="U185" s="141" t="str">
        <f t="shared" si="29"/>
        <v>-</v>
      </c>
      <c r="V185" s="79" t="str">
        <f t="shared" si="30"/>
        <v>-</v>
      </c>
      <c r="W185" s="155"/>
      <c r="X185" s="116" t="str">
        <f>IF($L185="X","-",IF(W185="","-",IF(J185="M",VLOOKUP(W185,T100Pts!U$5:AC$86,(L185+1)),IF(J185="F",VLOOKUP(W185,T100Pts!AE$5:AM$86,(L185+1)),""))))</f>
        <v>-</v>
      </c>
      <c r="Y185" s="155"/>
      <c r="Z185" s="116" t="str">
        <f>IF($L185="X","-",IF(Y185="","-",IF(J185="M",VLOOKUP(Y185,T100Pts!AO$5:AW$126,(L185+1)),IF(J185="F",VLOOKUP(Y185,T100Pts!AY$5:BG$126,(L185+1)),""))))</f>
        <v>-</v>
      </c>
      <c r="AA185" s="157"/>
      <c r="AB185" s="116" t="str">
        <f>IF(OR($L185="X",$L185=6,$L185=7),"-",IF(AA185="","-",IF(J185="M",VLOOKUP(AA185,T100Pts!BI$5:BN$44,(L185+1)),IF(J185="F",VLOOKUP(AA185,T100Pts!BU$5:BZ$44,(L185+1)),""))))</f>
        <v>-</v>
      </c>
      <c r="AC185" s="155"/>
      <c r="AD185" s="116" t="str">
        <f>IF($L185="X","-",IF(AC185="","-",IF(J185="M",VLOOKUP(AC185,T100Pts!A$5:I$1146,(L185+1)),IF(J185="F",VLOOKUP(AC185,T100Pts!K$5:S$1146,(L185+1)),""))))</f>
        <v>-</v>
      </c>
      <c r="AE185" s="117" t="str">
        <f t="shared" si="31"/>
        <v>-</v>
      </c>
      <c r="AF185" s="114" t="str">
        <f t="shared" si="32"/>
        <v>-</v>
      </c>
      <c r="AG185" s="115" t="e">
        <f t="shared" si="33"/>
        <v>#DIV/0!</v>
      </c>
      <c r="AH185" s="114" t="str">
        <f t="shared" si="27"/>
        <v>-</v>
      </c>
      <c r="AI185" s="161"/>
      <c r="AJ185" s="77" t="str">
        <f t="shared" si="37"/>
        <v/>
      </c>
    </row>
    <row r="186" spans="1:36" ht="15.75" customHeight="1" x14ac:dyDescent="0.25">
      <c r="A186" s="138">
        <v>173</v>
      </c>
      <c r="B186" s="168"/>
      <c r="C186" s="137"/>
      <c r="D186" s="174"/>
      <c r="E186" s="175"/>
      <c r="F186" s="176"/>
      <c r="G186" s="177"/>
      <c r="H186" s="178"/>
      <c r="I186" s="154" t="str">
        <f t="shared" si="38"/>
        <v>-</v>
      </c>
      <c r="J186" s="181" t="s">
        <v>139</v>
      </c>
      <c r="K186" s="153" t="str">
        <f t="shared" si="39"/>
        <v>-</v>
      </c>
      <c r="L186" s="153" t="str">
        <f>IF(F186="","-",IF(K186&lt;&gt;"",VLOOKUP(K186,T100Pts!CH$4:CI$59,(2))))</f>
        <v>-</v>
      </c>
      <c r="M186" s="155"/>
      <c r="N186" s="153" t="str">
        <f>IF($L186="X","-",IF(M186="","-",IF(J186="M",VLOOKUP(M186,T100Pts!U$5:AC$86,(L186+1)),IF(J186="F",VLOOKUP(M186,T100Pts!AE$5:AM$86,(L186+1)),""))))</f>
        <v>-</v>
      </c>
      <c r="O186" s="155"/>
      <c r="P186" s="140" t="str">
        <f>IF($L186="X","-",IF(O186="","-",IF(J186="M",VLOOKUP(O186,T100Pts!AO$5:AW$126,(L186+1)),IF(J186="F",VLOOKUP(O186,T100Pts!AY$5:BG$126,(L186+1)),""))))</f>
        <v>-</v>
      </c>
      <c r="Q186" s="157"/>
      <c r="R186" s="140" t="str">
        <f>IF(OR($L186="X",$L186=6,$L186=7),"-",IF(Q186="","-",IF(J186="M",VLOOKUP(Q186,T100Pts!BI$5:BN$44,(L186+1)),IF(J186="F",VLOOKUP(Q186,T100Pts!BU$5:BZ$44,(L186+1)),""))))</f>
        <v>-</v>
      </c>
      <c r="S186" s="155"/>
      <c r="T186" s="140" t="str">
        <f>IF($L186="X","-",IF(S186="","-",IF(J186="M",VLOOKUP(S186,T100Pts!A$5:I$1146,(L186+1)),IF(J186="F",VLOOKUP(S186,T100Pts!K$5:S$1147,(L186+1)),""))))</f>
        <v>-</v>
      </c>
      <c r="U186" s="141" t="str">
        <f t="shared" si="29"/>
        <v>-</v>
      </c>
      <c r="V186" s="79" t="str">
        <f t="shared" si="30"/>
        <v>-</v>
      </c>
      <c r="W186" s="155"/>
      <c r="X186" s="116" t="str">
        <f>IF($L186="X","-",IF(W186="","-",IF(J186="M",VLOOKUP(W186,T100Pts!U$5:AC$86,(L186+1)),IF(J186="F",VLOOKUP(W186,T100Pts!AE$5:AM$86,(L186+1)),""))))</f>
        <v>-</v>
      </c>
      <c r="Y186" s="163"/>
      <c r="Z186" s="116" t="str">
        <f>IF($L186="X","-",IF(Y186="","-",IF(J186="M",VLOOKUP(Y186,T100Pts!AO$5:AW$126,(L186+1)),IF(J186="F",VLOOKUP(Y186,T100Pts!AY$5:BG$126,(L186+1)),""))))</f>
        <v>-</v>
      </c>
      <c r="AA186" s="165"/>
      <c r="AB186" s="116" t="str">
        <f>IF(OR($L186="X",$L186=6,$L186=7),"-",IF(AA186="","-",IF(J186="M",VLOOKUP(AA186,T100Pts!BI$5:BN$44,(L186+1)),IF(J186="F",VLOOKUP(AA186,T100Pts!BU$5:BZ$44,(L186+1)),""))))</f>
        <v>-</v>
      </c>
      <c r="AC186" s="227"/>
      <c r="AD186" s="116" t="str">
        <f>IF($L186="X","-",IF(AC186="","-",IF(J186="M",VLOOKUP(AC186,T100Pts!A$5:I$1146,(L186+1)),IF(J186="F",VLOOKUP(AC186,T100Pts!K$5:S$1146,(L186+1)),""))))</f>
        <v>-</v>
      </c>
      <c r="AE186" s="117" t="str">
        <f t="shared" si="31"/>
        <v>-</v>
      </c>
      <c r="AF186" s="114" t="str">
        <f t="shared" si="32"/>
        <v>-</v>
      </c>
      <c r="AG186" s="115" t="e">
        <f t="shared" si="33"/>
        <v>#DIV/0!</v>
      </c>
      <c r="AH186" s="114" t="str">
        <f t="shared" si="27"/>
        <v>-</v>
      </c>
      <c r="AI186" s="161"/>
      <c r="AJ186" s="77" t="str">
        <f t="shared" si="37"/>
        <v/>
      </c>
    </row>
    <row r="187" spans="1:36" ht="15.75" customHeight="1" x14ac:dyDescent="0.25">
      <c r="A187" s="138">
        <v>174</v>
      </c>
      <c r="B187" s="168"/>
      <c r="C187" s="137"/>
      <c r="D187" s="174"/>
      <c r="E187" s="175"/>
      <c r="F187" s="176"/>
      <c r="G187" s="177"/>
      <c r="H187" s="178"/>
      <c r="I187" s="154" t="str">
        <f t="shared" si="38"/>
        <v>-</v>
      </c>
      <c r="J187" s="181" t="s">
        <v>140</v>
      </c>
      <c r="K187" s="153" t="str">
        <f t="shared" si="39"/>
        <v>-</v>
      </c>
      <c r="L187" s="153" t="str">
        <f>IF(F187="","-",IF(K187&lt;&gt;"",VLOOKUP(K187,T100Pts!CH$4:CI$59,(2))))</f>
        <v>-</v>
      </c>
      <c r="M187" s="155"/>
      <c r="N187" s="153" t="str">
        <f>IF($L187="X","-",IF(M187="","-",IF(J187="M",VLOOKUP(M187,T100Pts!U$5:AC$86,(L187+1)),IF(J187="F",VLOOKUP(M187,T100Pts!AE$5:AM$86,(L187+1)),""))))</f>
        <v>-</v>
      </c>
      <c r="O187" s="155"/>
      <c r="P187" s="140" t="str">
        <f>IF($L187="X","-",IF(O187="","-",IF(J187="M",VLOOKUP(O187,T100Pts!AO$5:AW$126,(L187+1)),IF(J187="F",VLOOKUP(O187,T100Pts!AY$5:BG$126,(L187+1)),""))))</f>
        <v>-</v>
      </c>
      <c r="Q187" s="157"/>
      <c r="R187" s="140" t="str">
        <f>IF(OR($L187="X",$L187=6,$L187=7),"-",IF(Q187="","-",IF(J187="M",VLOOKUP(Q187,T100Pts!BI$5:BN$44,(L187+1)),IF(J187="F",VLOOKUP(Q187,T100Pts!BU$5:BZ$44,(L187+1)),""))))</f>
        <v>-</v>
      </c>
      <c r="S187" s="155"/>
      <c r="T187" s="140" t="str">
        <f>IF($L187="X","-",IF(S187="","-",IF(J187="M",VLOOKUP(S187,T100Pts!A$5:I$1146,(L187+1)),IF(J187="F",VLOOKUP(S187,T100Pts!K$5:S$1147,(L187+1)),""))))</f>
        <v>-</v>
      </c>
      <c r="U187" s="141" t="str">
        <f t="shared" si="29"/>
        <v>-</v>
      </c>
      <c r="V187" s="79" t="str">
        <f t="shared" si="30"/>
        <v>-</v>
      </c>
      <c r="W187" s="155"/>
      <c r="X187" s="116" t="str">
        <f>IF($L187="X","-",IF(W187="","-",IF(J187="M",VLOOKUP(W187,T100Pts!U$5:AC$86,(L187+1)),IF(J187="F",VLOOKUP(W187,T100Pts!AE$5:AM$86,(L187+1)),""))))</f>
        <v>-</v>
      </c>
      <c r="Y187" s="163"/>
      <c r="Z187" s="116" t="str">
        <f>IF($L187="X","-",IF(Y187="","-",IF(J187="M",VLOOKUP(Y187,T100Pts!AO$5:AW$126,(L187+1)),IF(J187="F",VLOOKUP(Y187,T100Pts!AY$5:BG$126,(L187+1)),""))))</f>
        <v>-</v>
      </c>
      <c r="AA187" s="165"/>
      <c r="AB187" s="116" t="str">
        <f>IF(OR($L187="X",$L187=6,$L187=7),"-",IF(AA187="","-",IF(J187="M",VLOOKUP(AA187,T100Pts!BI$5:BN$44,(L187+1)),IF(J187="F",VLOOKUP(AA187,T100Pts!BU$5:BZ$44,(L187+1)),""))))</f>
        <v>-</v>
      </c>
      <c r="AC187" s="163"/>
      <c r="AD187" s="116" t="str">
        <f>IF($L187="X","-",IF(AC187="","-",IF(J187="M",VLOOKUP(AC187,T100Pts!A$5:I$1146,(L187+1)),IF(J187="F",VLOOKUP(AC187,T100Pts!K$5:S$1146,(L187+1)),""))))</f>
        <v>-</v>
      </c>
      <c r="AE187" s="117" t="str">
        <f t="shared" si="31"/>
        <v>-</v>
      </c>
      <c r="AF187" s="114" t="str">
        <f t="shared" si="32"/>
        <v>-</v>
      </c>
      <c r="AG187" s="115" t="e">
        <f t="shared" si="33"/>
        <v>#DIV/0!</v>
      </c>
      <c r="AH187" s="114" t="str">
        <f t="shared" si="27"/>
        <v>-</v>
      </c>
      <c r="AI187" s="161" t="s">
        <v>190</v>
      </c>
      <c r="AJ187" s="77" t="str">
        <f t="shared" si="37"/>
        <v/>
      </c>
    </row>
    <row r="188" spans="1:36" ht="15.75" customHeight="1" x14ac:dyDescent="0.25">
      <c r="A188" s="138">
        <v>175</v>
      </c>
      <c r="B188" s="168"/>
      <c r="C188" s="137"/>
      <c r="D188" s="174"/>
      <c r="E188" s="175"/>
      <c r="F188" s="176"/>
      <c r="G188" s="177"/>
      <c r="H188" s="178"/>
      <c r="I188" s="154" t="str">
        <f t="shared" si="38"/>
        <v>-</v>
      </c>
      <c r="J188" s="181" t="s">
        <v>140</v>
      </c>
      <c r="K188" s="153" t="str">
        <f t="shared" si="39"/>
        <v>-</v>
      </c>
      <c r="L188" s="153" t="str">
        <f>IF(F188="","-",IF(K188&lt;&gt;"",VLOOKUP(K188,T100Pts!CH$4:CI$59,(2))))</f>
        <v>-</v>
      </c>
      <c r="M188" s="155"/>
      <c r="N188" s="153" t="str">
        <f>IF($L188="X","-",IF(M188="","-",IF(J188="M",VLOOKUP(M188,T100Pts!U$5:AC$86,(L188+1)),IF(J188="F",VLOOKUP(M188,T100Pts!AE$5:AM$86,(L188+1)),""))))</f>
        <v>-</v>
      </c>
      <c r="O188" s="155"/>
      <c r="P188" s="140" t="str">
        <f>IF($L188="X","-",IF(O188="","-",IF(J188="M",VLOOKUP(O188,T100Pts!AO$5:AW$126,(L188+1)),IF(J188="F",VLOOKUP(O188,T100Pts!AY$5:BG$126,(L188+1)),""))))</f>
        <v>-</v>
      </c>
      <c r="Q188" s="157"/>
      <c r="R188" s="140" t="str">
        <f>IF(OR($L188="X",$L188=6,$L188=7),"-",IF(Q188="","-",IF(J188="M",VLOOKUP(Q188,T100Pts!BI$5:BN$44,(L188+1)),IF(J188="F",VLOOKUP(Q188,T100Pts!BU$5:BZ$44,(L188+1)),""))))</f>
        <v>-</v>
      </c>
      <c r="S188" s="155"/>
      <c r="T188" s="140" t="str">
        <f>IF($L188="X","-",IF(S188="","-",IF(J188="M",VLOOKUP(S188,T100Pts!A$5:I$1146,(L188+1)),IF(J188="F",VLOOKUP(S188,T100Pts!K$5:S$1147,(L188+1)),""))))</f>
        <v>-</v>
      </c>
      <c r="U188" s="141" t="str">
        <f t="shared" si="29"/>
        <v>-</v>
      </c>
      <c r="V188" s="79" t="str">
        <f t="shared" si="30"/>
        <v>-</v>
      </c>
      <c r="W188" s="155"/>
      <c r="X188" s="116" t="str">
        <f>IF($L188="X","-",IF(W188="","-",IF(J188="M",VLOOKUP(W188,T100Pts!U$5:AC$86,(L188+1)),IF(J188="F",VLOOKUP(W188,T100Pts!AE$5:AM$86,(L188+1)),""))))</f>
        <v>-</v>
      </c>
      <c r="Y188" s="163"/>
      <c r="Z188" s="116" t="str">
        <f>IF($L188="X","-",IF(Y188="","-",IF(J188="M",VLOOKUP(Y188,T100Pts!AO$5:AW$126,(L188+1)),IF(J188="F",VLOOKUP(Y188,T100Pts!AY$5:BG$126,(L188+1)),""))))</f>
        <v>-</v>
      </c>
      <c r="AA188" s="165"/>
      <c r="AB188" s="116" t="str">
        <f>IF(OR($L188="X",$L188=6,$L188=7),"-",IF(AA188="","-",IF(J188="M",VLOOKUP(AA188,T100Pts!BI$5:BN$44,(L188+1)),IF(J188="F",VLOOKUP(AA188,T100Pts!BU$5:BZ$44,(L188+1)),""))))</f>
        <v>-</v>
      </c>
      <c r="AC188" s="227"/>
      <c r="AD188" s="116" t="str">
        <f>IF($L188="X","-",IF(AC188="","-",IF(J188="M",VLOOKUP(AC188,T100Pts!A$5:I$1146,(L188+1)),IF(J188="F",VLOOKUP(AC188,T100Pts!K$5:S$1146,(L188+1)),""))))</f>
        <v>-</v>
      </c>
      <c r="AE188" s="117" t="str">
        <f t="shared" si="31"/>
        <v>-</v>
      </c>
      <c r="AF188" s="114" t="str">
        <f t="shared" si="32"/>
        <v>-</v>
      </c>
      <c r="AG188" s="115" t="e">
        <f t="shared" si="33"/>
        <v>#DIV/0!</v>
      </c>
      <c r="AH188" s="114" t="str">
        <f t="shared" si="27"/>
        <v>-</v>
      </c>
      <c r="AI188" s="161"/>
      <c r="AJ188" s="77" t="str">
        <f t="shared" si="37"/>
        <v/>
      </c>
    </row>
    <row r="189" spans="1:36" ht="15.75" customHeight="1" x14ac:dyDescent="0.25">
      <c r="A189" s="138">
        <v>176</v>
      </c>
      <c r="B189" s="168"/>
      <c r="C189" s="137"/>
      <c r="D189" s="174"/>
      <c r="E189" s="206"/>
      <c r="F189" s="176"/>
      <c r="G189" s="177"/>
      <c r="H189" s="178"/>
      <c r="I189" s="154" t="str">
        <f t="shared" si="38"/>
        <v>-</v>
      </c>
      <c r="J189" s="181" t="s">
        <v>139</v>
      </c>
      <c r="K189" s="153" t="str">
        <f t="shared" si="39"/>
        <v>-</v>
      </c>
      <c r="L189" s="153" t="str">
        <f>IF(F189="","-",IF(K189&lt;&gt;"",VLOOKUP(K189,T100Pts!CH$4:CI$59,(2))))</f>
        <v>-</v>
      </c>
      <c r="M189" s="155"/>
      <c r="N189" s="153" t="str">
        <f>IF($L189="X","-",IF(M189="","-",IF(J189="M",VLOOKUP(M189,T100Pts!U$5:AC$86,(L189+1)),IF(J189="F",VLOOKUP(M189,T100Pts!AE$5:AM$86,(L189+1)),""))))</f>
        <v>-</v>
      </c>
      <c r="O189" s="155"/>
      <c r="P189" s="140" t="str">
        <f>IF($L189="X","-",IF(O189="","-",IF(J189="M",VLOOKUP(O189,T100Pts!AO$5:AW$126,(L189+1)),IF(J189="F",VLOOKUP(O189,T100Pts!AY$5:BG$126,(L189+1)),""))))</f>
        <v>-</v>
      </c>
      <c r="Q189" s="157"/>
      <c r="R189" s="140" t="str">
        <f>IF(OR($L189="X",$L189=6,$L189=7),"-",IF(Q189="","-",IF(J189="M",VLOOKUP(Q189,T100Pts!BI$5:BN$44,(L189+1)),IF(J189="F",VLOOKUP(Q189,T100Pts!BU$5:BZ$44,(L189+1)),""))))</f>
        <v>-</v>
      </c>
      <c r="S189" s="155"/>
      <c r="T189" s="140" t="str">
        <f>IF($L189="X","-",IF(S189="","-",IF(J189="M",VLOOKUP(S189,T100Pts!A$5:I$1146,(L189+1)),IF(J189="F",VLOOKUP(S189,T100Pts!K$5:S$1147,(L189+1)),""))))</f>
        <v>-</v>
      </c>
      <c r="U189" s="141" t="str">
        <f t="shared" si="29"/>
        <v>-</v>
      </c>
      <c r="V189" s="79" t="str">
        <f t="shared" si="30"/>
        <v>-</v>
      </c>
      <c r="W189" s="155"/>
      <c r="X189" s="116" t="str">
        <f>IF($L189="X","-",IF(W189="","-",IF(J189="M",VLOOKUP(W189,T100Pts!U$5:AC$86,(L189+1)),IF(J189="F",VLOOKUP(W189,T100Pts!AE$5:AM$86,(L189+1)),""))))</f>
        <v>-</v>
      </c>
      <c r="Y189" s="163"/>
      <c r="Z189" s="116" t="str">
        <f>IF($L189="X","-",IF(Y189="","-",IF(J189="M",VLOOKUP(Y189,T100Pts!AO$5:AW$126,(L189+1)),IF(J189="F",VLOOKUP(Y189,T100Pts!AY$5:BG$126,(L189+1)),""))))</f>
        <v>-</v>
      </c>
      <c r="AA189" s="165"/>
      <c r="AB189" s="116" t="str">
        <f>IF(OR($L189="X",$L189=6,$L189=7),"-",IF(AA189="","-",IF(J189="M",VLOOKUP(AA189,T100Pts!BI$5:BN$44,(L189+1)),IF(J189="F",VLOOKUP(AA189,T100Pts!BU$5:BZ$44,(L189+1)),""))))</f>
        <v>-</v>
      </c>
      <c r="AC189" s="227"/>
      <c r="AD189" s="116" t="str">
        <f>IF($L189="X","-",IF(AC189="","-",IF(J189="M",VLOOKUP(AC189,T100Pts!A$5:I$1146,(L189+1)),IF(J189="F",VLOOKUP(AC189,T100Pts!K$5:S$1146,(L189+1)),""))))</f>
        <v>-</v>
      </c>
      <c r="AE189" s="117" t="str">
        <f t="shared" si="31"/>
        <v>-</v>
      </c>
      <c r="AF189" s="114" t="str">
        <f t="shared" si="32"/>
        <v>-</v>
      </c>
      <c r="AG189" s="115" t="e">
        <f t="shared" si="33"/>
        <v>#DIV/0!</v>
      </c>
      <c r="AH189" s="114" t="str">
        <f t="shared" si="27"/>
        <v>-</v>
      </c>
      <c r="AI189" s="161"/>
      <c r="AJ189" s="77" t="str">
        <f t="shared" si="37"/>
        <v/>
      </c>
    </row>
    <row r="190" spans="1:36" ht="16.5" customHeight="1" x14ac:dyDescent="0.25">
      <c r="A190" s="138">
        <v>177</v>
      </c>
      <c r="B190" s="189"/>
      <c r="C190" s="137"/>
      <c r="D190" s="212"/>
      <c r="E190" s="207"/>
      <c r="F190" s="213"/>
      <c r="G190" s="214"/>
      <c r="H190" s="215"/>
      <c r="I190" s="154" t="str">
        <f t="shared" ref="I190:I226" si="40">IF(OR(G190="",H190=""),"-",ROUND(G190/(H190^2),0))</f>
        <v>-</v>
      </c>
      <c r="J190" s="181" t="s">
        <v>140</v>
      </c>
      <c r="K190" s="191" t="str">
        <f t="shared" ref="K190:K226" si="41">IF(F190&gt;0,DATEDIF(F190,$L$1,"Y"),"-")</f>
        <v>-</v>
      </c>
      <c r="L190" s="191" t="str">
        <f>IF(F190="","-",IF(K190&lt;&gt;"",VLOOKUP(K190,T100Pts!CH$4:CI$59,(2))))</f>
        <v>-</v>
      </c>
      <c r="M190" s="190"/>
      <c r="N190" s="191" t="str">
        <f>IF($L190="X","-",IF(M190="","-",IF(J190="M",VLOOKUP(M190,T100Pts!U$5:AC$86,(L190+1)),IF(J190="F",VLOOKUP(M190,T100Pts!AE$5:AM$86,(L190+1)),""))))</f>
        <v>-</v>
      </c>
      <c r="O190" s="190"/>
      <c r="P190" s="192" t="str">
        <f>IF($L190="X","-",IF(O190="","-",IF(J190="M",VLOOKUP(O190,T100Pts!AO$5:AW$126,(L190+1)),IF(J190="F",VLOOKUP(O190,T100Pts!AY$5:BG$126,(L190+1)),""))))</f>
        <v>-</v>
      </c>
      <c r="Q190" s="193"/>
      <c r="R190" s="192" t="str">
        <f>IF(OR($L190="X",$L190=6,$L190=7),"-",IF(Q190="","-",IF(J190="M",VLOOKUP(Q190,T100Pts!BI$5:BN$44,(L190+1)),IF(J190="F",VLOOKUP(Q190,T100Pts!BU$5:BZ$44,(L190+1)),""))))</f>
        <v>-</v>
      </c>
      <c r="S190" s="190"/>
      <c r="T190" s="192" t="str">
        <f>IF($L190="X","-",IF(S190="","-",IF(J190="M",VLOOKUP(S190,T100Pts!A$5:I$1146,(L190+1)),IF(J190="F",VLOOKUP(S190,T100Pts!K$5:S$1147,(L190+1)),""))))</f>
        <v>-</v>
      </c>
      <c r="U190" s="194" t="str">
        <f t="shared" ref="U190:U226" si="42">IF(OR(N190="X",P190="X",R190="X",T190="X"),"NR",IF(AND(N190="-",P190="-",T190="-"),"-",IF(R190="-",AVERAGE(IF(ISNUMBER(N190),N190),IF(ISNUMBER(P190),P190),IF(ISNUMBER(T190),T190)),AVERAGE(IF(ISNUMBER(N190),N190),IF(ISNUMBER(P190),P190),IF(ISNUMBER(R190),R190),IF(ISNUMBER(T190),T190)))))</f>
        <v>-</v>
      </c>
      <c r="V190" s="195" t="str">
        <f t="shared" ref="V190:V226" si="43">IF(NOT(ISNUMBER(U190)), "-", IF(U190 &lt; 70, "NA", "A"))</f>
        <v>-</v>
      </c>
      <c r="W190" s="190"/>
      <c r="X190" s="116" t="str">
        <f>IF($L190="X","-",IF(W190="","-",IF(J190="M",VLOOKUP(W190,T100Pts!U$5:AC$86,(L190+1)),IF(J190="F",VLOOKUP(W190,T100Pts!AE$5:AM$86,(L190+1)),""))))</f>
        <v>-</v>
      </c>
      <c r="Y190" s="163"/>
      <c r="Z190" s="116" t="str">
        <f>IF($L190="X","-",IF(Y190="","-",IF(J190="M",VLOOKUP(Y190,T100Pts!AO$5:AW$126,(L190+1)),IF(J190="F",VLOOKUP(Y190,T100Pts!AY$5:BG$126,(L190+1)),""))))</f>
        <v>-</v>
      </c>
      <c r="AA190" s="165"/>
      <c r="AB190" s="116" t="str">
        <f>IF(OR($L190="X",$L190=6,$L190=7),"-",IF(AA190="","-",IF(J190="M",VLOOKUP(AA190,T100Pts!BI$5:BN$44,(L190+1)),IF(J190="F",VLOOKUP(AA190,T100Pts!BU$5:BZ$44,(L190+1)),""))))</f>
        <v>-</v>
      </c>
      <c r="AC190" s="228"/>
      <c r="AD190" s="116" t="str">
        <f>IF($L190="X","-",IF(AC190="","-",IF(J190="M",VLOOKUP(AC190,T100Pts!A$5:I$1146,(L190+1)),IF(J190="F",VLOOKUP(AC190,T100Pts!K$5:S$1146,(L190+1)),""))))</f>
        <v>-</v>
      </c>
      <c r="AE190" s="117" t="str">
        <f t="shared" ref="AE190:AE240" si="44">IF(OR(X190="X",Z190="X",AB190="X",AD190="X"),"NR",IF(AND(X190="-",Z190="-",AD190="-"),"-",IF(AB190="-",AVERAGE(IF(ISNUMBER(X190),X190),IF(ISNUMBER(Z190),Z190),IF(ISNUMBER(AD190),AD190)),AVERAGE(IF(ISNUMBER(X190),X190),IF(ISNUMBER(Z190),Z190),IF(ISNUMBER(AB190),AB190),IF(ISNUMBER(AD190),AD190)))))</f>
        <v>-</v>
      </c>
      <c r="AF190" s="114" t="str">
        <f t="shared" ref="AF190:AF240" si="45">IF(NOT(ISNUMBER(AE190)), "-", IF(AE190 &lt; 70, "NA", "A"))</f>
        <v>-</v>
      </c>
      <c r="AG190" s="115" t="e">
        <f t="shared" si="33"/>
        <v>#DIV/0!</v>
      </c>
      <c r="AH190" s="114" t="str">
        <f t="shared" ref="AH190:AH240" si="46">IF(NOT(ISNUMBER(AG190)), "-", IF(AG190 &lt; 70, "NA", "A"))</f>
        <v>-</v>
      </c>
      <c r="AI190" s="161"/>
      <c r="AJ190" s="77" t="str">
        <f t="shared" si="37"/>
        <v/>
      </c>
    </row>
    <row r="191" spans="1:36" ht="16.5" customHeight="1" x14ac:dyDescent="0.25">
      <c r="A191" s="138">
        <v>178</v>
      </c>
      <c r="B191" s="189"/>
      <c r="C191" s="137"/>
      <c r="D191" s="208"/>
      <c r="E191" s="206"/>
      <c r="F191" s="211"/>
      <c r="G191" s="216"/>
      <c r="H191" s="217"/>
      <c r="I191" s="154" t="str">
        <f t="shared" si="40"/>
        <v>-</v>
      </c>
      <c r="J191" s="181" t="s">
        <v>139</v>
      </c>
      <c r="K191" s="191" t="str">
        <f t="shared" si="41"/>
        <v>-</v>
      </c>
      <c r="L191" s="191" t="str">
        <f>IF(F191="","-",IF(K191&lt;&gt;"",VLOOKUP(K191,T100Pts!CH$4:CI$59,(2))))</f>
        <v>-</v>
      </c>
      <c r="M191" s="190"/>
      <c r="N191" s="191" t="str">
        <f>IF($L191="X","-",IF(M191="","-",IF(J191="M",VLOOKUP(M191,T100Pts!U$5:AC$86,(L191+1)),IF(J191="F",VLOOKUP(M191,T100Pts!AE$5:AM$86,(L191+1)),""))))</f>
        <v>-</v>
      </c>
      <c r="O191" s="190"/>
      <c r="P191" s="192" t="str">
        <f>IF($L191="X","-",IF(O191="","-",IF(J191="M",VLOOKUP(O191,T100Pts!AO$5:AW$126,(L191+1)),IF(J191="F",VLOOKUP(O191,T100Pts!AY$5:BG$126,(L191+1)),""))))</f>
        <v>-</v>
      </c>
      <c r="Q191" s="193"/>
      <c r="R191" s="192" t="str">
        <f>IF(OR($L191="X",$L191=6,$L191=7),"-",IF(Q191="","-",IF(J191="M",VLOOKUP(Q191,T100Pts!BI$5:BN$44,(L191+1)),IF(J191="F",VLOOKUP(Q191,T100Pts!BU$5:BZ$44,(L191+1)),""))))</f>
        <v>-</v>
      </c>
      <c r="S191" s="190"/>
      <c r="T191" s="192" t="str">
        <f>IF($L191="X","-",IF(S191="","-",IF(J191="M",VLOOKUP(S191,T100Pts!A$5:I$1146,(L191+1)),IF(J191="F",VLOOKUP(S191,T100Pts!K$5:S$1147,(L191+1)),""))))</f>
        <v>-</v>
      </c>
      <c r="U191" s="194" t="str">
        <f t="shared" si="42"/>
        <v>-</v>
      </c>
      <c r="V191" s="195" t="str">
        <f t="shared" si="43"/>
        <v>-</v>
      </c>
      <c r="W191" s="190"/>
      <c r="X191" s="116" t="str">
        <f>IF($L191="X","-",IF(W191="","-",IF(J191="M",VLOOKUP(W191,T100Pts!U$5:AC$86,(L191+1)),IF(J191="F",VLOOKUP(W191,T100Pts!AE$5:AM$86,(L191+1)),""))))</f>
        <v>-</v>
      </c>
      <c r="Y191" s="163"/>
      <c r="Z191" s="116" t="str">
        <f>IF($L191="X","-",IF(Y191="","-",IF(J191="M",VLOOKUP(Y191,T100Pts!AO$5:AW$126,(L191+1)),IF(J191="F",VLOOKUP(Y191,T100Pts!AY$5:BG$126,(L191+1)),""))))</f>
        <v>-</v>
      </c>
      <c r="AA191" s="165"/>
      <c r="AB191" s="116" t="str">
        <f>IF(OR($L191="X",$L191=6,$L191=7),"-",IF(AA191="","-",IF(J191="M",VLOOKUP(AA191,T100Pts!BI$5:BN$44,(L191+1)),IF(J191="F",VLOOKUP(AA191,T100Pts!BU$5:BZ$44,(L191+1)),""))))</f>
        <v>-</v>
      </c>
      <c r="AC191" s="227"/>
      <c r="AD191" s="116" t="str">
        <f>IF($L191="X","-",IF(AC191="","-",IF(J191="M",VLOOKUP(AC191,T100Pts!A$5:I$1146,(L191+1)),IF(J191="F",VLOOKUP(AC191,T100Pts!K$5:S$1146,(L191+1)),""))))</f>
        <v>-</v>
      </c>
      <c r="AE191" s="117" t="str">
        <f t="shared" si="44"/>
        <v>-</v>
      </c>
      <c r="AF191" s="114" t="str">
        <f t="shared" si="45"/>
        <v>-</v>
      </c>
      <c r="AG191" s="115" t="e">
        <f t="shared" si="33"/>
        <v>#DIV/0!</v>
      </c>
      <c r="AH191" s="114" t="str">
        <f t="shared" si="46"/>
        <v>-</v>
      </c>
      <c r="AI191" s="161"/>
      <c r="AJ191" s="77" t="str">
        <f t="shared" si="37"/>
        <v/>
      </c>
    </row>
    <row r="192" spans="1:36" ht="16.5" customHeight="1" x14ac:dyDescent="0.25">
      <c r="A192" s="138">
        <v>179</v>
      </c>
      <c r="B192" s="189"/>
      <c r="C192" s="137"/>
      <c r="D192" s="212"/>
      <c r="E192" s="207"/>
      <c r="F192" s="213"/>
      <c r="G192" s="214"/>
      <c r="H192" s="215"/>
      <c r="I192" s="154" t="str">
        <f t="shared" si="40"/>
        <v>-</v>
      </c>
      <c r="J192" s="181" t="s">
        <v>140</v>
      </c>
      <c r="K192" s="191" t="str">
        <f t="shared" si="41"/>
        <v>-</v>
      </c>
      <c r="L192" s="191" t="str">
        <f>IF(F192="","-",IF(K192&lt;&gt;"",VLOOKUP(K192,T100Pts!CH$4:CI$59,(2))))</f>
        <v>-</v>
      </c>
      <c r="M192" s="190"/>
      <c r="N192" s="191" t="str">
        <f>IF($L192="X","-",IF(M192="","-",IF(J192="M",VLOOKUP(M192,T100Pts!U$5:AC$86,(L192+1)),IF(J192="F",VLOOKUP(M192,T100Pts!AE$5:AM$86,(L192+1)),""))))</f>
        <v>-</v>
      </c>
      <c r="O192" s="190"/>
      <c r="P192" s="192" t="str">
        <f>IF($L192="X","-",IF(O192="","-",IF(J192="M",VLOOKUP(O192,T100Pts!AO$5:AW$126,(L192+1)),IF(J192="F",VLOOKUP(O192,T100Pts!AY$5:BG$126,(L192+1)),""))))</f>
        <v>-</v>
      </c>
      <c r="Q192" s="193"/>
      <c r="R192" s="192" t="str">
        <f>IF(OR($L192="X",$L192=6,$L192=7),"-",IF(Q192="","-",IF(J192="M",VLOOKUP(Q192,T100Pts!BI$5:BN$44,(L192+1)),IF(J192="F",VLOOKUP(Q192,T100Pts!BU$5:BZ$44,(L192+1)),""))))</f>
        <v>-</v>
      </c>
      <c r="S192" s="190"/>
      <c r="T192" s="192" t="str">
        <f>IF($L192="X","-",IF(S192="","-",IF(J192="M",VLOOKUP(S192,T100Pts!A$5:I$1146,(L192+1)),IF(J192="F",VLOOKUP(S192,T100Pts!K$5:S$1147,(L192+1)),""))))</f>
        <v>-</v>
      </c>
      <c r="U192" s="194" t="str">
        <f t="shared" si="42"/>
        <v>-</v>
      </c>
      <c r="V192" s="195" t="str">
        <f t="shared" si="43"/>
        <v>-</v>
      </c>
      <c r="W192" s="190"/>
      <c r="X192" s="116" t="str">
        <f>IF($L192="X","-",IF(W192="","-",IF(J192="M",VLOOKUP(W192,T100Pts!U$5:AC$86,(L192+1)),IF(J192="F",VLOOKUP(W192,T100Pts!AE$5:AM$86,(L192+1)),""))))</f>
        <v>-</v>
      </c>
      <c r="Y192" s="163"/>
      <c r="Z192" s="116" t="str">
        <f>IF($L192="X","-",IF(Y192="","-",IF(J192="M",VLOOKUP(Y192,T100Pts!AO$5:AW$126,(L192+1)),IF(J192="F",VLOOKUP(Y192,T100Pts!AY$5:BG$126,(L192+1)),""))))</f>
        <v>-</v>
      </c>
      <c r="AA192" s="165"/>
      <c r="AB192" s="116" t="str">
        <f>IF(OR($L192="X",$L192=6,$L192=7),"-",IF(AA192="","-",IF(J192="M",VLOOKUP(AA192,T100Pts!BI$5:BN$44,(L192+1)),IF(J192="F",VLOOKUP(AA192,T100Pts!BU$5:BZ$44,(L192+1)),""))))</f>
        <v>-</v>
      </c>
      <c r="AC192" s="163"/>
      <c r="AD192" s="116" t="str">
        <f>IF($L192="X","-",IF(AC192="","-",IF(J192="M",VLOOKUP(AC192,T100Pts!A$5:I$1146,(L192+1)),IF(J192="F",VLOOKUP(AC192,T100Pts!K$5:S$1146,(L192+1)),""))))</f>
        <v>-</v>
      </c>
      <c r="AE192" s="117" t="str">
        <f t="shared" si="44"/>
        <v>-</v>
      </c>
      <c r="AF192" s="114" t="str">
        <f t="shared" si="45"/>
        <v>-</v>
      </c>
      <c r="AG192" s="115" t="e">
        <f t="shared" si="33"/>
        <v>#DIV/0!</v>
      </c>
      <c r="AH192" s="114" t="str">
        <f t="shared" si="46"/>
        <v>-</v>
      </c>
      <c r="AI192" s="161" t="s">
        <v>190</v>
      </c>
      <c r="AJ192" s="77" t="str">
        <f t="shared" si="37"/>
        <v/>
      </c>
    </row>
    <row r="193" spans="1:36" ht="16.5" customHeight="1" x14ac:dyDescent="0.25">
      <c r="A193" s="138">
        <v>180</v>
      </c>
      <c r="B193" s="189"/>
      <c r="C193" s="137"/>
      <c r="D193" s="208"/>
      <c r="E193" s="206"/>
      <c r="F193" s="211"/>
      <c r="G193" s="216"/>
      <c r="H193" s="217"/>
      <c r="I193" s="154" t="str">
        <f t="shared" si="40"/>
        <v>-</v>
      </c>
      <c r="J193" s="181" t="s">
        <v>139</v>
      </c>
      <c r="K193" s="191" t="str">
        <f t="shared" si="41"/>
        <v>-</v>
      </c>
      <c r="L193" s="191" t="str">
        <f>IF(F193="","-",IF(K193&lt;&gt;"",VLOOKUP(K193,T100Pts!CH$4:CI$59,(2))))</f>
        <v>-</v>
      </c>
      <c r="M193" s="190"/>
      <c r="N193" s="191" t="str">
        <f>IF($L193="X","-",IF(M193="","-",IF(J193="M",VLOOKUP(M193,T100Pts!U$5:AC$86,(L193+1)),IF(J193="F",VLOOKUP(M193,T100Pts!AE$5:AM$86,(L193+1)),""))))</f>
        <v>-</v>
      </c>
      <c r="O193" s="190"/>
      <c r="P193" s="192" t="str">
        <f>IF($L193="X","-",IF(O193="","-",IF(J193="M",VLOOKUP(O193,T100Pts!AO$5:AW$126,(L193+1)),IF(J193="F",VLOOKUP(O193,T100Pts!AY$5:BG$126,(L193+1)),""))))</f>
        <v>-</v>
      </c>
      <c r="Q193" s="193"/>
      <c r="R193" s="192" t="str">
        <f>IF(OR($L193="X",$L193=6,$L193=7),"-",IF(Q193="","-",IF(J193="M",VLOOKUP(Q193,T100Pts!BI$5:BN$44,(L193+1)),IF(J193="F",VLOOKUP(Q193,T100Pts!BU$5:BZ$44,(L193+1)),""))))</f>
        <v>-</v>
      </c>
      <c r="S193" s="190"/>
      <c r="T193" s="192" t="str">
        <f>IF($L193="X","-",IF(S193="","-",IF(J193="M",VLOOKUP(S193,T100Pts!A$5:I$1146,(L193+1)),IF(J193="F",VLOOKUP(S193,T100Pts!K$5:S$1147,(L193+1)),""))))</f>
        <v>-</v>
      </c>
      <c r="U193" s="194" t="str">
        <f t="shared" si="42"/>
        <v>-</v>
      </c>
      <c r="V193" s="195" t="str">
        <f t="shared" si="43"/>
        <v>-</v>
      </c>
      <c r="W193" s="190"/>
      <c r="X193" s="116" t="str">
        <f>IF($L193="X","-",IF(W193="","-",IF(J193="M",VLOOKUP(W193,T100Pts!U$5:AC$86,(L193+1)),IF(J193="F",VLOOKUP(W193,T100Pts!AE$5:AM$86,(L193+1)),""))))</f>
        <v>-</v>
      </c>
      <c r="Y193" s="163"/>
      <c r="Z193" s="116" t="str">
        <f>IF($L193="X","-",IF(Y193="","-",IF(J193="M",VLOOKUP(Y193,T100Pts!AO$5:AW$126,(L193+1)),IF(J193="F",VLOOKUP(Y193,T100Pts!AY$5:BG$126,(L193+1)),""))))</f>
        <v>-</v>
      </c>
      <c r="AA193" s="165"/>
      <c r="AB193" s="116" t="str">
        <f>IF(OR($L193="X",$L193=6,$L193=7),"-",IF(AA193="","-",IF(J193="M",VLOOKUP(AA193,T100Pts!BI$5:BN$44,(L193+1)),IF(J193="F",VLOOKUP(AA193,T100Pts!BU$5:BZ$44,(L193+1)),""))))</f>
        <v>-</v>
      </c>
      <c r="AC193" s="227"/>
      <c r="AD193" s="116" t="str">
        <f>IF($L193="X","-",IF(AC193="","-",IF(J193="M",VLOOKUP(AC193,T100Pts!A$5:I$1146,(L193+1)),IF(J193="F",VLOOKUP(AC193,T100Pts!K$5:S$1146,(L193+1)),""))))</f>
        <v>-</v>
      </c>
      <c r="AE193" s="117" t="str">
        <f t="shared" si="44"/>
        <v>-</v>
      </c>
      <c r="AF193" s="114" t="str">
        <f t="shared" si="45"/>
        <v>-</v>
      </c>
      <c r="AG193" s="115" t="e">
        <f t="shared" si="33"/>
        <v>#DIV/0!</v>
      </c>
      <c r="AH193" s="114" t="str">
        <f t="shared" si="46"/>
        <v>-</v>
      </c>
      <c r="AI193" s="161"/>
      <c r="AJ193" s="77" t="str">
        <f t="shared" si="37"/>
        <v/>
      </c>
    </row>
    <row r="194" spans="1:36" ht="16.5" customHeight="1" x14ac:dyDescent="0.25">
      <c r="A194" s="138">
        <v>181</v>
      </c>
      <c r="B194" s="189"/>
      <c r="C194" s="137"/>
      <c r="D194" s="208"/>
      <c r="E194" s="206"/>
      <c r="F194" s="211"/>
      <c r="G194" s="216"/>
      <c r="H194" s="217"/>
      <c r="I194" s="154" t="str">
        <f t="shared" si="40"/>
        <v>-</v>
      </c>
      <c r="J194" s="181" t="s">
        <v>140</v>
      </c>
      <c r="K194" s="191" t="str">
        <f t="shared" si="41"/>
        <v>-</v>
      </c>
      <c r="L194" s="191" t="str">
        <f>IF(F194="","-",IF(K194&lt;&gt;"",VLOOKUP(K194,T100Pts!CH$4:CI$59,(2))))</f>
        <v>-</v>
      </c>
      <c r="M194" s="190"/>
      <c r="N194" s="191" t="str">
        <f>IF($L194="X","-",IF(M194="","-",IF(J194="M",VLOOKUP(M194,T100Pts!U$5:AC$86,(L194+1)),IF(J194="F",VLOOKUP(M194,T100Pts!AE$5:AM$86,(L194+1)),""))))</f>
        <v>-</v>
      </c>
      <c r="O194" s="190"/>
      <c r="P194" s="192" t="str">
        <f>IF($L194="X","-",IF(O194="","-",IF(J194="M",VLOOKUP(O194,T100Pts!AO$5:AW$126,(L194+1)),IF(J194="F",VLOOKUP(O194,T100Pts!AY$5:BG$126,(L194+1)),""))))</f>
        <v>-</v>
      </c>
      <c r="Q194" s="193"/>
      <c r="R194" s="192" t="str">
        <f>IF(OR($L194="X",$L194=6,$L194=7),"-",IF(Q194="","-",IF(J194="M",VLOOKUP(Q194,T100Pts!BI$5:BN$44,(L194+1)),IF(J194="F",VLOOKUP(Q194,T100Pts!BU$5:BZ$44,(L194+1)),""))))</f>
        <v>-</v>
      </c>
      <c r="S194" s="190"/>
      <c r="T194" s="192" t="str">
        <f>IF($L194="X","-",IF(S194="","-",IF(J194="M",VLOOKUP(S194,T100Pts!A$5:I$1146,(L194+1)),IF(J194="F",VLOOKUP(S194,T100Pts!K$5:S$1147,(L194+1)),""))))</f>
        <v>-</v>
      </c>
      <c r="U194" s="194" t="str">
        <f t="shared" si="42"/>
        <v>-</v>
      </c>
      <c r="V194" s="195" t="str">
        <f t="shared" si="43"/>
        <v>-</v>
      </c>
      <c r="W194" s="190"/>
      <c r="X194" s="116" t="str">
        <f>IF($L194="X","-",IF(W194="","-",IF(J194="M",VLOOKUP(W194,T100Pts!U$5:AC$86,(L194+1)),IF(J194="F",VLOOKUP(W194,T100Pts!AE$5:AM$86,(L194+1)),""))))</f>
        <v>-</v>
      </c>
      <c r="Y194" s="163"/>
      <c r="Z194" s="116" t="str">
        <f>IF($L194="X","-",IF(Y194="","-",IF(J194="M",VLOOKUP(Y194,T100Pts!AO$5:AW$126,(L194+1)),IF(J194="F",VLOOKUP(Y194,T100Pts!AY$5:BG$126,(L194+1)),""))))</f>
        <v>-</v>
      </c>
      <c r="AA194" s="165"/>
      <c r="AB194" s="116" t="str">
        <f>IF(OR($L194="X",$L194=6,$L194=7),"-",IF(AA194="","-",IF(J194="M",VLOOKUP(AA194,T100Pts!BI$5:BN$44,(L194+1)),IF(J194="F",VLOOKUP(AA194,T100Pts!BU$5:BZ$44,(L194+1)),""))))</f>
        <v>-</v>
      </c>
      <c r="AC194" s="228"/>
      <c r="AD194" s="116" t="str">
        <f>IF($L194="X","-",IF(AC194="","-",IF(J194="M",VLOOKUP(AC194,T100Pts!A$5:I$1146,(L194+1)),IF(J194="F",VLOOKUP(AC194,T100Pts!K$5:S$1146,(L194+1)),""))))</f>
        <v>-</v>
      </c>
      <c r="AE194" s="117" t="str">
        <f t="shared" si="44"/>
        <v>-</v>
      </c>
      <c r="AF194" s="114" t="str">
        <f t="shared" si="45"/>
        <v>-</v>
      </c>
      <c r="AG194" s="115" t="e">
        <f t="shared" si="33"/>
        <v>#DIV/0!</v>
      </c>
      <c r="AH194" s="114" t="str">
        <f t="shared" si="46"/>
        <v>-</v>
      </c>
      <c r="AI194" s="161"/>
      <c r="AJ194" s="77" t="str">
        <f t="shared" si="37"/>
        <v/>
      </c>
    </row>
    <row r="195" spans="1:36" ht="16.5" customHeight="1" x14ac:dyDescent="0.25">
      <c r="A195" s="138">
        <v>182</v>
      </c>
      <c r="B195" s="189"/>
      <c r="C195" s="137"/>
      <c r="D195" s="212"/>
      <c r="E195" s="207"/>
      <c r="F195" s="213"/>
      <c r="G195" s="214"/>
      <c r="H195" s="215"/>
      <c r="I195" s="154" t="str">
        <f t="shared" si="40"/>
        <v>-</v>
      </c>
      <c r="J195" s="181" t="s">
        <v>139</v>
      </c>
      <c r="K195" s="191" t="str">
        <f t="shared" si="41"/>
        <v>-</v>
      </c>
      <c r="L195" s="191" t="str">
        <f>IF(F195="","-",IF(K195&lt;&gt;"",VLOOKUP(K195,T100Pts!CH$4:CI$59,(2))))</f>
        <v>-</v>
      </c>
      <c r="M195" s="190"/>
      <c r="N195" s="191" t="str">
        <f>IF($L195="X","-",IF(M195="","-",IF(J195="M",VLOOKUP(M195,T100Pts!U$5:AC$86,(L195+1)),IF(J195="F",VLOOKUP(M195,T100Pts!AE$5:AM$86,(L195+1)),""))))</f>
        <v>-</v>
      </c>
      <c r="O195" s="190"/>
      <c r="P195" s="192" t="str">
        <f>IF($L195="X","-",IF(O195="","-",IF(J195="M",VLOOKUP(O195,T100Pts!AO$5:AW$126,(L195+1)),IF(J195="F",VLOOKUP(O195,T100Pts!AY$5:BG$126,(L195+1)),""))))</f>
        <v>-</v>
      </c>
      <c r="Q195" s="193"/>
      <c r="R195" s="192" t="str">
        <f>IF(OR($L195="X",$L195=6,$L195=7),"-",IF(Q195="","-",IF(J195="M",VLOOKUP(Q195,T100Pts!BI$5:BN$44,(L195+1)),IF(J195="F",VLOOKUP(Q195,T100Pts!BU$5:BZ$44,(L195+1)),""))))</f>
        <v>-</v>
      </c>
      <c r="S195" s="190"/>
      <c r="T195" s="192" t="str">
        <f>IF($L195="X","-",IF(S195="","-",IF(J195="M",VLOOKUP(S195,T100Pts!A$5:I$1146,(L195+1)),IF(J195="F",VLOOKUP(S195,T100Pts!K$5:S$1147,(L195+1)),""))))</f>
        <v>-</v>
      </c>
      <c r="U195" s="194" t="str">
        <f t="shared" si="42"/>
        <v>-</v>
      </c>
      <c r="V195" s="195" t="str">
        <f t="shared" si="43"/>
        <v>-</v>
      </c>
      <c r="W195" s="190"/>
      <c r="X195" s="116" t="str">
        <f>IF($L195="X","-",IF(W195="","-",IF(J195="M",VLOOKUP(W195,T100Pts!U$5:AC$86,(L195+1)),IF(J195="F",VLOOKUP(W195,T100Pts!AE$5:AM$86,(L195+1)),""))))</f>
        <v>-</v>
      </c>
      <c r="Y195" s="163"/>
      <c r="Z195" s="116" t="str">
        <f>IF($L195="X","-",IF(Y195="","-",IF(J195="M",VLOOKUP(Y195,T100Pts!AO$5:AW$126,(L195+1)),IF(J195="F",VLOOKUP(Y195,T100Pts!AY$5:BG$126,(L195+1)),""))))</f>
        <v>-</v>
      </c>
      <c r="AA195" s="165"/>
      <c r="AB195" s="116" t="str">
        <f>IF(OR($L195="X",$L195=6,$L195=7),"-",IF(AA195="","-",IF(J195="M",VLOOKUP(AA195,T100Pts!BI$5:BN$44,(L195+1)),IF(J195="F",VLOOKUP(AA195,T100Pts!BU$5:BZ$44,(L195+1)),""))))</f>
        <v>-</v>
      </c>
      <c r="AC195" s="227"/>
      <c r="AD195" s="116" t="str">
        <f>IF($L195="X","-",IF(AC195="","-",IF(J195="M",VLOOKUP(AC195,T100Pts!A$5:I$1146,(L195+1)),IF(J195="F",VLOOKUP(AC195,T100Pts!K$5:S$1146,(L195+1)),""))))</f>
        <v>-</v>
      </c>
      <c r="AE195" s="117" t="str">
        <f t="shared" si="44"/>
        <v>-</v>
      </c>
      <c r="AF195" s="114" t="str">
        <f t="shared" si="45"/>
        <v>-</v>
      </c>
      <c r="AG195" s="115" t="e">
        <f t="shared" si="33"/>
        <v>#DIV/0!</v>
      </c>
      <c r="AH195" s="114" t="str">
        <f t="shared" si="46"/>
        <v>-</v>
      </c>
      <c r="AI195" s="161"/>
      <c r="AJ195" s="77" t="str">
        <f t="shared" si="37"/>
        <v/>
      </c>
    </row>
    <row r="196" spans="1:36" ht="16.5" customHeight="1" x14ac:dyDescent="0.25">
      <c r="A196" s="138">
        <v>183</v>
      </c>
      <c r="B196" s="189"/>
      <c r="C196" s="137"/>
      <c r="D196" s="208"/>
      <c r="E196" s="206"/>
      <c r="F196" s="211"/>
      <c r="G196" s="216"/>
      <c r="H196" s="217"/>
      <c r="I196" s="154" t="str">
        <f t="shared" si="40"/>
        <v>-</v>
      </c>
      <c r="J196" s="181" t="s">
        <v>140</v>
      </c>
      <c r="K196" s="191" t="str">
        <f t="shared" si="41"/>
        <v>-</v>
      </c>
      <c r="L196" s="191" t="str">
        <f>IF(F196="","-",IF(K196&lt;&gt;"",VLOOKUP(K196,T100Pts!CH$4:CI$59,(2))))</f>
        <v>-</v>
      </c>
      <c r="M196" s="190"/>
      <c r="N196" s="191" t="str">
        <f>IF($L196="X","-",IF(M196="","-",IF(J196="M",VLOOKUP(M196,T100Pts!U$5:AC$86,(L196+1)),IF(J196="F",VLOOKUP(M196,T100Pts!AE$5:AM$86,(L196+1)),""))))</f>
        <v>-</v>
      </c>
      <c r="O196" s="190"/>
      <c r="P196" s="192" t="str">
        <f>IF($L196="X","-",IF(O196="","-",IF(J196="M",VLOOKUP(O196,T100Pts!AO$5:AW$126,(L196+1)),IF(J196="F",VLOOKUP(O196,T100Pts!AY$5:BG$126,(L196+1)),""))))</f>
        <v>-</v>
      </c>
      <c r="Q196" s="193"/>
      <c r="R196" s="192" t="str">
        <f>IF(OR($L196="X",$L196=6,$L196=7),"-",IF(Q196="","-",IF(J196="M",VLOOKUP(Q196,T100Pts!BI$5:BN$44,(L196+1)),IF(J196="F",VLOOKUP(Q196,T100Pts!BU$5:BZ$44,(L196+1)),""))))</f>
        <v>-</v>
      </c>
      <c r="S196" s="190"/>
      <c r="T196" s="192" t="str">
        <f>IF($L196="X","-",IF(S196="","-",IF(J196="M",VLOOKUP(S196,T100Pts!A$5:I$1146,(L196+1)),IF(J196="F",VLOOKUP(S196,T100Pts!K$5:S$1147,(L196+1)),""))))</f>
        <v>-</v>
      </c>
      <c r="U196" s="194" t="str">
        <f t="shared" si="42"/>
        <v>-</v>
      </c>
      <c r="V196" s="195" t="str">
        <f t="shared" si="43"/>
        <v>-</v>
      </c>
      <c r="W196" s="190"/>
      <c r="X196" s="116" t="str">
        <f>IF($L196="X","-",IF(W196="","-",IF(J196="M",VLOOKUP(W196,T100Pts!U$5:AC$86,(L196+1)),IF(J196="F",VLOOKUP(W196,T100Pts!AE$5:AM$86,(L196+1)),""))))</f>
        <v>-</v>
      </c>
      <c r="Y196" s="163"/>
      <c r="Z196" s="116" t="str">
        <f>IF($L196="X","-",IF(Y196="","-",IF(J196="M",VLOOKUP(Y196,T100Pts!AO$5:AW$126,(L196+1)),IF(J196="F",VLOOKUP(Y196,T100Pts!AY$5:BG$126,(L196+1)),""))))</f>
        <v>-</v>
      </c>
      <c r="AA196" s="165"/>
      <c r="AB196" s="116" t="str">
        <f>IF(OR($L196="X",$L196=6,$L196=7),"-",IF(AA196="","-",IF(J196="M",VLOOKUP(AA196,T100Pts!BI$5:BN$44,(L196+1)),IF(J196="F",VLOOKUP(AA196,T100Pts!BU$5:BZ$44,(L196+1)),""))))</f>
        <v>-</v>
      </c>
      <c r="AC196" s="228"/>
      <c r="AD196" s="116" t="str">
        <f>IF($L196="X","-",IF(AC196="","-",IF(J196="M",VLOOKUP(AC196,T100Pts!A$5:I$1146,(L196+1)),IF(J196="F",VLOOKUP(AC196,T100Pts!K$5:S$1146,(L196+1)),""))))</f>
        <v>-</v>
      </c>
      <c r="AE196" s="117" t="str">
        <f t="shared" si="44"/>
        <v>-</v>
      </c>
      <c r="AF196" s="114" t="str">
        <f t="shared" si="45"/>
        <v>-</v>
      </c>
      <c r="AG196" s="115" t="e">
        <f t="shared" si="33"/>
        <v>#DIV/0!</v>
      </c>
      <c r="AH196" s="114" t="str">
        <f t="shared" si="46"/>
        <v>-</v>
      </c>
      <c r="AI196" s="161"/>
      <c r="AJ196" s="77" t="str">
        <f t="shared" si="37"/>
        <v/>
      </c>
    </row>
    <row r="197" spans="1:36" ht="16.5" customHeight="1" x14ac:dyDescent="0.25">
      <c r="A197" s="138">
        <v>184</v>
      </c>
      <c r="B197" s="189"/>
      <c r="C197" s="137"/>
      <c r="D197" s="208"/>
      <c r="E197" s="206"/>
      <c r="F197" s="211"/>
      <c r="G197" s="216"/>
      <c r="H197" s="217"/>
      <c r="I197" s="154" t="str">
        <f t="shared" si="40"/>
        <v>-</v>
      </c>
      <c r="J197" s="181" t="s">
        <v>139</v>
      </c>
      <c r="K197" s="191" t="str">
        <f t="shared" si="41"/>
        <v>-</v>
      </c>
      <c r="L197" s="191" t="str">
        <f>IF(F197="","-",IF(K197&lt;&gt;"",VLOOKUP(K197,T100Pts!CH$4:CI$59,(2))))</f>
        <v>-</v>
      </c>
      <c r="M197" s="190"/>
      <c r="N197" s="191" t="str">
        <f>IF($L197="X","-",IF(M197="","-",IF(J197="M",VLOOKUP(M197,T100Pts!U$5:AC$86,(L197+1)),IF(J197="F",VLOOKUP(M197,T100Pts!AE$5:AM$86,(L197+1)),""))))</f>
        <v>-</v>
      </c>
      <c r="O197" s="190"/>
      <c r="P197" s="192" t="str">
        <f>IF($L197="X","-",IF(O197="","-",IF(J197="M",VLOOKUP(O197,T100Pts!AO$5:AW$126,(L197+1)),IF(J197="F",VLOOKUP(O197,T100Pts!AY$5:BG$126,(L197+1)),""))))</f>
        <v>-</v>
      </c>
      <c r="Q197" s="193"/>
      <c r="R197" s="192" t="str">
        <f>IF(OR($L197="X",$L197=6,$L197=7),"-",IF(Q197="","-",IF(J197="M",VLOOKUP(Q197,T100Pts!BI$5:BN$44,(L197+1)),IF(J197="F",VLOOKUP(Q197,T100Pts!BU$5:BZ$44,(L197+1)),""))))</f>
        <v>-</v>
      </c>
      <c r="S197" s="190"/>
      <c r="T197" s="192" t="str">
        <f>IF($L197="X","-",IF(S197="","-",IF(J197="M",VLOOKUP(S197,T100Pts!A$5:I$1146,(L197+1)),IF(J197="F",VLOOKUP(S197,T100Pts!K$5:S$1147,(L197+1)),""))))</f>
        <v>-</v>
      </c>
      <c r="U197" s="194" t="str">
        <f t="shared" si="42"/>
        <v>-</v>
      </c>
      <c r="V197" s="195" t="str">
        <f t="shared" si="43"/>
        <v>-</v>
      </c>
      <c r="W197" s="190"/>
      <c r="X197" s="116" t="str">
        <f>IF($L197="X","-",IF(W197="","-",IF(J197="M",VLOOKUP(W197,T100Pts!U$5:AC$86,(L197+1)),IF(J197="F",VLOOKUP(W197,T100Pts!AE$5:AM$86,(L197+1)),""))))</f>
        <v>-</v>
      </c>
      <c r="Y197" s="163"/>
      <c r="Z197" s="116" t="str">
        <f>IF($L197="X","-",IF(Y197="","-",IF(J197="M",VLOOKUP(Y197,T100Pts!AO$5:AW$126,(L197+1)),IF(J197="F",VLOOKUP(Y197,T100Pts!AY$5:BG$126,(L197+1)),""))))</f>
        <v>-</v>
      </c>
      <c r="AA197" s="165"/>
      <c r="AB197" s="116" t="str">
        <f>IF(OR($L197="X",$L197=6,$L197=7),"-",IF(AA197="","-",IF(J197="M",VLOOKUP(AA197,T100Pts!BI$5:BN$44,(L197+1)),IF(J197="F",VLOOKUP(AA197,T100Pts!BU$5:BZ$44,(L197+1)),""))))</f>
        <v>-</v>
      </c>
      <c r="AC197" s="228"/>
      <c r="AD197" s="116" t="str">
        <f>IF($L197="X","-",IF(AC197="","-",IF(J197="M",VLOOKUP(AC197,T100Pts!A$5:I$1146,(L197+1)),IF(J197="F",VLOOKUP(AC197,T100Pts!K$5:S$1146,(L197+1)),""))))</f>
        <v>-</v>
      </c>
      <c r="AE197" s="117" t="str">
        <f t="shared" si="44"/>
        <v>-</v>
      </c>
      <c r="AF197" s="114" t="str">
        <f t="shared" si="45"/>
        <v>-</v>
      </c>
      <c r="AG197" s="115" t="e">
        <f t="shared" si="33"/>
        <v>#DIV/0!</v>
      </c>
      <c r="AH197" s="114" t="str">
        <f t="shared" si="46"/>
        <v>-</v>
      </c>
      <c r="AI197" s="161"/>
      <c r="AJ197" s="77" t="str">
        <f t="shared" si="37"/>
        <v/>
      </c>
    </row>
    <row r="198" spans="1:36" ht="16.5" customHeight="1" x14ac:dyDescent="0.25">
      <c r="A198" s="138">
        <v>185</v>
      </c>
      <c r="B198" s="189"/>
      <c r="C198" s="137"/>
      <c r="D198" s="212"/>
      <c r="E198" s="207"/>
      <c r="F198" s="213"/>
      <c r="G198" s="214"/>
      <c r="H198" s="215"/>
      <c r="I198" s="154" t="str">
        <f t="shared" si="40"/>
        <v>-</v>
      </c>
      <c r="J198" s="204" t="s">
        <v>140</v>
      </c>
      <c r="K198" s="191" t="str">
        <f t="shared" si="41"/>
        <v>-</v>
      </c>
      <c r="L198" s="191" t="str">
        <f>IF(F198="","-",IF(K198&lt;&gt;"",VLOOKUP(K198,T100Pts!CH$4:CI$59,(2))))</f>
        <v>-</v>
      </c>
      <c r="M198" s="190"/>
      <c r="N198" s="191" t="str">
        <f>IF($L198="X","-",IF(M198="","-",IF(J198="M",VLOOKUP(M198,T100Pts!U$5:AC$86,(L198+1)),IF(J198="F",VLOOKUP(M198,T100Pts!AE$5:AM$86,(L198+1)),""))))</f>
        <v>-</v>
      </c>
      <c r="O198" s="190"/>
      <c r="P198" s="192" t="str">
        <f>IF($L198="X","-",IF(O198="","-",IF(J198="M",VLOOKUP(O198,T100Pts!AO$5:AW$126,(L198+1)),IF(J198="F",VLOOKUP(O198,T100Pts!AY$5:BG$126,(L198+1)),""))))</f>
        <v>-</v>
      </c>
      <c r="Q198" s="193"/>
      <c r="R198" s="192" t="str">
        <f>IF(OR($L198="X",$L198=6,$L198=7),"-",IF(Q198="","-",IF(J198="M",VLOOKUP(Q198,T100Pts!BI$5:BN$44,(L198+1)),IF(J198="F",VLOOKUP(Q198,T100Pts!BU$5:BZ$44,(L198+1)),""))))</f>
        <v>-</v>
      </c>
      <c r="S198" s="190"/>
      <c r="T198" s="192" t="str">
        <f>IF($L198="X","-",IF(S198="","-",IF(J198="M",VLOOKUP(S198,T100Pts!A$5:I$1146,(L198+1)),IF(J198="F",VLOOKUP(S198,T100Pts!K$5:S$1147,(L198+1)),""))))</f>
        <v>-</v>
      </c>
      <c r="U198" s="194" t="str">
        <f t="shared" si="42"/>
        <v>-</v>
      </c>
      <c r="V198" s="195" t="str">
        <f t="shared" si="43"/>
        <v>-</v>
      </c>
      <c r="W198" s="190"/>
      <c r="X198" s="116" t="str">
        <f>IF($L198="X","-",IF(W198="","-",IF(J198="M",VLOOKUP(W198,T100Pts!U$5:AC$86,(L198+1)),IF(J198="F",VLOOKUP(W198,T100Pts!AE$5:AM$86,(L198+1)),""))))</f>
        <v>-</v>
      </c>
      <c r="Y198" s="163"/>
      <c r="Z198" s="116" t="str">
        <f>IF($L198="X","-",IF(Y198="","-",IF(J198="M",VLOOKUP(Y198,T100Pts!AO$5:AW$126,(L198+1)),IF(J198="F",VLOOKUP(Y198,T100Pts!AY$5:BG$126,(L198+1)),""))))</f>
        <v>-</v>
      </c>
      <c r="AA198" s="165"/>
      <c r="AB198" s="116" t="str">
        <f>IF(OR($L198="X",$L198=6,$L198=7),"-",IF(AA198="","-",IF(J198="M",VLOOKUP(AA198,T100Pts!BI$5:BN$44,(L198+1)),IF(J198="F",VLOOKUP(AA198,T100Pts!BU$5:BZ$44,(L198+1)),""))))</f>
        <v>-</v>
      </c>
      <c r="AC198" s="227"/>
      <c r="AD198" s="116" t="str">
        <f>IF($L198="X","-",IF(AC198="","-",IF(J198="M",VLOOKUP(AC198,T100Pts!A$5:I$1146,(L198+1)),IF(J198="F",VLOOKUP(AC198,T100Pts!K$5:S$1146,(L198+1)),""))))</f>
        <v>-</v>
      </c>
      <c r="AE198" s="117" t="str">
        <f t="shared" si="44"/>
        <v>-</v>
      </c>
      <c r="AF198" s="114" t="str">
        <f t="shared" si="45"/>
        <v>-</v>
      </c>
      <c r="AG198" s="115" t="e">
        <f t="shared" si="33"/>
        <v>#DIV/0!</v>
      </c>
      <c r="AH198" s="114" t="str">
        <f t="shared" si="46"/>
        <v>-</v>
      </c>
      <c r="AI198" s="161"/>
      <c r="AJ198" s="77" t="str">
        <f t="shared" si="37"/>
        <v/>
      </c>
    </row>
    <row r="199" spans="1:36" ht="16.5" customHeight="1" x14ac:dyDescent="0.25">
      <c r="A199" s="138">
        <v>186</v>
      </c>
      <c r="B199" s="189"/>
      <c r="C199" s="137"/>
      <c r="D199" s="208"/>
      <c r="E199" s="206"/>
      <c r="F199" s="211"/>
      <c r="G199" s="216"/>
      <c r="H199" s="217"/>
      <c r="I199" s="154" t="str">
        <f t="shared" si="40"/>
        <v>-</v>
      </c>
      <c r="J199" s="204" t="s">
        <v>139</v>
      </c>
      <c r="K199" s="191" t="str">
        <f t="shared" si="41"/>
        <v>-</v>
      </c>
      <c r="L199" s="191" t="str">
        <f>IF(F199="","-",IF(K199&lt;&gt;"",VLOOKUP(K199,T100Pts!CH$4:CI$59,(2))))</f>
        <v>-</v>
      </c>
      <c r="M199" s="190"/>
      <c r="N199" s="191" t="str">
        <f>IF($L199="X","-",IF(M199="","-",IF(J199="M",VLOOKUP(M199,T100Pts!U$5:AC$86,(L199+1)),IF(J199="F",VLOOKUP(M199,T100Pts!AE$5:AM$86,(L199+1)),""))))</f>
        <v>-</v>
      </c>
      <c r="O199" s="190"/>
      <c r="P199" s="192" t="str">
        <f>IF($L199="X","-",IF(O199="","-",IF(J199="M",VLOOKUP(O199,T100Pts!AO$5:AW$126,(L199+1)),IF(J199="F",VLOOKUP(O199,T100Pts!AY$5:BG$126,(L199+1)),""))))</f>
        <v>-</v>
      </c>
      <c r="Q199" s="193"/>
      <c r="R199" s="192" t="str">
        <f>IF(OR($L199="X",$L199=6,$L199=7),"-",IF(Q199="","-",IF(J199="M",VLOOKUP(Q199,T100Pts!BI$5:BN$44,(L199+1)),IF(J199="F",VLOOKUP(Q199,T100Pts!BU$5:BZ$44,(L199+1)),""))))</f>
        <v>-</v>
      </c>
      <c r="S199" s="190"/>
      <c r="T199" s="192" t="str">
        <f>IF($L199="X","-",IF(S199="","-",IF(J199="M",VLOOKUP(S199,T100Pts!A$5:I$1146,(L199+1)),IF(J199="F",VLOOKUP(S199,T100Pts!K$5:S$1147,(L199+1)),""))))</f>
        <v>-</v>
      </c>
      <c r="U199" s="194" t="str">
        <f t="shared" si="42"/>
        <v>-</v>
      </c>
      <c r="V199" s="195" t="str">
        <f t="shared" si="43"/>
        <v>-</v>
      </c>
      <c r="W199" s="190"/>
      <c r="X199" s="116" t="str">
        <f>IF($L199="X","-",IF(W199="","-",IF(J199="M",VLOOKUP(W199,T100Pts!U$5:AC$86,(L199+1)),IF(J199="F",VLOOKUP(W199,T100Pts!AE$5:AM$86,(L199+1)),""))))</f>
        <v>-</v>
      </c>
      <c r="Y199" s="163"/>
      <c r="Z199" s="116" t="str">
        <f>IF($L199="X","-",IF(Y199="","-",IF(J199="M",VLOOKUP(Y199,T100Pts!AO$5:AW$126,(L199+1)),IF(J199="F",VLOOKUP(Y199,T100Pts!AY$5:BG$126,(L199+1)),""))))</f>
        <v>-</v>
      </c>
      <c r="AA199" s="165"/>
      <c r="AB199" s="116" t="str">
        <f>IF(OR($L199="X",$L199=6,$L199=7),"-",IF(AA199="","-",IF(J199="M",VLOOKUP(AA199,T100Pts!BI$5:BN$44,(L199+1)),IF(J199="F",VLOOKUP(AA199,T100Pts!BU$5:BZ$44,(L199+1)),""))))</f>
        <v>-</v>
      </c>
      <c r="AC199" s="228"/>
      <c r="AD199" s="116" t="str">
        <f>IF($L199="X","-",IF(AC199="","-",IF(J199="M",VLOOKUP(AC199,T100Pts!A$5:I$1146,(L199+1)),IF(J199="F",VLOOKUP(AC199,T100Pts!K$5:S$1146,(L199+1)),""))))</f>
        <v>-</v>
      </c>
      <c r="AE199" s="117" t="str">
        <f t="shared" si="44"/>
        <v>-</v>
      </c>
      <c r="AF199" s="114" t="str">
        <f t="shared" si="45"/>
        <v>-</v>
      </c>
      <c r="AG199" s="115" t="e">
        <f t="shared" si="33"/>
        <v>#DIV/0!</v>
      </c>
      <c r="AH199" s="114" t="str">
        <f t="shared" si="46"/>
        <v>-</v>
      </c>
      <c r="AI199" s="161"/>
      <c r="AJ199" s="77" t="str">
        <f t="shared" si="37"/>
        <v/>
      </c>
    </row>
    <row r="200" spans="1:36" ht="16.5" customHeight="1" x14ac:dyDescent="0.25">
      <c r="A200" s="138">
        <v>187</v>
      </c>
      <c r="B200" s="189"/>
      <c r="C200" s="137"/>
      <c r="D200" s="212"/>
      <c r="E200" s="207"/>
      <c r="F200" s="213"/>
      <c r="G200" s="214"/>
      <c r="H200" s="215"/>
      <c r="I200" s="154" t="str">
        <f t="shared" si="40"/>
        <v>-</v>
      </c>
      <c r="J200" s="204" t="s">
        <v>139</v>
      </c>
      <c r="K200" s="191" t="str">
        <f t="shared" si="41"/>
        <v>-</v>
      </c>
      <c r="L200" s="191" t="str">
        <f>IF(F200="","-",IF(K200&lt;&gt;"",VLOOKUP(K200,T100Pts!CH$4:CI$59,(2))))</f>
        <v>-</v>
      </c>
      <c r="M200" s="190"/>
      <c r="N200" s="191" t="str">
        <f>IF($L200="X","-",IF(M200="","-",IF(J200="M",VLOOKUP(M200,T100Pts!U$5:AC$86,(L200+1)),IF(J200="F",VLOOKUP(M200,T100Pts!AE$5:AM$86,(L200+1)),""))))</f>
        <v>-</v>
      </c>
      <c r="O200" s="190"/>
      <c r="P200" s="192" t="str">
        <f>IF($L200="X","-",IF(O200="","-",IF(J200="M",VLOOKUP(O200,T100Pts!AO$5:AW$126,(L200+1)),IF(J200="F",VLOOKUP(O200,T100Pts!AY$5:BG$126,(L200+1)),""))))</f>
        <v>-</v>
      </c>
      <c r="Q200" s="193"/>
      <c r="R200" s="192" t="str">
        <f>IF(OR($L200="X",$L200=6,$L200=7),"-",IF(Q200="","-",IF(J200="M",VLOOKUP(Q200,T100Pts!BI$5:BN$44,(L200+1)),IF(J200="F",VLOOKUP(Q200,T100Pts!BU$5:BZ$44,(L200+1)),""))))</f>
        <v>-</v>
      </c>
      <c r="S200" s="190"/>
      <c r="T200" s="192" t="str">
        <f>IF($L200="X","-",IF(S200="","-",IF(J200="M",VLOOKUP(S200,T100Pts!A$5:I$1146,(L200+1)),IF(J200="F",VLOOKUP(S200,T100Pts!K$5:S$1147,(L200+1)),""))))</f>
        <v>-</v>
      </c>
      <c r="U200" s="194" t="str">
        <f t="shared" si="42"/>
        <v>-</v>
      </c>
      <c r="V200" s="195" t="str">
        <f t="shared" si="43"/>
        <v>-</v>
      </c>
      <c r="W200" s="190"/>
      <c r="X200" s="116" t="str">
        <f>IF($L200="X","-",IF(W200="","-",IF(J200="M",VLOOKUP(W200,T100Pts!U$5:AC$86,(L200+1)),IF(J200="F",VLOOKUP(W200,T100Pts!AE$5:AM$86,(L200+1)),""))))</f>
        <v>-</v>
      </c>
      <c r="Y200" s="163"/>
      <c r="Z200" s="116" t="str">
        <f>IF($L200="X","-",IF(Y200="","-",IF(J200="M",VLOOKUP(Y200,T100Pts!AO$5:AW$126,(L200+1)),IF(J200="F",VLOOKUP(Y200,T100Pts!AY$5:BG$126,(L200+1)),""))))</f>
        <v>-</v>
      </c>
      <c r="AA200" s="165"/>
      <c r="AB200" s="116" t="str">
        <f>IF(OR($L200="X",$L200=6,$L200=7),"-",IF(AA200="","-",IF(J200="M",VLOOKUP(AA200,T100Pts!BI$5:BN$44,(L200+1)),IF(J200="F",VLOOKUP(AA200,T100Pts!BU$5:BZ$44,(L200+1)),""))))</f>
        <v>-</v>
      </c>
      <c r="AC200" s="228"/>
      <c r="AD200" s="116" t="str">
        <f>IF($L200="X","-",IF(AC200="","-",IF(J200="M",VLOOKUP(AC200,T100Pts!A$5:I$1146,(L200+1)),IF(J200="F",VLOOKUP(AC200,T100Pts!K$5:S$1146,(L200+1)),""))))</f>
        <v>-</v>
      </c>
      <c r="AE200" s="117" t="str">
        <f t="shared" si="44"/>
        <v>-</v>
      </c>
      <c r="AF200" s="114" t="str">
        <f t="shared" si="45"/>
        <v>-</v>
      </c>
      <c r="AG200" s="115" t="e">
        <f t="shared" si="33"/>
        <v>#DIV/0!</v>
      </c>
      <c r="AH200" s="114" t="str">
        <f t="shared" si="46"/>
        <v>-</v>
      </c>
      <c r="AI200" s="161"/>
      <c r="AJ200" s="77" t="str">
        <f t="shared" si="37"/>
        <v/>
      </c>
    </row>
    <row r="201" spans="1:36" ht="16.5" customHeight="1" x14ac:dyDescent="0.25">
      <c r="A201" s="138">
        <v>188</v>
      </c>
      <c r="B201" s="189"/>
      <c r="C201" s="137"/>
      <c r="D201" s="208"/>
      <c r="E201" s="206"/>
      <c r="F201" s="211"/>
      <c r="G201" s="216"/>
      <c r="H201" s="217"/>
      <c r="I201" s="154" t="str">
        <f t="shared" si="40"/>
        <v>-</v>
      </c>
      <c r="J201" s="204" t="s">
        <v>139</v>
      </c>
      <c r="K201" s="191" t="str">
        <f t="shared" si="41"/>
        <v>-</v>
      </c>
      <c r="L201" s="191" t="str">
        <f>IF(F201="","-",IF(K201&lt;&gt;"",VLOOKUP(K201,T100Pts!CH$4:CI$59,(2))))</f>
        <v>-</v>
      </c>
      <c r="M201" s="190"/>
      <c r="N201" s="191" t="str">
        <f>IF($L201="X","-",IF(M201="","-",IF(J201="M",VLOOKUP(M201,T100Pts!U$5:AC$86,(L201+1)),IF(J201="F",VLOOKUP(M201,T100Pts!AE$5:AM$86,(L201+1)),""))))</f>
        <v>-</v>
      </c>
      <c r="O201" s="190"/>
      <c r="P201" s="192" t="str">
        <f>IF($L201="X","-",IF(O201="","-",IF(J201="M",VLOOKUP(O201,T100Pts!AO$5:AW$126,(L201+1)),IF(J201="F",VLOOKUP(O201,T100Pts!AY$5:BG$126,(L201+1)),""))))</f>
        <v>-</v>
      </c>
      <c r="Q201" s="193"/>
      <c r="R201" s="192" t="str">
        <f>IF(OR($L201="X",$L201=6,$L201=7),"-",IF(Q201="","-",IF(J201="M",VLOOKUP(Q201,T100Pts!BI$5:BN$44,(L201+1)),IF(J201="F",VLOOKUP(Q201,T100Pts!BU$5:BZ$44,(L201+1)),""))))</f>
        <v>-</v>
      </c>
      <c r="S201" s="190"/>
      <c r="T201" s="192" t="str">
        <f>IF($L201="X","-",IF(S201="","-",IF(J201="M",VLOOKUP(S201,T100Pts!A$5:I$1146,(L201+1)),IF(J201="F",VLOOKUP(S201,T100Pts!K$5:S$1147,(L201+1)),""))))</f>
        <v>-</v>
      </c>
      <c r="U201" s="194" t="str">
        <f t="shared" si="42"/>
        <v>-</v>
      </c>
      <c r="V201" s="195" t="str">
        <f t="shared" si="43"/>
        <v>-</v>
      </c>
      <c r="W201" s="190"/>
      <c r="X201" s="116" t="str">
        <f>IF($L201="X","-",IF(W201="","-",IF(J201="M",VLOOKUP(W201,T100Pts!U$5:AC$86,(L201+1)),IF(J201="F",VLOOKUP(W201,T100Pts!AE$5:AM$86,(L201+1)),""))))</f>
        <v>-</v>
      </c>
      <c r="Y201" s="163"/>
      <c r="Z201" s="116" t="str">
        <f>IF($L201="X","-",IF(Y201="","-",IF(J201="M",VLOOKUP(Y201,T100Pts!AO$5:AW$126,(L201+1)),IF(J201="F",VLOOKUP(Y201,T100Pts!AY$5:BG$126,(L201+1)),""))))</f>
        <v>-</v>
      </c>
      <c r="AA201" s="165"/>
      <c r="AB201" s="116" t="str">
        <f>IF(OR($L201="X",$L201=6,$L201=7),"-",IF(AA201="","-",IF(J201="M",VLOOKUP(AA201,T100Pts!BI$5:BN$44,(L201+1)),IF(J201="F",VLOOKUP(AA201,T100Pts!BU$5:BZ$44,(L201+1)),""))))</f>
        <v>-</v>
      </c>
      <c r="AC201" s="163"/>
      <c r="AD201" s="116" t="str">
        <f>IF($L201="X","-",IF(AC201="","-",IF(J201="M",VLOOKUP(AC201,T100Pts!A$5:I$1146,(L201+1)),IF(J201="F",VLOOKUP(AC201,T100Pts!K$5:S$1146,(L201+1)),""))))</f>
        <v>-</v>
      </c>
      <c r="AE201" s="117" t="str">
        <f t="shared" si="44"/>
        <v>-</v>
      </c>
      <c r="AF201" s="114" t="str">
        <f t="shared" si="45"/>
        <v>-</v>
      </c>
      <c r="AG201" s="115" t="e">
        <f t="shared" si="33"/>
        <v>#DIV/0!</v>
      </c>
      <c r="AH201" s="114" t="str">
        <f t="shared" si="46"/>
        <v>-</v>
      </c>
      <c r="AI201" s="161" t="s">
        <v>225</v>
      </c>
      <c r="AJ201" s="77" t="str">
        <f t="shared" si="37"/>
        <v/>
      </c>
    </row>
    <row r="202" spans="1:36" ht="16.5" customHeight="1" x14ac:dyDescent="0.25">
      <c r="A202" s="138">
        <v>189</v>
      </c>
      <c r="B202" s="189"/>
      <c r="C202" s="137"/>
      <c r="D202" s="212"/>
      <c r="E202" s="207"/>
      <c r="F202" s="213"/>
      <c r="G202" s="214"/>
      <c r="H202" s="215"/>
      <c r="I202" s="154" t="str">
        <f t="shared" si="40"/>
        <v>-</v>
      </c>
      <c r="J202" s="204" t="s">
        <v>139</v>
      </c>
      <c r="K202" s="191" t="str">
        <f t="shared" si="41"/>
        <v>-</v>
      </c>
      <c r="L202" s="191" t="str">
        <f>IF(F202="","-",IF(K202&lt;&gt;"",VLOOKUP(K202,T100Pts!CH$4:CI$59,(2))))</f>
        <v>-</v>
      </c>
      <c r="M202" s="190"/>
      <c r="N202" s="191" t="str">
        <f>IF($L202="X","-",IF(M202="","-",IF(J202="M",VLOOKUP(M202,T100Pts!U$5:AC$86,(L202+1)),IF(J202="F",VLOOKUP(M202,T100Pts!AE$5:AM$86,(L202+1)),""))))</f>
        <v>-</v>
      </c>
      <c r="O202" s="190"/>
      <c r="P202" s="192" t="str">
        <f>IF($L202="X","-",IF(O202="","-",IF(J202="M",VLOOKUP(O202,T100Pts!AO$5:AW$126,(L202+1)),IF(J202="F",VLOOKUP(O202,T100Pts!AY$5:BG$126,(L202+1)),""))))</f>
        <v>-</v>
      </c>
      <c r="Q202" s="193"/>
      <c r="R202" s="192" t="str">
        <f>IF(OR($L202="X",$L202=6,$L202=7),"-",IF(Q202="","-",IF(J202="M",VLOOKUP(Q202,T100Pts!BI$5:BN$44,(L202+1)),IF(J202="F",VLOOKUP(Q202,T100Pts!BU$5:BZ$44,(L202+1)),""))))</f>
        <v>-</v>
      </c>
      <c r="S202" s="190"/>
      <c r="T202" s="192" t="str">
        <f>IF($L202="X","-",IF(S202="","-",IF(J202="M",VLOOKUP(S202,T100Pts!A$5:I$1146,(L202+1)),IF(J202="F",VLOOKUP(S202,T100Pts!K$5:S$1147,(L202+1)),""))))</f>
        <v>-</v>
      </c>
      <c r="U202" s="194" t="str">
        <f t="shared" si="42"/>
        <v>-</v>
      </c>
      <c r="V202" s="195" t="str">
        <f t="shared" si="43"/>
        <v>-</v>
      </c>
      <c r="W202" s="190"/>
      <c r="X202" s="116" t="str">
        <f>IF($L202="X","-",IF(W202="","-",IF(J202="M",VLOOKUP(W202,T100Pts!U$5:AC$86,(L202+1)),IF(J202="F",VLOOKUP(W202,T100Pts!AE$5:AM$86,(L202+1)),""))))</f>
        <v>-</v>
      </c>
      <c r="Y202" s="163"/>
      <c r="Z202" s="116" t="str">
        <f>IF($L202="X","-",IF(Y202="","-",IF(J202="M",VLOOKUP(Y202,T100Pts!AO$5:AW$126,(L202+1)),IF(J202="F",VLOOKUP(Y202,T100Pts!AY$5:BG$126,(L202+1)),""))))</f>
        <v>-</v>
      </c>
      <c r="AA202" s="165"/>
      <c r="AB202" s="116" t="str">
        <f>IF(OR($L202="X",$L202=6,$L202=7),"-",IF(AA202="","-",IF(J202="M",VLOOKUP(AA202,T100Pts!BI$5:BN$44,(L202+1)),IF(J202="F",VLOOKUP(AA202,T100Pts!BU$5:BZ$44,(L202+1)),""))))</f>
        <v>-</v>
      </c>
      <c r="AC202" s="227"/>
      <c r="AD202" s="116" t="str">
        <f>IF($L202="X","-",IF(AC202="","-",IF(J202="M",VLOOKUP(AC202,T100Pts!A$5:I$1146,(L202+1)),IF(J202="F",VLOOKUP(AC202,T100Pts!K$5:S$1146,(L202+1)),""))))</f>
        <v>-</v>
      </c>
      <c r="AE202" s="117" t="str">
        <f t="shared" si="44"/>
        <v>-</v>
      </c>
      <c r="AF202" s="114" t="str">
        <f t="shared" si="45"/>
        <v>-</v>
      </c>
      <c r="AG202" s="115" t="e">
        <f t="shared" si="33"/>
        <v>#DIV/0!</v>
      </c>
      <c r="AH202" s="114" t="str">
        <f t="shared" si="46"/>
        <v>-</v>
      </c>
      <c r="AI202" s="161"/>
      <c r="AJ202" s="77" t="str">
        <f t="shared" si="37"/>
        <v/>
      </c>
    </row>
    <row r="203" spans="1:36" ht="16.5" customHeight="1" x14ac:dyDescent="0.25">
      <c r="A203" s="138">
        <v>190</v>
      </c>
      <c r="B203" s="189"/>
      <c r="C203" s="137"/>
      <c r="D203" s="208"/>
      <c r="E203" s="206"/>
      <c r="F203" s="211"/>
      <c r="G203" s="216"/>
      <c r="H203" s="217"/>
      <c r="I203" s="154" t="str">
        <f t="shared" si="40"/>
        <v>-</v>
      </c>
      <c r="J203" s="205" t="s">
        <v>140</v>
      </c>
      <c r="K203" s="191" t="str">
        <f t="shared" si="41"/>
        <v>-</v>
      </c>
      <c r="L203" s="191" t="str">
        <f>IF(F203="","-",IF(K203&lt;&gt;"",VLOOKUP(K203,T100Pts!CH$4:CI$59,(2))))</f>
        <v>-</v>
      </c>
      <c r="M203" s="190"/>
      <c r="N203" s="191" t="str">
        <f>IF($L203="X","-",IF(M203="","-",IF(J203="M",VLOOKUP(M203,T100Pts!U$5:AC$86,(L203+1)),IF(J203="F",VLOOKUP(M203,T100Pts!AE$5:AM$86,(L203+1)),""))))</f>
        <v>-</v>
      </c>
      <c r="O203" s="190"/>
      <c r="P203" s="192" t="str">
        <f>IF($L203="X","-",IF(O203="","-",IF(J203="M",VLOOKUP(O203,T100Pts!AO$5:AW$126,(L203+1)),IF(J203="F",VLOOKUP(O203,T100Pts!AY$5:BG$126,(L203+1)),""))))</f>
        <v>-</v>
      </c>
      <c r="Q203" s="193"/>
      <c r="R203" s="192" t="str">
        <f>IF(OR($L203="X",$L203=6,$L203=7),"-",IF(Q203="","-",IF(J203="M",VLOOKUP(Q203,T100Pts!BI$5:BN$44,(L203+1)),IF(J203="F",VLOOKUP(Q203,T100Pts!BU$5:BZ$44,(L203+1)),""))))</f>
        <v>-</v>
      </c>
      <c r="S203" s="190"/>
      <c r="T203" s="192" t="str">
        <f>IF($L203="X","-",IF(S203="","-",IF(J203="M",VLOOKUP(S203,T100Pts!A$5:I$1146,(L203+1)),IF(J203="F",VLOOKUP(S203,T100Pts!K$5:S$1147,(L203+1)),""))))</f>
        <v>-</v>
      </c>
      <c r="U203" s="194" t="str">
        <f t="shared" si="42"/>
        <v>-</v>
      </c>
      <c r="V203" s="195" t="str">
        <f t="shared" si="43"/>
        <v>-</v>
      </c>
      <c r="W203" s="190"/>
      <c r="X203" s="116" t="str">
        <f>IF($L203="X","-",IF(W203="","-",IF(J203="M",VLOOKUP(W203,T100Pts!U$5:AC$86,(L203+1)),IF(J203="F",VLOOKUP(W203,T100Pts!AE$5:AM$86,(L203+1)),""))))</f>
        <v>-</v>
      </c>
      <c r="Y203" s="163"/>
      <c r="Z203" s="116" t="str">
        <f>IF($L203="X","-",IF(Y203="","-",IF(J203="M",VLOOKUP(Y203,T100Pts!AO$5:AW$126,(L203+1)),IF(J203="F",VLOOKUP(Y203,T100Pts!AY$5:BG$126,(L203+1)),""))))</f>
        <v>-</v>
      </c>
      <c r="AA203" s="165"/>
      <c r="AB203" s="116" t="str">
        <f>IF(OR($L203="X",$L203=6,$L203=7),"-",IF(AA203="","-",IF(J203="M",VLOOKUP(AA203,T100Pts!BI$5:BN$44,(L203+1)),IF(J203="F",VLOOKUP(AA203,T100Pts!BU$5:BZ$44,(L203+1)),""))))</f>
        <v>-</v>
      </c>
      <c r="AC203" s="163"/>
      <c r="AD203" s="116" t="str">
        <f>IF($L203="X","-",IF(AC203="","-",IF(J203="M",VLOOKUP(AC203,T100Pts!A$5:I$1146,(L203+1)),IF(J203="F",VLOOKUP(AC203,T100Pts!K$5:S$1146,(L203+1)),""))))</f>
        <v>-</v>
      </c>
      <c r="AE203" s="117" t="str">
        <f t="shared" si="44"/>
        <v>-</v>
      </c>
      <c r="AF203" s="114" t="str">
        <f t="shared" si="45"/>
        <v>-</v>
      </c>
      <c r="AG203" s="115" t="e">
        <f t="shared" si="33"/>
        <v>#DIV/0!</v>
      </c>
      <c r="AH203" s="114" t="str">
        <f t="shared" si="46"/>
        <v>-</v>
      </c>
      <c r="AI203" s="161" t="s">
        <v>226</v>
      </c>
      <c r="AJ203" s="77" t="str">
        <f t="shared" si="37"/>
        <v/>
      </c>
    </row>
    <row r="204" spans="1:36" ht="16.5" customHeight="1" x14ac:dyDescent="0.25">
      <c r="A204" s="138">
        <v>191</v>
      </c>
      <c r="B204" s="189"/>
      <c r="C204" s="137"/>
      <c r="D204" s="212"/>
      <c r="E204" s="207"/>
      <c r="F204" s="213"/>
      <c r="G204" s="214"/>
      <c r="H204" s="215"/>
      <c r="I204" s="154" t="str">
        <f t="shared" si="40"/>
        <v>-</v>
      </c>
      <c r="J204" s="204" t="s">
        <v>140</v>
      </c>
      <c r="K204" s="191" t="str">
        <f t="shared" si="41"/>
        <v>-</v>
      </c>
      <c r="L204" s="191" t="str">
        <f>IF(F204="","-",IF(K204&lt;&gt;"",VLOOKUP(K204,T100Pts!CH$4:CI$59,(2))))</f>
        <v>-</v>
      </c>
      <c r="M204" s="190"/>
      <c r="N204" s="191" t="str">
        <f>IF($L204="X","-",IF(M204="","-",IF(J204="M",VLOOKUP(M204,T100Pts!U$5:AC$86,(L204+1)),IF(J204="F",VLOOKUP(M204,T100Pts!AE$5:AM$86,(L204+1)),""))))</f>
        <v>-</v>
      </c>
      <c r="O204" s="190"/>
      <c r="P204" s="192" t="str">
        <f>IF($L204="X","-",IF(O204="","-",IF(J204="M",VLOOKUP(O204,T100Pts!AO$5:AW$126,(L204+1)),IF(J204="F",VLOOKUP(O204,T100Pts!AY$5:BG$126,(L204+1)),""))))</f>
        <v>-</v>
      </c>
      <c r="Q204" s="193"/>
      <c r="R204" s="192" t="str">
        <f>IF(OR($L204="X",$L204=6,$L204=7),"-",IF(Q204="","-",IF(J204="M",VLOOKUP(Q204,T100Pts!BI$5:BN$44,(L204+1)),IF(J204="F",VLOOKUP(Q204,T100Pts!BU$5:BZ$44,(L204+1)),""))))</f>
        <v>-</v>
      </c>
      <c r="S204" s="190"/>
      <c r="T204" s="192" t="str">
        <f>IF($L204="X","-",IF(S204="","-",IF(J204="M",VLOOKUP(S204,T100Pts!A$5:I$1146,(L204+1)),IF(J204="F",VLOOKUP(S204,T100Pts!K$5:S$1147,(L204+1)),""))))</f>
        <v>-</v>
      </c>
      <c r="U204" s="194" t="str">
        <f t="shared" si="42"/>
        <v>-</v>
      </c>
      <c r="V204" s="195" t="str">
        <f t="shared" si="43"/>
        <v>-</v>
      </c>
      <c r="W204" s="190"/>
      <c r="X204" s="116" t="str">
        <f>IF($L204="X","-",IF(W204="","-",IF(J204="M",VLOOKUP(W204,T100Pts!U$5:AC$86,(L204+1)),IF(J204="F",VLOOKUP(W204,T100Pts!AE$5:AM$86,(L204+1)),""))))</f>
        <v>-</v>
      </c>
      <c r="Y204" s="163"/>
      <c r="Z204" s="116" t="str">
        <f>IF($L204="X","-",IF(Y204="","-",IF(J204="M",VLOOKUP(Y204,T100Pts!AO$5:AW$126,(L204+1)),IF(J204="F",VLOOKUP(Y204,T100Pts!AY$5:BG$126,(L204+1)),""))))</f>
        <v>-</v>
      </c>
      <c r="AA204" s="165"/>
      <c r="AB204" s="116" t="str">
        <f>IF(OR($L204="X",$L204=6,$L204=7),"-",IF(AA204="","-",IF(J204="M",VLOOKUP(AA204,T100Pts!BI$5:BN$44,(L204+1)),IF(J204="F",VLOOKUP(AA204,T100Pts!BU$5:BZ$44,(L204+1)),""))))</f>
        <v>-</v>
      </c>
      <c r="AC204" s="163"/>
      <c r="AD204" s="116" t="str">
        <f>IF($L204="X","-",IF(AC204="","-",IF(J204="M",VLOOKUP(AC204,T100Pts!A$5:I$1146,(L204+1)),IF(J204="F",VLOOKUP(AC204,T100Pts!K$5:S$1146,(L204+1)),""))))</f>
        <v>-</v>
      </c>
      <c r="AE204" s="117" t="str">
        <f t="shared" si="44"/>
        <v>-</v>
      </c>
      <c r="AF204" s="114" t="str">
        <f t="shared" si="45"/>
        <v>-</v>
      </c>
      <c r="AG204" s="115" t="e">
        <f t="shared" si="33"/>
        <v>#DIV/0!</v>
      </c>
      <c r="AH204" s="114" t="str">
        <f t="shared" si="46"/>
        <v>-</v>
      </c>
      <c r="AI204" s="161" t="s">
        <v>186</v>
      </c>
      <c r="AJ204" s="77" t="str">
        <f t="shared" si="37"/>
        <v/>
      </c>
    </row>
    <row r="205" spans="1:36" ht="16.5" customHeight="1" x14ac:dyDescent="0.25">
      <c r="A205" s="138">
        <v>192</v>
      </c>
      <c r="B205" s="189"/>
      <c r="C205" s="137"/>
      <c r="D205" s="208"/>
      <c r="E205" s="206"/>
      <c r="F205" s="211"/>
      <c r="G205" s="216"/>
      <c r="H205" s="217"/>
      <c r="I205" s="154" t="str">
        <f t="shared" si="40"/>
        <v>-</v>
      </c>
      <c r="J205" s="205" t="s">
        <v>139</v>
      </c>
      <c r="K205" s="191" t="str">
        <f t="shared" si="41"/>
        <v>-</v>
      </c>
      <c r="L205" s="191" t="str">
        <f>IF(F205="","-",IF(K205&lt;&gt;"",VLOOKUP(K205,T100Pts!CH$4:CI$59,(2))))</f>
        <v>-</v>
      </c>
      <c r="M205" s="190"/>
      <c r="N205" s="191" t="str">
        <f>IF($L205="X","-",IF(M205="","-",IF(J205="M",VLOOKUP(M205,T100Pts!U$5:AC$86,(L205+1)),IF(J205="F",VLOOKUP(M205,T100Pts!AE$5:AM$86,(L205+1)),""))))</f>
        <v>-</v>
      </c>
      <c r="O205" s="190"/>
      <c r="P205" s="192" t="str">
        <f>IF($L205="X","-",IF(O205="","-",IF(J205="M",VLOOKUP(O205,T100Pts!AO$5:AW$126,(L205+1)),IF(J205="F",VLOOKUP(O205,T100Pts!AY$5:BG$126,(L205+1)),""))))</f>
        <v>-</v>
      </c>
      <c r="Q205" s="193"/>
      <c r="R205" s="192" t="str">
        <f>IF(OR($L205="X",$L205=6,$L205=7),"-",IF(Q205="","-",IF(J205="M",VLOOKUP(Q205,T100Pts!BI$5:BN$44,(L205+1)),IF(J205="F",VLOOKUP(Q205,T100Pts!BU$5:BZ$44,(L205+1)),""))))</f>
        <v>-</v>
      </c>
      <c r="S205" s="190"/>
      <c r="T205" s="192" t="str">
        <f>IF($L205="X","-",IF(S205="","-",IF(J205="M",VLOOKUP(S205,T100Pts!A$5:I$1146,(L205+1)),IF(J205="F",VLOOKUP(S205,T100Pts!K$5:S$1147,(L205+1)),""))))</f>
        <v>-</v>
      </c>
      <c r="U205" s="194" t="str">
        <f t="shared" si="42"/>
        <v>-</v>
      </c>
      <c r="V205" s="195" t="str">
        <f t="shared" si="43"/>
        <v>-</v>
      </c>
      <c r="W205" s="190"/>
      <c r="X205" s="116" t="str">
        <f>IF($L205="X","-",IF(W205="","-",IF(J205="M",VLOOKUP(W205,T100Pts!U$5:AC$86,(L205+1)),IF(J205="F",VLOOKUP(W205,T100Pts!AE$5:AM$86,(L205+1)),""))))</f>
        <v>-</v>
      </c>
      <c r="Y205" s="163"/>
      <c r="Z205" s="116" t="str">
        <f>IF($L205="X","-",IF(Y205="","-",IF(J205="M",VLOOKUP(Y205,T100Pts!AO$5:AW$126,(L205+1)),IF(J205="F",VLOOKUP(Y205,T100Pts!AY$5:BG$126,(L205+1)),""))))</f>
        <v>-</v>
      </c>
      <c r="AA205" s="165"/>
      <c r="AB205" s="116" t="str">
        <f>IF(OR($L205="X",$L205=6,$L205=7),"-",IF(AA205="","-",IF(J205="M",VLOOKUP(AA205,T100Pts!BI$5:BN$44,(L205+1)),IF(J205="F",VLOOKUP(AA205,T100Pts!BU$5:BZ$44,(L205+1)),""))))</f>
        <v>-</v>
      </c>
      <c r="AC205" s="227"/>
      <c r="AD205" s="116" t="str">
        <f>IF($L205="X","-",IF(AC205="","-",IF(J205="M",VLOOKUP(AC205,T100Pts!A$5:I$1146,(L205+1)),IF(J205="F",VLOOKUP(AC205,T100Pts!K$5:S$1146,(L205+1)),""))))</f>
        <v>-</v>
      </c>
      <c r="AE205" s="117" t="str">
        <f t="shared" si="44"/>
        <v>-</v>
      </c>
      <c r="AF205" s="114" t="str">
        <f t="shared" si="45"/>
        <v>-</v>
      </c>
      <c r="AG205" s="115" t="e">
        <f t="shared" si="33"/>
        <v>#DIV/0!</v>
      </c>
      <c r="AH205" s="114" t="str">
        <f t="shared" si="46"/>
        <v>-</v>
      </c>
      <c r="AI205" s="161"/>
      <c r="AJ205" s="77" t="str">
        <f t="shared" si="37"/>
        <v/>
      </c>
    </row>
    <row r="206" spans="1:36" ht="16.5" customHeight="1" x14ac:dyDescent="0.25">
      <c r="A206" s="138">
        <v>193</v>
      </c>
      <c r="B206" s="189"/>
      <c r="C206" s="137"/>
      <c r="D206" s="212"/>
      <c r="E206" s="207"/>
      <c r="F206" s="213"/>
      <c r="G206" s="214"/>
      <c r="H206" s="215"/>
      <c r="I206" s="154" t="str">
        <f t="shared" si="40"/>
        <v>-</v>
      </c>
      <c r="J206" s="205" t="s">
        <v>139</v>
      </c>
      <c r="K206" s="191" t="str">
        <f t="shared" si="41"/>
        <v>-</v>
      </c>
      <c r="L206" s="191" t="str">
        <f>IF(F206="","-",IF(K206&lt;&gt;"",VLOOKUP(K206,T100Pts!CH$4:CI$59,(2))))</f>
        <v>-</v>
      </c>
      <c r="M206" s="190"/>
      <c r="N206" s="191" t="str">
        <f>IF($L206="X","-",IF(M206="","-",IF(J206="M",VLOOKUP(M206,T100Pts!U$5:AC$86,(L206+1)),IF(J206="F",VLOOKUP(M206,T100Pts!AE$5:AM$86,(L206+1)),""))))</f>
        <v>-</v>
      </c>
      <c r="O206" s="190"/>
      <c r="P206" s="192" t="str">
        <f>IF($L206="X","-",IF(O206="","-",IF(J206="M",VLOOKUP(O206,T100Pts!AO$5:AW$126,(L206+1)),IF(J206="F",VLOOKUP(O206,T100Pts!AY$5:BG$126,(L206+1)),""))))</f>
        <v>-</v>
      </c>
      <c r="Q206" s="193"/>
      <c r="R206" s="192" t="str">
        <f>IF(OR($L206="X",$L206=6,$L206=7),"-",IF(Q206="","-",IF(J206="M",VLOOKUP(Q206,T100Pts!BI$5:BN$44,(L206+1)),IF(J206="F",VLOOKUP(Q206,T100Pts!BU$5:BZ$44,(L206+1)),""))))</f>
        <v>-</v>
      </c>
      <c r="S206" s="190"/>
      <c r="T206" s="192" t="str">
        <f>IF($L206="X","-",IF(S206="","-",IF(J206="M",VLOOKUP(S206,T100Pts!A$5:I$1146,(L206+1)),IF(J206="F",VLOOKUP(S206,T100Pts!K$5:S$1147,(L206+1)),""))))</f>
        <v>-</v>
      </c>
      <c r="U206" s="194" t="str">
        <f t="shared" si="42"/>
        <v>-</v>
      </c>
      <c r="V206" s="195" t="str">
        <f t="shared" si="43"/>
        <v>-</v>
      </c>
      <c r="W206" s="190"/>
      <c r="X206" s="116" t="str">
        <f>IF($L206="X","-",IF(W206="","-",IF(J206="M",VLOOKUP(W206,T100Pts!U$5:AC$86,(L206+1)),IF(J206="F",VLOOKUP(W206,T100Pts!AE$5:AM$86,(L206+1)),""))))</f>
        <v>-</v>
      </c>
      <c r="Y206" s="163"/>
      <c r="Z206" s="116" t="str">
        <f>IF($L206="X","-",IF(Y206="","-",IF(J206="M",VLOOKUP(Y206,T100Pts!AO$5:AW$126,(L206+1)),IF(J206="F",VLOOKUP(Y206,T100Pts!AY$5:BG$126,(L206+1)),""))))</f>
        <v>-</v>
      </c>
      <c r="AA206" s="165"/>
      <c r="AB206" s="116" t="str">
        <f>IF(OR($L206="X",$L206=6,$L206=7),"-",IF(AA206="","-",IF(J206="M",VLOOKUP(AA206,T100Pts!BI$5:BN$44,(L206+1)),IF(J206="F",VLOOKUP(AA206,T100Pts!BU$5:BZ$44,(L206+1)),""))))</f>
        <v>-</v>
      </c>
      <c r="AC206" s="163"/>
      <c r="AD206" s="116" t="str">
        <f>IF($L206="X","-",IF(AC206="","-",IF(J206="M",VLOOKUP(AC206,T100Pts!A$5:I$1146,(L206+1)),IF(J206="F",VLOOKUP(AC206,T100Pts!K$5:S$1146,(L206+1)),""))))</f>
        <v>-</v>
      </c>
      <c r="AE206" s="117" t="str">
        <f t="shared" si="44"/>
        <v>-</v>
      </c>
      <c r="AF206" s="114" t="str">
        <f t="shared" si="45"/>
        <v>-</v>
      </c>
      <c r="AG206" s="115" t="e">
        <f t="shared" si="33"/>
        <v>#DIV/0!</v>
      </c>
      <c r="AH206" s="114" t="str">
        <f t="shared" si="46"/>
        <v>-</v>
      </c>
      <c r="AI206" s="161"/>
      <c r="AJ206" s="77" t="str">
        <f t="shared" si="37"/>
        <v/>
      </c>
    </row>
    <row r="207" spans="1:36" ht="16.5" customHeight="1" x14ac:dyDescent="0.25">
      <c r="A207" s="138">
        <v>194</v>
      </c>
      <c r="B207" s="189"/>
      <c r="C207" s="137"/>
      <c r="D207" s="208"/>
      <c r="E207" s="206"/>
      <c r="F207" s="211"/>
      <c r="G207" s="216"/>
      <c r="H207" s="217"/>
      <c r="I207" s="154" t="str">
        <f t="shared" si="40"/>
        <v>-</v>
      </c>
      <c r="J207" s="204" t="s">
        <v>140</v>
      </c>
      <c r="K207" s="191" t="str">
        <f t="shared" si="41"/>
        <v>-</v>
      </c>
      <c r="L207" s="191" t="str">
        <f>IF(F207="","-",IF(K207&lt;&gt;"",VLOOKUP(K207,T100Pts!CH$4:CI$59,(2))))</f>
        <v>-</v>
      </c>
      <c r="M207" s="190"/>
      <c r="N207" s="191" t="str">
        <f>IF($L207="X","-",IF(M207="","-",IF(J207="M",VLOOKUP(M207,T100Pts!U$5:AC$86,(L207+1)),IF(J207="F",VLOOKUP(M207,T100Pts!AE$5:AM$86,(L207+1)),""))))</f>
        <v>-</v>
      </c>
      <c r="O207" s="190"/>
      <c r="P207" s="192" t="str">
        <f>IF($L207="X","-",IF(O207="","-",IF(J207="M",VLOOKUP(O207,T100Pts!AO$5:AW$126,(L207+1)),IF(J207="F",VLOOKUP(O207,T100Pts!AY$5:BG$126,(L207+1)),""))))</f>
        <v>-</v>
      </c>
      <c r="Q207" s="193"/>
      <c r="R207" s="192" t="str">
        <f>IF(OR($L207="X",$L207=6,$L207=7),"-",IF(Q207="","-",IF(J207="M",VLOOKUP(Q207,T100Pts!BI$5:BN$44,(L207+1)),IF(J207="F",VLOOKUP(Q207,T100Pts!BU$5:BZ$44,(L207+1)),""))))</f>
        <v>-</v>
      </c>
      <c r="S207" s="190"/>
      <c r="T207" s="192" t="str">
        <f>IF($L207="X","-",IF(S207="","-",IF(J207="M",VLOOKUP(S207,T100Pts!A$5:I$1146,(L207+1)),IF(J207="F",VLOOKUP(S207,T100Pts!K$5:S$1147,(L207+1)),""))))</f>
        <v>-</v>
      </c>
      <c r="U207" s="194" t="str">
        <f t="shared" si="42"/>
        <v>-</v>
      </c>
      <c r="V207" s="195" t="str">
        <f t="shared" si="43"/>
        <v>-</v>
      </c>
      <c r="W207" s="190"/>
      <c r="X207" s="116" t="str">
        <f>IF($L207="X","-",IF(W207="","-",IF(J207="M",VLOOKUP(W207,T100Pts!U$5:AC$86,(L207+1)),IF(J207="F",VLOOKUP(W207,T100Pts!AE$5:AM$86,(L207+1)),""))))</f>
        <v>-</v>
      </c>
      <c r="Y207" s="163"/>
      <c r="Z207" s="116" t="str">
        <f>IF($L207="X","-",IF(Y207="","-",IF(J207="M",VLOOKUP(Y207,T100Pts!AO$5:AW$126,(L207+1)),IF(J207="F",VLOOKUP(Y207,T100Pts!AY$5:BG$126,(L207+1)),""))))</f>
        <v>-</v>
      </c>
      <c r="AA207" s="165"/>
      <c r="AB207" s="116" t="str">
        <f>IF(OR($L207="X",$L207=6,$L207=7),"-",IF(AA207="","-",IF(J207="M",VLOOKUP(AA207,T100Pts!BI$5:BN$44,(L207+1)),IF(J207="F",VLOOKUP(AA207,T100Pts!BU$5:BZ$44,(L207+1)),""))))</f>
        <v>-</v>
      </c>
      <c r="AC207" s="228"/>
      <c r="AD207" s="116" t="str">
        <f>IF($L207="X","-",IF(AC207="","-",IF(J207="M",VLOOKUP(AC207,T100Pts!A$5:I$1146,(L207+1)),IF(J207="F",VLOOKUP(AC207,T100Pts!K$5:S$1146,(L207+1)),""))))</f>
        <v>-</v>
      </c>
      <c r="AE207" s="117" t="str">
        <f t="shared" si="44"/>
        <v>-</v>
      </c>
      <c r="AF207" s="114" t="str">
        <f t="shared" si="45"/>
        <v>-</v>
      </c>
      <c r="AG207" s="115" t="e">
        <f t="shared" ref="AG207:AG240" si="47">AVERAGE(U207,AE207)</f>
        <v>#DIV/0!</v>
      </c>
      <c r="AH207" s="114" t="str">
        <f t="shared" si="46"/>
        <v>-</v>
      </c>
      <c r="AI207" s="161"/>
      <c r="AJ207" s="77" t="str">
        <f t="shared" si="37"/>
        <v/>
      </c>
    </row>
    <row r="208" spans="1:36" ht="16.5" customHeight="1" x14ac:dyDescent="0.25">
      <c r="A208" s="138">
        <v>195</v>
      </c>
      <c r="B208" s="189"/>
      <c r="C208" s="137"/>
      <c r="D208" s="212"/>
      <c r="E208" s="207"/>
      <c r="F208" s="213"/>
      <c r="G208" s="214"/>
      <c r="H208" s="215"/>
      <c r="I208" s="154" t="str">
        <f t="shared" si="40"/>
        <v>-</v>
      </c>
      <c r="J208" s="204" t="s">
        <v>140</v>
      </c>
      <c r="K208" s="191" t="str">
        <f t="shared" si="41"/>
        <v>-</v>
      </c>
      <c r="L208" s="191" t="str">
        <f>IF(F208="","-",IF(K208&lt;&gt;"",VLOOKUP(K208,T100Pts!CH$4:CI$59,(2))))</f>
        <v>-</v>
      </c>
      <c r="M208" s="190"/>
      <c r="N208" s="191" t="str">
        <f>IF($L208="X","-",IF(M208="","-",IF(J208="M",VLOOKUP(M208,T100Pts!U$5:AC$86,(L208+1)),IF(J208="F",VLOOKUP(M208,T100Pts!AE$5:AM$86,(L208+1)),""))))</f>
        <v>-</v>
      </c>
      <c r="O208" s="190"/>
      <c r="P208" s="192" t="str">
        <f>IF($L208="X","-",IF(O208="","-",IF(J208="M",VLOOKUP(O208,T100Pts!AO$5:AW$126,(L208+1)),IF(J208="F",VLOOKUP(O208,T100Pts!AY$5:BG$126,(L208+1)),""))))</f>
        <v>-</v>
      </c>
      <c r="Q208" s="193"/>
      <c r="R208" s="192" t="str">
        <f>IF(OR($L208="X",$L208=6,$L208=7),"-",IF(Q208="","-",IF(J208="M",VLOOKUP(Q208,T100Pts!BI$5:BN$44,(L208+1)),IF(J208="F",VLOOKUP(Q208,T100Pts!BU$5:BZ$44,(L208+1)),""))))</f>
        <v>-</v>
      </c>
      <c r="S208" s="190"/>
      <c r="T208" s="192" t="str">
        <f>IF($L208="X","-",IF(S208="","-",IF(J208="M",VLOOKUP(S208,T100Pts!A$5:I$1146,(L208+1)),IF(J208="F",VLOOKUP(S208,T100Pts!K$5:S$1147,(L208+1)),""))))</f>
        <v>-</v>
      </c>
      <c r="U208" s="194" t="str">
        <f t="shared" si="42"/>
        <v>-</v>
      </c>
      <c r="V208" s="195" t="str">
        <f t="shared" si="43"/>
        <v>-</v>
      </c>
      <c r="W208" s="190"/>
      <c r="X208" s="116" t="str">
        <f>IF($L208="X","-",IF(W208="","-",IF(J208="M",VLOOKUP(W208,T100Pts!U$5:AC$86,(L208+1)),IF(J208="F",VLOOKUP(W208,T100Pts!AE$5:AM$86,(L208+1)),""))))</f>
        <v>-</v>
      </c>
      <c r="Y208" s="163"/>
      <c r="Z208" s="116" t="str">
        <f>IF($L208="X","-",IF(Y208="","-",IF(J208="M",VLOOKUP(Y208,T100Pts!AO$5:AW$126,(L208+1)),IF(J208="F",VLOOKUP(Y208,T100Pts!AY$5:BG$126,(L208+1)),""))))</f>
        <v>-</v>
      </c>
      <c r="AA208" s="165"/>
      <c r="AB208" s="116" t="str">
        <f>IF(OR($L208="X",$L208=6,$L208=7),"-",IF(AA208="","-",IF(J208="M",VLOOKUP(AA208,T100Pts!BI$5:BN$44,(L208+1)),IF(J208="F",VLOOKUP(AA208,T100Pts!BU$5:BZ$44,(L208+1)),""))))</f>
        <v>-</v>
      </c>
      <c r="AC208" s="228"/>
      <c r="AD208" s="116" t="str">
        <f>IF($L208="X","-",IF(AC208="","-",IF(J208="M",VLOOKUP(AC208,T100Pts!A$5:I$1146,(L208+1)),IF(J208="F",VLOOKUP(AC208,T100Pts!K$5:S$1146,(L208+1)),""))))</f>
        <v>-</v>
      </c>
      <c r="AE208" s="117" t="str">
        <f t="shared" si="44"/>
        <v>-</v>
      </c>
      <c r="AF208" s="114" t="str">
        <f t="shared" si="45"/>
        <v>-</v>
      </c>
      <c r="AG208" s="115" t="e">
        <f t="shared" si="47"/>
        <v>#DIV/0!</v>
      </c>
      <c r="AH208" s="114" t="str">
        <f t="shared" si="46"/>
        <v>-</v>
      </c>
      <c r="AI208" s="161"/>
      <c r="AJ208" s="77" t="str">
        <f t="shared" si="37"/>
        <v/>
      </c>
    </row>
    <row r="209" spans="1:36" ht="16.5" customHeight="1" x14ac:dyDescent="0.25">
      <c r="A209" s="138">
        <v>196</v>
      </c>
      <c r="B209" s="189"/>
      <c r="C209" s="137"/>
      <c r="D209" s="208"/>
      <c r="E209" s="206"/>
      <c r="F209" s="211"/>
      <c r="G209" s="216"/>
      <c r="H209" s="217"/>
      <c r="I209" s="154" t="str">
        <f t="shared" si="40"/>
        <v>-</v>
      </c>
      <c r="J209" s="205" t="s">
        <v>139</v>
      </c>
      <c r="K209" s="191" t="str">
        <f t="shared" si="41"/>
        <v>-</v>
      </c>
      <c r="L209" s="191" t="str">
        <f>IF(F209="","-",IF(K209&lt;&gt;"",VLOOKUP(K209,T100Pts!CH$4:CI$59,(2))))</f>
        <v>-</v>
      </c>
      <c r="M209" s="190"/>
      <c r="N209" s="191" t="str">
        <f>IF($L209="X","-",IF(M209="","-",IF(J209="M",VLOOKUP(M209,T100Pts!U$5:AC$86,(L209+1)),IF(J209="F",VLOOKUP(M209,T100Pts!AE$5:AM$86,(L209+1)),""))))</f>
        <v>-</v>
      </c>
      <c r="O209" s="190"/>
      <c r="P209" s="192" t="str">
        <f>IF($L209="X","-",IF(O209="","-",IF(J209="M",VLOOKUP(O209,T100Pts!AO$5:AW$126,(L209+1)),IF(J209="F",VLOOKUP(O209,T100Pts!AY$5:BG$126,(L209+1)),""))))</f>
        <v>-</v>
      </c>
      <c r="Q209" s="193"/>
      <c r="R209" s="192" t="str">
        <f>IF(OR($L209="X",$L209=6,$L209=7),"-",IF(Q209="","-",IF(J209="M",VLOOKUP(Q209,T100Pts!BI$5:BN$44,(L209+1)),IF(J209="F",VLOOKUP(Q209,T100Pts!BU$5:BZ$44,(L209+1)),""))))</f>
        <v>-</v>
      </c>
      <c r="S209" s="190"/>
      <c r="T209" s="192" t="str">
        <f>IF($L209="X","-",IF(S209="","-",IF(J209="M",VLOOKUP(S209,T100Pts!A$5:I$1146,(L209+1)),IF(J209="F",VLOOKUP(S209,T100Pts!K$5:S$1147,(L209+1)),""))))</f>
        <v>-</v>
      </c>
      <c r="U209" s="194" t="str">
        <f t="shared" si="42"/>
        <v>-</v>
      </c>
      <c r="V209" s="195" t="str">
        <f t="shared" si="43"/>
        <v>-</v>
      </c>
      <c r="W209" s="190"/>
      <c r="X209" s="116" t="str">
        <f>IF($L209="X","-",IF(W209="","-",IF(J209="M",VLOOKUP(W209,T100Pts!U$5:AC$86,(L209+1)),IF(J209="F",VLOOKUP(W209,T100Pts!AE$5:AM$86,(L209+1)),""))))</f>
        <v>-</v>
      </c>
      <c r="Y209" s="163"/>
      <c r="Z209" s="116" t="str">
        <f>IF($L209="X","-",IF(Y209="","-",IF(J209="M",VLOOKUP(Y209,T100Pts!AO$5:AW$126,(L209+1)),IF(J209="F",VLOOKUP(Y209,T100Pts!AY$5:BG$126,(L209+1)),""))))</f>
        <v>-</v>
      </c>
      <c r="AA209" s="165"/>
      <c r="AB209" s="116" t="str">
        <f>IF(OR($L209="X",$L209=6,$L209=7),"-",IF(AA209="","-",IF(J209="M",VLOOKUP(AA209,T100Pts!BI$5:BN$44,(L209+1)),IF(J209="F",VLOOKUP(AA209,T100Pts!BU$5:BZ$44,(L209+1)),""))))</f>
        <v>-</v>
      </c>
      <c r="AC209" s="228"/>
      <c r="AD209" s="116" t="str">
        <f>IF($L209="X","-",IF(AC209="","-",IF(J209="M",VLOOKUP(AC209,T100Pts!A$5:I$1146,(L209+1)),IF(J209="F",VLOOKUP(AC209,T100Pts!K$5:S$1146,(L209+1)),""))))</f>
        <v>-</v>
      </c>
      <c r="AE209" s="117" t="str">
        <f t="shared" si="44"/>
        <v>-</v>
      </c>
      <c r="AF209" s="114" t="str">
        <f t="shared" si="45"/>
        <v>-</v>
      </c>
      <c r="AG209" s="115" t="e">
        <f t="shared" si="47"/>
        <v>#DIV/0!</v>
      </c>
      <c r="AH209" s="114" t="str">
        <f t="shared" si="46"/>
        <v>-</v>
      </c>
      <c r="AI209" s="161"/>
      <c r="AJ209" s="77" t="str">
        <f t="shared" si="37"/>
        <v/>
      </c>
    </row>
    <row r="210" spans="1:36" ht="16.5" customHeight="1" x14ac:dyDescent="0.25">
      <c r="A210" s="138">
        <v>197</v>
      </c>
      <c r="B210" s="189"/>
      <c r="C210" s="137"/>
      <c r="D210" s="212"/>
      <c r="E210" s="207"/>
      <c r="F210" s="213"/>
      <c r="G210" s="214"/>
      <c r="H210" s="215"/>
      <c r="I210" s="154" t="str">
        <f t="shared" si="40"/>
        <v>-</v>
      </c>
      <c r="J210" s="205" t="s">
        <v>140</v>
      </c>
      <c r="K210" s="191" t="str">
        <f t="shared" si="41"/>
        <v>-</v>
      </c>
      <c r="L210" s="191" t="str">
        <f>IF(F210="","-",IF(K210&lt;&gt;"",VLOOKUP(K210,T100Pts!CH$4:CI$59,(2))))</f>
        <v>-</v>
      </c>
      <c r="M210" s="190"/>
      <c r="N210" s="191" t="str">
        <f>IF($L210="X","-",IF(M210="","-",IF(J210="M",VLOOKUP(M210,T100Pts!U$5:AC$86,(L210+1)),IF(J210="F",VLOOKUP(M210,T100Pts!AE$5:AM$86,(L210+1)),""))))</f>
        <v>-</v>
      </c>
      <c r="O210" s="190"/>
      <c r="P210" s="192" t="str">
        <f>IF($L210="X","-",IF(O210="","-",IF(J210="M",VLOOKUP(O210,T100Pts!AO$5:AW$126,(L210+1)),IF(J210="F",VLOOKUP(O210,T100Pts!AY$5:BG$126,(L210+1)),""))))</f>
        <v>-</v>
      </c>
      <c r="Q210" s="193"/>
      <c r="R210" s="192" t="str">
        <f>IF(OR($L210="X",$L210=6,$L210=7),"-",IF(Q210="","-",IF(J210="M",VLOOKUP(Q210,T100Pts!BI$5:BN$44,(L210+1)),IF(J210="F",VLOOKUP(Q210,T100Pts!BU$5:BZ$44,(L210+1)),""))))</f>
        <v>-</v>
      </c>
      <c r="S210" s="190"/>
      <c r="T210" s="192" t="str">
        <f>IF($L210="X","-",IF(S210="","-",IF(J210="M",VLOOKUP(S210,T100Pts!A$5:I$1146,(L210+1)),IF(J210="F",VLOOKUP(S210,T100Pts!K$5:S$1147,(L210+1)),""))))</f>
        <v>-</v>
      </c>
      <c r="U210" s="194" t="str">
        <f t="shared" si="42"/>
        <v>-</v>
      </c>
      <c r="V210" s="195" t="str">
        <f t="shared" si="43"/>
        <v>-</v>
      </c>
      <c r="W210" s="190"/>
      <c r="X210" s="116" t="str">
        <f>IF($L210="X","-",IF(W210="","-",IF(J210="M",VLOOKUP(W210,T100Pts!U$5:AC$86,(L210+1)),IF(J210="F",VLOOKUP(W210,T100Pts!AE$5:AM$86,(L210+1)),""))))</f>
        <v>-</v>
      </c>
      <c r="Y210" s="163"/>
      <c r="Z210" s="116" t="str">
        <f>IF($L210="X","-",IF(Y210="","-",IF(J210="M",VLOOKUP(Y210,T100Pts!AO$5:AW$126,(L210+1)),IF(J210="F",VLOOKUP(Y210,T100Pts!AY$5:BG$126,(L210+1)),""))))</f>
        <v>-</v>
      </c>
      <c r="AA210" s="165"/>
      <c r="AB210" s="116" t="str">
        <f>IF(OR($L210="X",$L210=6,$L210=7),"-",IF(AA210="","-",IF(J210="M",VLOOKUP(AA210,T100Pts!BI$5:BN$44,(L210+1)),IF(J210="F",VLOOKUP(AA210,T100Pts!BU$5:BZ$44,(L210+1)),""))))</f>
        <v>-</v>
      </c>
      <c r="AC210" s="163"/>
      <c r="AD210" s="116" t="str">
        <f>IF($L210="X","-",IF(AC210="","-",IF(J210="M",VLOOKUP(AC210,T100Pts!A$5:I$1146,(L210+1)),IF(J210="F",VLOOKUP(AC210,T100Pts!K$5:S$1146,(L210+1)),""))))</f>
        <v>-</v>
      </c>
      <c r="AE210" s="117" t="str">
        <f t="shared" si="44"/>
        <v>-</v>
      </c>
      <c r="AF210" s="114" t="str">
        <f t="shared" si="45"/>
        <v>-</v>
      </c>
      <c r="AG210" s="115" t="e">
        <f t="shared" si="47"/>
        <v>#DIV/0!</v>
      </c>
      <c r="AH210" s="114" t="str">
        <f t="shared" si="46"/>
        <v>-</v>
      </c>
      <c r="AI210" s="161" t="s">
        <v>227</v>
      </c>
      <c r="AJ210" s="77" t="str">
        <f t="shared" si="37"/>
        <v/>
      </c>
    </row>
    <row r="211" spans="1:36" ht="16.5" customHeight="1" x14ac:dyDescent="0.25">
      <c r="A211" s="138">
        <v>198</v>
      </c>
      <c r="B211" s="189"/>
      <c r="C211" s="137"/>
      <c r="D211" s="208"/>
      <c r="E211" s="206"/>
      <c r="F211" s="211"/>
      <c r="G211" s="216"/>
      <c r="H211" s="217"/>
      <c r="I211" s="154" t="str">
        <f t="shared" si="40"/>
        <v>-</v>
      </c>
      <c r="J211" s="205" t="s">
        <v>140</v>
      </c>
      <c r="K211" s="191" t="str">
        <f t="shared" si="41"/>
        <v>-</v>
      </c>
      <c r="L211" s="191" t="str">
        <f>IF(F211="","-",IF(K211&lt;&gt;"",VLOOKUP(K211,T100Pts!CH$4:CI$59,(2))))</f>
        <v>-</v>
      </c>
      <c r="M211" s="190"/>
      <c r="N211" s="191" t="str">
        <f>IF($L211="X","-",IF(M211="","-",IF(J211="M",VLOOKUP(M211,T100Pts!U$5:AC$86,(L211+1)),IF(J211="F",VLOOKUP(M211,T100Pts!AE$5:AM$86,(L211+1)),""))))</f>
        <v>-</v>
      </c>
      <c r="O211" s="190"/>
      <c r="P211" s="192" t="str">
        <f>IF($L211="X","-",IF(O211="","-",IF(J211="M",VLOOKUP(O211,T100Pts!AO$5:AW$126,(L211+1)),IF(J211="F",VLOOKUP(O211,T100Pts!AY$5:BG$126,(L211+1)),""))))</f>
        <v>-</v>
      </c>
      <c r="Q211" s="193"/>
      <c r="R211" s="192" t="str">
        <f>IF(OR($L211="X",$L211=6,$L211=7),"-",IF(Q211="","-",IF(J211="M",VLOOKUP(Q211,T100Pts!BI$5:BN$44,(L211+1)),IF(J211="F",VLOOKUP(Q211,T100Pts!BU$5:BZ$44,(L211+1)),""))))</f>
        <v>-</v>
      </c>
      <c r="S211" s="190"/>
      <c r="T211" s="192" t="str">
        <f>IF($L211="X","-",IF(S211="","-",IF(J211="M",VLOOKUP(S211,T100Pts!A$5:I$1146,(L211+1)),IF(J211="F",VLOOKUP(S211,T100Pts!K$5:S$1147,(L211+1)),""))))</f>
        <v>-</v>
      </c>
      <c r="U211" s="194" t="str">
        <f t="shared" si="42"/>
        <v>-</v>
      </c>
      <c r="V211" s="195" t="str">
        <f t="shared" si="43"/>
        <v>-</v>
      </c>
      <c r="W211" s="190"/>
      <c r="X211" s="116" t="str">
        <f>IF($L211="X","-",IF(W211="","-",IF(J211="M",VLOOKUP(W211,T100Pts!U$5:AC$86,(L211+1)),IF(J211="F",VLOOKUP(W211,T100Pts!AE$5:AM$86,(L211+1)),""))))</f>
        <v>-</v>
      </c>
      <c r="Y211" s="163"/>
      <c r="Z211" s="116" t="str">
        <f>IF($L211="X","-",IF(Y211="","-",IF(J211="M",VLOOKUP(Y211,T100Pts!AO$5:AW$126,(L211+1)),IF(J211="F",VLOOKUP(Y211,T100Pts!AY$5:BG$126,(L211+1)),""))))</f>
        <v>-</v>
      </c>
      <c r="AA211" s="165"/>
      <c r="AB211" s="116" t="str">
        <f>IF(OR($L211="X",$L211=6,$L211=7),"-",IF(AA211="","-",IF(J211="M",VLOOKUP(AA211,T100Pts!BI$5:BN$44,(L211+1)),IF(J211="F",VLOOKUP(AA211,T100Pts!BU$5:BZ$44,(L211+1)),""))))</f>
        <v>-</v>
      </c>
      <c r="AC211" s="227"/>
      <c r="AD211" s="116" t="str">
        <f>IF($L211="X","-",IF(AC211="","-",IF(J211="M",VLOOKUP(AC211,T100Pts!A$5:I$1146,(L211+1)),IF(J211="F",VLOOKUP(AC211,T100Pts!K$5:S$1146,(L211+1)),""))))</f>
        <v>-</v>
      </c>
      <c r="AE211" s="117" t="str">
        <f t="shared" si="44"/>
        <v>-</v>
      </c>
      <c r="AF211" s="114" t="str">
        <f t="shared" si="45"/>
        <v>-</v>
      </c>
      <c r="AG211" s="115" t="e">
        <f t="shared" si="47"/>
        <v>#DIV/0!</v>
      </c>
      <c r="AH211" s="114" t="str">
        <f t="shared" si="46"/>
        <v>-</v>
      </c>
      <c r="AI211" s="161"/>
      <c r="AJ211" s="77" t="str">
        <f t="shared" si="37"/>
        <v/>
      </c>
    </row>
    <row r="212" spans="1:36" ht="16.5" customHeight="1" x14ac:dyDescent="0.25">
      <c r="A212" s="138">
        <v>199</v>
      </c>
      <c r="B212" s="189"/>
      <c r="C212" s="137"/>
      <c r="D212" s="212"/>
      <c r="E212" s="207"/>
      <c r="F212" s="213"/>
      <c r="G212" s="214"/>
      <c r="H212" s="215"/>
      <c r="I212" s="154" t="str">
        <f t="shared" si="40"/>
        <v>-</v>
      </c>
      <c r="J212" s="203" t="s">
        <v>139</v>
      </c>
      <c r="K212" s="191" t="str">
        <f t="shared" si="41"/>
        <v>-</v>
      </c>
      <c r="L212" s="191" t="str">
        <f>IF(F212="","-",IF(K212&lt;&gt;"",VLOOKUP(K212,T100Pts!CH$4:CI$59,(2))))</f>
        <v>-</v>
      </c>
      <c r="M212" s="190"/>
      <c r="N212" s="191" t="str">
        <f>IF($L212="X","-",IF(M212="","-",IF(J212="M",VLOOKUP(M212,T100Pts!U$5:AC$86,(L212+1)),IF(J212="F",VLOOKUP(M212,T100Pts!AE$5:AM$86,(L212+1)),""))))</f>
        <v>-</v>
      </c>
      <c r="O212" s="190"/>
      <c r="P212" s="192" t="str">
        <f>IF($L212="X","-",IF(O212="","-",IF(J212="M",VLOOKUP(O212,T100Pts!AO$5:AW$126,(L212+1)),IF(J212="F",VLOOKUP(O212,T100Pts!AY$5:BG$126,(L212+1)),""))))</f>
        <v>-</v>
      </c>
      <c r="Q212" s="193"/>
      <c r="R212" s="192" t="str">
        <f>IF(OR($L212="X",$L212=6,$L212=7),"-",IF(Q212="","-",IF(J212="M",VLOOKUP(Q212,T100Pts!BI$5:BN$44,(L212+1)),IF(J212="F",VLOOKUP(Q212,T100Pts!BU$5:BZ$44,(L212+1)),""))))</f>
        <v>-</v>
      </c>
      <c r="S212" s="190"/>
      <c r="T212" s="192" t="str">
        <f>IF($L212="X","-",IF(S212="","-",IF(J212="M",VLOOKUP(S212,T100Pts!A$5:I$1146,(L212+1)),IF(J212="F",VLOOKUP(S212,T100Pts!K$5:S$1147,(L212+1)),""))))</f>
        <v>-</v>
      </c>
      <c r="U212" s="194" t="str">
        <f t="shared" si="42"/>
        <v>-</v>
      </c>
      <c r="V212" s="195" t="str">
        <f t="shared" si="43"/>
        <v>-</v>
      </c>
      <c r="W212" s="190"/>
      <c r="X212" s="116" t="str">
        <f>IF($L212="X","-",IF(W212="","-",IF(J212="M",VLOOKUP(W212,T100Pts!U$5:AC$86,(L212+1)),IF(J212="F",VLOOKUP(W212,T100Pts!AE$5:AM$86,(L212+1)),""))))</f>
        <v>-</v>
      </c>
      <c r="Y212" s="163"/>
      <c r="Z212" s="116" t="str">
        <f>IF($L212="X","-",IF(Y212="","-",IF(J212="M",VLOOKUP(Y212,T100Pts!AO$5:AW$126,(L212+1)),IF(J212="F",VLOOKUP(Y212,T100Pts!AY$5:BG$126,(L212+1)),""))))</f>
        <v>-</v>
      </c>
      <c r="AA212" s="165"/>
      <c r="AB212" s="116" t="str">
        <f>IF(OR($L212="X",$L212=6,$L212=7),"-",IF(AA212="","-",IF(J212="M",VLOOKUP(AA212,T100Pts!BI$5:BN$44,(L212+1)),IF(J212="F",VLOOKUP(AA212,T100Pts!BU$5:BZ$44,(L212+1)),""))))</f>
        <v>-</v>
      </c>
      <c r="AC212" s="228"/>
      <c r="AD212" s="116" t="str">
        <f>IF($L212="X","-",IF(AC212="","-",IF(J212="M",VLOOKUP(AC212,T100Pts!A$5:I$1146,(L212+1)),IF(J212="F",VLOOKUP(AC212,T100Pts!K$5:S$1146,(L212+1)),""))))</f>
        <v>-</v>
      </c>
      <c r="AE212" s="117" t="str">
        <f t="shared" si="44"/>
        <v>-</v>
      </c>
      <c r="AF212" s="114" t="str">
        <f t="shared" si="45"/>
        <v>-</v>
      </c>
      <c r="AG212" s="115" t="e">
        <f t="shared" si="47"/>
        <v>#DIV/0!</v>
      </c>
      <c r="AH212" s="114" t="str">
        <f t="shared" si="46"/>
        <v>-</v>
      </c>
      <c r="AI212" s="161"/>
      <c r="AJ212" s="77" t="str">
        <f t="shared" si="37"/>
        <v/>
      </c>
    </row>
    <row r="213" spans="1:36" ht="16.5" customHeight="1" x14ac:dyDescent="0.25">
      <c r="A213" s="138">
        <v>200</v>
      </c>
      <c r="B213" s="189"/>
      <c r="C213" s="137"/>
      <c r="D213" s="208"/>
      <c r="E213" s="206"/>
      <c r="F213" s="211"/>
      <c r="G213" s="216"/>
      <c r="H213" s="217"/>
      <c r="I213" s="154" t="str">
        <f t="shared" si="40"/>
        <v>-</v>
      </c>
      <c r="J213" s="203" t="s">
        <v>140</v>
      </c>
      <c r="K213" s="191" t="str">
        <f t="shared" si="41"/>
        <v>-</v>
      </c>
      <c r="L213" s="191" t="str">
        <f>IF(F213="","-",IF(K213&lt;&gt;"",VLOOKUP(K213,T100Pts!CH$4:CI$59,(2))))</f>
        <v>-</v>
      </c>
      <c r="M213" s="190"/>
      <c r="N213" s="191" t="str">
        <f>IF($L213="X","-",IF(M213="","-",IF(J213="M",VLOOKUP(M213,T100Pts!U$5:AC$86,(L213+1)),IF(J213="F",VLOOKUP(M213,T100Pts!AE$5:AM$86,(L213+1)),""))))</f>
        <v>-</v>
      </c>
      <c r="O213" s="190"/>
      <c r="P213" s="192" t="str">
        <f>IF($L213="X","-",IF(O213="","-",IF(J213="M",VLOOKUP(O213,T100Pts!AO$5:AW$126,(L213+1)),IF(J213="F",VLOOKUP(O213,T100Pts!AY$5:BG$126,(L213+1)),""))))</f>
        <v>-</v>
      </c>
      <c r="Q213" s="193"/>
      <c r="R213" s="192" t="str">
        <f>IF(OR($L213="X",$L213=6,$L213=7),"-",IF(Q213="","-",IF(J213="M",VLOOKUP(Q213,T100Pts!BI$5:BN$44,(L213+1)),IF(J213="F",VLOOKUP(Q213,T100Pts!BU$5:BZ$44,(L213+1)),""))))</f>
        <v>-</v>
      </c>
      <c r="S213" s="190"/>
      <c r="T213" s="192" t="str">
        <f>IF($L213="X","-",IF(S213="","-",IF(J213="M",VLOOKUP(S213,T100Pts!A$5:I$1146,(L213+1)),IF(J213="F",VLOOKUP(S213,T100Pts!K$5:S$1147,(L213+1)),""))))</f>
        <v>-</v>
      </c>
      <c r="U213" s="194" t="str">
        <f t="shared" si="42"/>
        <v>-</v>
      </c>
      <c r="V213" s="195" t="str">
        <f t="shared" si="43"/>
        <v>-</v>
      </c>
      <c r="W213" s="190"/>
      <c r="X213" s="116" t="str">
        <f>IF($L213="X","-",IF(W213="","-",IF(J213="M",VLOOKUP(W213,T100Pts!U$5:AC$86,(L213+1)),IF(J213="F",VLOOKUP(W213,T100Pts!AE$5:AM$86,(L213+1)),""))))</f>
        <v>-</v>
      </c>
      <c r="Y213" s="163"/>
      <c r="Z213" s="116" t="str">
        <f>IF($L213="X","-",IF(Y213="","-",IF(J213="M",VLOOKUP(Y213,T100Pts!AO$5:AW$126,(L213+1)),IF(J213="F",VLOOKUP(Y213,T100Pts!AY$5:BG$126,(L213+1)),""))))</f>
        <v>-</v>
      </c>
      <c r="AA213" s="165"/>
      <c r="AB213" s="116" t="str">
        <f>IF(OR($L213="X",$L213=6,$L213=7),"-",IF(AA213="","-",IF(J213="M",VLOOKUP(AA213,T100Pts!BI$5:BN$44,(L213+1)),IF(J213="F",VLOOKUP(AA213,T100Pts!BU$5:BZ$44,(L213+1)),""))))</f>
        <v>-</v>
      </c>
      <c r="AC213" s="163"/>
      <c r="AD213" s="116" t="str">
        <f>IF($L213="X","-",IF(AC213="","-",IF(J213="M",VLOOKUP(AC213,T100Pts!A$5:I$1146,(L213+1)),IF(J213="F",VLOOKUP(AC213,T100Pts!K$5:S$1146,(L213+1)),""))))</f>
        <v>-</v>
      </c>
      <c r="AE213" s="117" t="str">
        <f t="shared" si="44"/>
        <v>-</v>
      </c>
      <c r="AF213" s="114" t="str">
        <f t="shared" si="45"/>
        <v>-</v>
      </c>
      <c r="AG213" s="115" t="e">
        <f t="shared" si="47"/>
        <v>#DIV/0!</v>
      </c>
      <c r="AH213" s="114" t="str">
        <f t="shared" si="46"/>
        <v>-</v>
      </c>
      <c r="AI213" s="161"/>
      <c r="AJ213" s="77" t="str">
        <f t="shared" si="37"/>
        <v/>
      </c>
    </row>
    <row r="214" spans="1:36" ht="16.5" customHeight="1" x14ac:dyDescent="0.25">
      <c r="A214" s="138">
        <v>201</v>
      </c>
      <c r="B214" s="189"/>
      <c r="C214" s="137"/>
      <c r="D214" s="212"/>
      <c r="E214" s="207"/>
      <c r="F214" s="213"/>
      <c r="G214" s="214"/>
      <c r="H214" s="215"/>
      <c r="I214" s="154" t="str">
        <f t="shared" si="40"/>
        <v>-</v>
      </c>
      <c r="J214" s="203" t="s">
        <v>139</v>
      </c>
      <c r="K214" s="191" t="str">
        <f t="shared" si="41"/>
        <v>-</v>
      </c>
      <c r="L214" s="191" t="str">
        <f>IF(F214="","-",IF(K214&lt;&gt;"",VLOOKUP(K214,T100Pts!CH$4:CI$59,(2))))</f>
        <v>-</v>
      </c>
      <c r="M214" s="190"/>
      <c r="N214" s="191" t="str">
        <f>IF($L214="X","-",IF(M214="","-",IF(J214="M",VLOOKUP(M214,T100Pts!U$5:AC$86,(L214+1)),IF(J214="F",VLOOKUP(M214,T100Pts!AE$5:AM$86,(L214+1)),""))))</f>
        <v>-</v>
      </c>
      <c r="O214" s="190"/>
      <c r="P214" s="192" t="str">
        <f>IF($L214="X","-",IF(O214="","-",IF(J214="M",VLOOKUP(O214,T100Pts!AO$5:AW$126,(L214+1)),IF(J214="F",VLOOKUP(O214,T100Pts!AY$5:BG$126,(L214+1)),""))))</f>
        <v>-</v>
      </c>
      <c r="Q214" s="193"/>
      <c r="R214" s="192" t="str">
        <f>IF(OR($L214="X",$L214=6,$L214=7),"-",IF(Q214="","-",IF(J214="M",VLOOKUP(Q214,T100Pts!BI$5:BN$44,(L214+1)),IF(J214="F",VLOOKUP(Q214,T100Pts!BU$5:BZ$44,(L214+1)),""))))</f>
        <v>-</v>
      </c>
      <c r="S214" s="190"/>
      <c r="T214" s="192" t="str">
        <f>IF($L214="X","-",IF(S214="","-",IF(J214="M",VLOOKUP(S214,T100Pts!A$5:I$1146,(L214+1)),IF(J214="F",VLOOKUP(S214,T100Pts!K$5:S$1147,(L214+1)),""))))</f>
        <v>-</v>
      </c>
      <c r="U214" s="194" t="str">
        <f t="shared" si="42"/>
        <v>-</v>
      </c>
      <c r="V214" s="195" t="str">
        <f t="shared" si="43"/>
        <v>-</v>
      </c>
      <c r="W214" s="190"/>
      <c r="X214" s="116" t="str">
        <f>IF($L214="X","-",IF(W214="","-",IF(J214="M",VLOOKUP(W214,T100Pts!U$5:AC$86,(L214+1)),IF(J214="F",VLOOKUP(W214,T100Pts!AE$5:AM$86,(L214+1)),""))))</f>
        <v>-</v>
      </c>
      <c r="Y214" s="163"/>
      <c r="Z214" s="116" t="str">
        <f>IF($L214="X","-",IF(Y214="","-",IF(J214="M",VLOOKUP(Y214,T100Pts!AO$5:AW$126,(L214+1)),IF(J214="F",VLOOKUP(Y214,T100Pts!AY$5:BG$126,(L214+1)),""))))</f>
        <v>-</v>
      </c>
      <c r="AA214" s="165"/>
      <c r="AB214" s="116" t="str">
        <f>IF(OR($L214="X",$L214=6,$L214=7),"-",IF(AA214="","-",IF(J214="M",VLOOKUP(AA214,T100Pts!BI$5:BN$44,(L214+1)),IF(J214="F",VLOOKUP(AA214,T100Pts!BU$5:BZ$44,(L214+1)),""))))</f>
        <v>-</v>
      </c>
      <c r="AC214" s="227"/>
      <c r="AD214" s="116" t="str">
        <f>IF($L214="X","-",IF(AC214="","-",IF(J214="M",VLOOKUP(AC214,T100Pts!A$5:I$1146,(L214+1)),IF(J214="F",VLOOKUP(AC214,T100Pts!K$5:S$1146,(L214+1)),""))))</f>
        <v>-</v>
      </c>
      <c r="AE214" s="117" t="str">
        <f t="shared" si="44"/>
        <v>-</v>
      </c>
      <c r="AF214" s="114" t="str">
        <f t="shared" si="45"/>
        <v>-</v>
      </c>
      <c r="AG214" s="115" t="e">
        <f t="shared" si="47"/>
        <v>#DIV/0!</v>
      </c>
      <c r="AH214" s="114" t="str">
        <f t="shared" si="46"/>
        <v>-</v>
      </c>
      <c r="AI214" s="161"/>
      <c r="AJ214" s="77" t="str">
        <f t="shared" si="37"/>
        <v/>
      </c>
    </row>
    <row r="215" spans="1:36" ht="16.5" customHeight="1" x14ac:dyDescent="0.25">
      <c r="A215" s="138">
        <v>202</v>
      </c>
      <c r="B215" s="189"/>
      <c r="C215" s="137"/>
      <c r="D215" s="208"/>
      <c r="E215" s="206"/>
      <c r="F215" s="211"/>
      <c r="G215" s="216"/>
      <c r="H215" s="217"/>
      <c r="I215" s="154" t="str">
        <f t="shared" si="40"/>
        <v>-</v>
      </c>
      <c r="J215" s="203" t="s">
        <v>140</v>
      </c>
      <c r="K215" s="191" t="str">
        <f t="shared" si="41"/>
        <v>-</v>
      </c>
      <c r="L215" s="191" t="str">
        <f>IF(F215="","-",IF(K215&lt;&gt;"",VLOOKUP(K215,T100Pts!CH$4:CI$59,(2))))</f>
        <v>-</v>
      </c>
      <c r="M215" s="190"/>
      <c r="N215" s="191" t="str">
        <f>IF($L215="X","-",IF(M215="","-",IF(J215="M",VLOOKUP(M215,T100Pts!U$5:AC$86,(L215+1)),IF(J215="F",VLOOKUP(M215,T100Pts!AE$5:AM$86,(L215+1)),""))))</f>
        <v>-</v>
      </c>
      <c r="O215" s="190"/>
      <c r="P215" s="192" t="str">
        <f>IF($L215="X","-",IF(O215="","-",IF(J215="M",VLOOKUP(O215,T100Pts!AO$5:AW$126,(L215+1)),IF(J215="F",VLOOKUP(O215,T100Pts!AY$5:BG$126,(L215+1)),""))))</f>
        <v>-</v>
      </c>
      <c r="Q215" s="193"/>
      <c r="R215" s="192" t="str">
        <f>IF(OR($L215="X",$L215=6,$L215=7),"-",IF(Q215="","-",IF(J215="M",VLOOKUP(Q215,T100Pts!BI$5:BN$44,(L215+1)),IF(J215="F",VLOOKUP(Q215,T100Pts!BU$5:BZ$44,(L215+1)),""))))</f>
        <v>-</v>
      </c>
      <c r="S215" s="190"/>
      <c r="T215" s="192" t="str">
        <f>IF($L215="X","-",IF(S215="","-",IF(J215="M",VLOOKUP(S215,T100Pts!A$5:I$1146,(L215+1)),IF(J215="F",VLOOKUP(S215,T100Pts!K$5:S$1147,(L215+1)),""))))</f>
        <v>-</v>
      </c>
      <c r="U215" s="194" t="str">
        <f t="shared" si="42"/>
        <v>-</v>
      </c>
      <c r="V215" s="195" t="str">
        <f t="shared" si="43"/>
        <v>-</v>
      </c>
      <c r="W215" s="190"/>
      <c r="X215" s="116" t="str">
        <f>IF($L215="X","-",IF(W215="","-",IF(J215="M",VLOOKUP(W215,T100Pts!U$5:AC$86,(L215+1)),IF(J215="F",VLOOKUP(W215,T100Pts!AE$5:AM$86,(L215+1)),""))))</f>
        <v>-</v>
      </c>
      <c r="Y215" s="163"/>
      <c r="Z215" s="116" t="str">
        <f>IF($L215="X","-",IF(Y215="","-",IF(J215="M",VLOOKUP(Y215,T100Pts!AO$5:AW$126,(L215+1)),IF(J215="F",VLOOKUP(Y215,T100Pts!AY$5:BG$126,(L215+1)),""))))</f>
        <v>-</v>
      </c>
      <c r="AA215" s="165"/>
      <c r="AB215" s="116" t="str">
        <f>IF(OR($L215="X",$L215=6,$L215=7),"-",IF(AA215="","-",IF(J215="M",VLOOKUP(AA215,T100Pts!BI$5:BN$44,(L215+1)),IF(J215="F",VLOOKUP(AA215,T100Pts!BU$5:BZ$44,(L215+1)),""))))</f>
        <v>-</v>
      </c>
      <c r="AC215" s="228"/>
      <c r="AD215" s="116" t="str">
        <f>IF($L215="X","-",IF(AC215="","-",IF(J215="M",VLOOKUP(AC215,T100Pts!A$5:I$1146,(L215+1)),IF(J215="F",VLOOKUP(AC215,T100Pts!K$5:S$1146,(L215+1)),""))))</f>
        <v>-</v>
      </c>
      <c r="AE215" s="117" t="str">
        <f t="shared" si="44"/>
        <v>-</v>
      </c>
      <c r="AF215" s="114" t="str">
        <f t="shared" si="45"/>
        <v>-</v>
      </c>
      <c r="AG215" s="115" t="e">
        <f t="shared" si="47"/>
        <v>#DIV/0!</v>
      </c>
      <c r="AH215" s="114" t="str">
        <f t="shared" si="46"/>
        <v>-</v>
      </c>
      <c r="AI215" s="161"/>
      <c r="AJ215" s="77" t="str">
        <f t="shared" si="37"/>
        <v/>
      </c>
    </row>
    <row r="216" spans="1:36" ht="16.5" customHeight="1" x14ac:dyDescent="0.25">
      <c r="A216" s="138">
        <v>203</v>
      </c>
      <c r="B216" s="189"/>
      <c r="C216" s="137"/>
      <c r="D216" s="212"/>
      <c r="E216" s="207"/>
      <c r="F216" s="213"/>
      <c r="G216" s="214"/>
      <c r="H216" s="215"/>
      <c r="I216" s="154" t="str">
        <f t="shared" si="40"/>
        <v>-</v>
      </c>
      <c r="J216" s="203" t="s">
        <v>139</v>
      </c>
      <c r="K216" s="191" t="str">
        <f t="shared" si="41"/>
        <v>-</v>
      </c>
      <c r="L216" s="191" t="str">
        <f>IF(F216="","-",IF(K216&lt;&gt;"",VLOOKUP(K216,T100Pts!CH$4:CI$59,(2))))</f>
        <v>-</v>
      </c>
      <c r="M216" s="190"/>
      <c r="N216" s="191" t="str">
        <f>IF($L216="X","-",IF(M216="","-",IF(J216="M",VLOOKUP(M216,T100Pts!U$5:AC$86,(L216+1)),IF(J216="F",VLOOKUP(M216,T100Pts!AE$5:AM$86,(L216+1)),""))))</f>
        <v>-</v>
      </c>
      <c r="O216" s="190"/>
      <c r="P216" s="192" t="str">
        <f>IF($L216="X","-",IF(O216="","-",IF(J216="M",VLOOKUP(O216,T100Pts!AO$5:AW$126,(L216+1)),IF(J216="F",VLOOKUP(O216,T100Pts!AY$5:BG$126,(L216+1)),""))))</f>
        <v>-</v>
      </c>
      <c r="Q216" s="193"/>
      <c r="R216" s="192" t="str">
        <f>IF(OR($L216="X",$L216=6,$L216=7),"-",IF(Q216="","-",IF(J216="M",VLOOKUP(Q216,T100Pts!BI$5:BN$44,(L216+1)),IF(J216="F",VLOOKUP(Q216,T100Pts!BU$5:BZ$44,(L216+1)),""))))</f>
        <v>-</v>
      </c>
      <c r="S216" s="190"/>
      <c r="T216" s="192" t="str">
        <f>IF($L216="X","-",IF(S216="","-",IF(J216="M",VLOOKUP(S216,T100Pts!A$5:I$1146,(L216+1)),IF(J216="F",VLOOKUP(S216,T100Pts!K$5:S$1147,(L216+1)),""))))</f>
        <v>-</v>
      </c>
      <c r="U216" s="194" t="str">
        <f t="shared" si="42"/>
        <v>-</v>
      </c>
      <c r="V216" s="195" t="str">
        <f t="shared" si="43"/>
        <v>-</v>
      </c>
      <c r="W216" s="190"/>
      <c r="X216" s="116" t="str">
        <f>IF($L216="X","-",IF(W216="","-",IF(J216="M",VLOOKUP(W216,T100Pts!U$5:AC$86,(L216+1)),IF(J216="F",VLOOKUP(W216,T100Pts!AE$5:AM$86,(L216+1)),""))))</f>
        <v>-</v>
      </c>
      <c r="Y216" s="163"/>
      <c r="Z216" s="116" t="str">
        <f>IF($L216="X","-",IF(Y216="","-",IF(J216="M",VLOOKUP(Y216,T100Pts!AO$5:AW$126,(L216+1)),IF(J216="F",VLOOKUP(Y216,T100Pts!AY$5:BG$126,(L216+1)),""))))</f>
        <v>-</v>
      </c>
      <c r="AA216" s="165"/>
      <c r="AB216" s="116" t="str">
        <f>IF(OR($L216="X",$L216=6,$L216=7),"-",IF(AA216="","-",IF(J216="M",VLOOKUP(AA216,T100Pts!BI$5:BN$44,(L216+1)),IF(J216="F",VLOOKUP(AA216,T100Pts!BU$5:BZ$44,(L216+1)),""))))</f>
        <v>-</v>
      </c>
      <c r="AC216" s="227"/>
      <c r="AD216" s="116" t="str">
        <f>IF($L216="X","-",IF(AC216="","-",IF(J216="M",VLOOKUP(AC216,T100Pts!A$5:I$1146,(L216+1)),IF(J216="F",VLOOKUP(AC216,T100Pts!K$5:S$1146,(L216+1)),""))))</f>
        <v>-</v>
      </c>
      <c r="AE216" s="117" t="str">
        <f t="shared" si="44"/>
        <v>-</v>
      </c>
      <c r="AF216" s="114" t="str">
        <f t="shared" si="45"/>
        <v>-</v>
      </c>
      <c r="AG216" s="115" t="e">
        <f t="shared" si="47"/>
        <v>#DIV/0!</v>
      </c>
      <c r="AH216" s="114" t="str">
        <f t="shared" si="46"/>
        <v>-</v>
      </c>
      <c r="AI216" s="161"/>
      <c r="AJ216" s="77" t="str">
        <f t="shared" si="37"/>
        <v/>
      </c>
    </row>
    <row r="217" spans="1:36" ht="16.5" customHeight="1" x14ac:dyDescent="0.25">
      <c r="A217" s="138">
        <v>204</v>
      </c>
      <c r="B217" s="189"/>
      <c r="C217" s="137"/>
      <c r="D217" s="212"/>
      <c r="E217" s="207"/>
      <c r="F217" s="213"/>
      <c r="G217" s="214"/>
      <c r="H217" s="215"/>
      <c r="I217" s="154" t="str">
        <f t="shared" si="40"/>
        <v>-</v>
      </c>
      <c r="J217" s="181" t="s">
        <v>140</v>
      </c>
      <c r="K217" s="191" t="str">
        <f t="shared" si="41"/>
        <v>-</v>
      </c>
      <c r="L217" s="191" t="str">
        <f>IF(F217="","-",IF(K217&lt;&gt;"",VLOOKUP(K217,T100Pts!CH$4:CI$59,(2))))</f>
        <v>-</v>
      </c>
      <c r="M217" s="190"/>
      <c r="N217" s="191" t="str">
        <f>IF($L217="X","-",IF(M217="","-",IF(J217="M",VLOOKUP(M217,T100Pts!U$5:AC$86,(L217+1)),IF(J217="F",VLOOKUP(M217,T100Pts!AE$5:AM$86,(L217+1)),""))))</f>
        <v>-</v>
      </c>
      <c r="O217" s="190"/>
      <c r="P217" s="192" t="str">
        <f>IF($L217="X","-",IF(O217="","-",IF(J217="M",VLOOKUP(O217,T100Pts!AO$5:AW$126,(L217+1)),IF(J217="F",VLOOKUP(O217,T100Pts!AY$5:BG$126,(L217+1)),""))))</f>
        <v>-</v>
      </c>
      <c r="Q217" s="193"/>
      <c r="R217" s="192" t="str">
        <f>IF(OR($L217="X",$L217=6,$L217=7),"-",IF(Q217="","-",IF(J217="M",VLOOKUP(Q217,T100Pts!BI$5:BN$44,(L217+1)),IF(J217="F",VLOOKUP(Q217,T100Pts!BU$5:BZ$44,(L217+1)),""))))</f>
        <v>-</v>
      </c>
      <c r="S217" s="190"/>
      <c r="T217" s="192" t="str">
        <f>IF($L217="X","-",IF(S217="","-",IF(J217="M",VLOOKUP(S217,T100Pts!A$5:I$1146,(L217+1)),IF(J217="F",VLOOKUP(S217,T100Pts!K$5:S$1147,(L217+1)),""))))</f>
        <v>-</v>
      </c>
      <c r="U217" s="194" t="str">
        <f t="shared" si="42"/>
        <v>-</v>
      </c>
      <c r="V217" s="195" t="str">
        <f t="shared" si="43"/>
        <v>-</v>
      </c>
      <c r="W217" s="190"/>
      <c r="X217" s="116" t="str">
        <f>IF($L217="X","-",IF(W217="","-",IF(J217="M",VLOOKUP(W217,T100Pts!U$5:AC$86,(L217+1)),IF(J217="F",VLOOKUP(W217,T100Pts!AE$5:AM$86,(L217+1)),""))))</f>
        <v>-</v>
      </c>
      <c r="Y217" s="163"/>
      <c r="Z217" s="116" t="str">
        <f>IF($L217="X","-",IF(Y217="","-",IF(J217="M",VLOOKUP(Y217,T100Pts!AO$5:AW$126,(L217+1)),IF(J217="F",VLOOKUP(Y217,T100Pts!AY$5:BG$126,(L217+1)),""))))</f>
        <v>-</v>
      </c>
      <c r="AA217" s="165"/>
      <c r="AB217" s="116" t="str">
        <f>IF(OR($L217="X",$L217=6,$L217=7),"-",IF(AA217="","-",IF(J217="M",VLOOKUP(AA217,T100Pts!BI$5:BN$44,(L217+1)),IF(J217="F",VLOOKUP(AA217,T100Pts!BU$5:BZ$44,(L217+1)),""))))</f>
        <v>-</v>
      </c>
      <c r="AC217" s="163"/>
      <c r="AD217" s="116" t="str">
        <f>IF($L217="X","-",IF(AC217="","-",IF(J217="M",VLOOKUP(AC217,T100Pts!A$5:I$1146,(L217+1)),IF(J217="F",VLOOKUP(AC217,T100Pts!K$5:S$1146,(L217+1)),""))))</f>
        <v>-</v>
      </c>
      <c r="AE217" s="117" t="str">
        <f t="shared" si="44"/>
        <v>-</v>
      </c>
      <c r="AF217" s="114" t="str">
        <f t="shared" si="45"/>
        <v>-</v>
      </c>
      <c r="AG217" s="115" t="e">
        <f t="shared" si="47"/>
        <v>#DIV/0!</v>
      </c>
      <c r="AH217" s="114" t="str">
        <f t="shared" si="46"/>
        <v>-</v>
      </c>
      <c r="AI217" s="161" t="s">
        <v>201</v>
      </c>
      <c r="AJ217" s="77" t="str">
        <f t="shared" si="37"/>
        <v/>
      </c>
    </row>
    <row r="218" spans="1:36" ht="16.5" customHeight="1" x14ac:dyDescent="0.25">
      <c r="A218" s="138">
        <v>205</v>
      </c>
      <c r="B218" s="189"/>
      <c r="C218" s="137"/>
      <c r="D218" s="208"/>
      <c r="E218" s="206"/>
      <c r="F218" s="211"/>
      <c r="G218" s="216"/>
      <c r="H218" s="217"/>
      <c r="I218" s="154" t="str">
        <f t="shared" si="40"/>
        <v>-</v>
      </c>
      <c r="J218" s="203" t="s">
        <v>140</v>
      </c>
      <c r="K218" s="191" t="str">
        <f t="shared" si="41"/>
        <v>-</v>
      </c>
      <c r="L218" s="191" t="str">
        <f>IF(F218="","-",IF(K218&lt;&gt;"",VLOOKUP(K218,T100Pts!CH$4:CI$59,(2))))</f>
        <v>-</v>
      </c>
      <c r="M218" s="190"/>
      <c r="N218" s="191" t="str">
        <f>IF($L218="X","-",IF(M218="","-",IF(J218="M",VLOOKUP(M218,T100Pts!U$5:AC$86,(L218+1)),IF(J218="F",VLOOKUP(M218,T100Pts!AE$5:AM$86,(L218+1)),""))))</f>
        <v>-</v>
      </c>
      <c r="O218" s="190"/>
      <c r="P218" s="192" t="str">
        <f>IF($L218="X","-",IF(O218="","-",IF(J218="M",VLOOKUP(O218,T100Pts!AO$5:AW$126,(L218+1)),IF(J218="F",VLOOKUP(O218,T100Pts!AY$5:BG$126,(L218+1)),""))))</f>
        <v>-</v>
      </c>
      <c r="Q218" s="193"/>
      <c r="R218" s="192" t="str">
        <f>IF(OR($L218="X",$L218=6,$L218=7),"-",IF(Q218="","-",IF(J218="M",VLOOKUP(Q218,T100Pts!BI$5:BN$44,(L218+1)),IF(J218="F",VLOOKUP(Q218,T100Pts!BU$5:BZ$44,(L218+1)),""))))</f>
        <v>-</v>
      </c>
      <c r="S218" s="190"/>
      <c r="T218" s="192" t="str">
        <f>IF($L218="X","-",IF(S218="","-",IF(J218="M",VLOOKUP(S218,T100Pts!A$5:I$1146,(L218+1)),IF(J218="F",VLOOKUP(S218,T100Pts!K$5:S$1147,(L218+1)),""))))</f>
        <v>-</v>
      </c>
      <c r="U218" s="194" t="str">
        <f t="shared" si="42"/>
        <v>-</v>
      </c>
      <c r="V218" s="195" t="str">
        <f t="shared" si="43"/>
        <v>-</v>
      </c>
      <c r="W218" s="190"/>
      <c r="X218" s="116" t="str">
        <f>IF($L218="X","-",IF(W218="","-",IF(J218="M",VLOOKUP(W218,T100Pts!U$5:AC$86,(L218+1)),IF(J218="F",VLOOKUP(W218,T100Pts!AE$5:AM$86,(L218+1)),""))))</f>
        <v>-</v>
      </c>
      <c r="Y218" s="163"/>
      <c r="Z218" s="116" t="str">
        <f>IF($L218="X","-",IF(Y218="","-",IF(J218="M",VLOOKUP(Y218,T100Pts!AO$5:AW$126,(L218+1)),IF(J218="F",VLOOKUP(Y218,T100Pts!AY$5:BG$126,(L218+1)),""))))</f>
        <v>-</v>
      </c>
      <c r="AA218" s="165"/>
      <c r="AB218" s="116" t="str">
        <f>IF(OR($L218="X",$L218=6,$L218=7),"-",IF(AA218="","-",IF(J218="M",VLOOKUP(AA218,T100Pts!BI$5:BN$44,(L218+1)),IF(J218="F",VLOOKUP(AA218,T100Pts!BU$5:BZ$44,(L218+1)),""))))</f>
        <v>-</v>
      </c>
      <c r="AC218" s="163"/>
      <c r="AD218" s="116" t="str">
        <f>IF($L218="X","-",IF(AC218="","-",IF(J218="M",VLOOKUP(AC218,T100Pts!A$5:I$1146,(L218+1)),IF(J218="F",VLOOKUP(AC218,T100Pts!K$5:S$1146,(L218+1)),""))))</f>
        <v>-</v>
      </c>
      <c r="AE218" s="117" t="str">
        <f t="shared" si="44"/>
        <v>-</v>
      </c>
      <c r="AF218" s="114" t="str">
        <f t="shared" si="45"/>
        <v>-</v>
      </c>
      <c r="AG218" s="115" t="e">
        <f t="shared" si="47"/>
        <v>#DIV/0!</v>
      </c>
      <c r="AH218" s="114" t="str">
        <f t="shared" si="46"/>
        <v>-</v>
      </c>
      <c r="AI218" s="161" t="s">
        <v>188</v>
      </c>
      <c r="AJ218" s="77" t="str">
        <f t="shared" si="37"/>
        <v/>
      </c>
    </row>
    <row r="219" spans="1:36" ht="16.5" customHeight="1" x14ac:dyDescent="0.25">
      <c r="A219" s="138">
        <v>206</v>
      </c>
      <c r="B219" s="189"/>
      <c r="C219" s="137"/>
      <c r="D219" s="212"/>
      <c r="E219" s="207"/>
      <c r="F219" s="213"/>
      <c r="G219" s="214"/>
      <c r="H219" s="215"/>
      <c r="I219" s="154" t="str">
        <f t="shared" si="40"/>
        <v>-</v>
      </c>
      <c r="J219" s="203" t="s">
        <v>140</v>
      </c>
      <c r="K219" s="191" t="str">
        <f t="shared" si="41"/>
        <v>-</v>
      </c>
      <c r="L219" s="191" t="str">
        <f>IF(F219="","-",IF(K219&lt;&gt;"",VLOOKUP(K219,T100Pts!CH$4:CI$59,(2))))</f>
        <v>-</v>
      </c>
      <c r="M219" s="190"/>
      <c r="N219" s="191" t="str">
        <f>IF($L219="X","-",IF(M219="","-",IF(J219="M",VLOOKUP(M219,T100Pts!U$5:AC$86,(L219+1)),IF(J219="F",VLOOKUP(M219,T100Pts!AE$5:AM$86,(L219+1)),""))))</f>
        <v>-</v>
      </c>
      <c r="O219" s="190"/>
      <c r="P219" s="192" t="str">
        <f>IF($L219="X","-",IF(O219="","-",IF(J219="M",VLOOKUP(O219,T100Pts!AO$5:AW$126,(L219+1)),IF(J219="F",VLOOKUP(O219,T100Pts!AY$5:BG$126,(L219+1)),""))))</f>
        <v>-</v>
      </c>
      <c r="Q219" s="193"/>
      <c r="R219" s="192" t="str">
        <f>IF(OR($L219="X",$L219=6,$L219=7),"-",IF(Q219="","-",IF(J219="M",VLOOKUP(Q219,T100Pts!BI$5:BN$44,(L219+1)),IF(J219="F",VLOOKUP(Q219,T100Pts!BU$5:BZ$44,(L219+1)),""))))</f>
        <v>-</v>
      </c>
      <c r="S219" s="190"/>
      <c r="T219" s="192" t="str">
        <f>IF($L219="X","-",IF(S219="","-",IF(J219="M",VLOOKUP(S219,T100Pts!A$5:I$1146,(L219+1)),IF(J219="F",VLOOKUP(S219,T100Pts!K$5:S$1147,(L219+1)),""))))</f>
        <v>-</v>
      </c>
      <c r="U219" s="194" t="str">
        <f t="shared" si="42"/>
        <v>-</v>
      </c>
      <c r="V219" s="195" t="str">
        <f t="shared" si="43"/>
        <v>-</v>
      </c>
      <c r="W219" s="190"/>
      <c r="X219" s="116" t="str">
        <f>IF($L219="X","-",IF(W219="","-",IF(J219="M",VLOOKUP(W219,T100Pts!U$5:AC$86,(L219+1)),IF(J219="F",VLOOKUP(W219,T100Pts!AE$5:AM$86,(L219+1)),""))))</f>
        <v>-</v>
      </c>
      <c r="Y219" s="163"/>
      <c r="Z219" s="116" t="str">
        <f>IF($L219="X","-",IF(Y219="","-",IF(J219="M",VLOOKUP(Y219,T100Pts!AO$5:AW$126,(L219+1)),IF(J219="F",VLOOKUP(Y219,T100Pts!AY$5:BG$126,(L219+1)),""))))</f>
        <v>-</v>
      </c>
      <c r="AA219" s="165"/>
      <c r="AB219" s="116" t="str">
        <f>IF(OR($L219="X",$L219=6,$L219=7),"-",IF(AA219="","-",IF(J219="M",VLOOKUP(AA219,T100Pts!BI$5:BN$44,(L219+1)),IF(J219="F",VLOOKUP(AA219,T100Pts!BU$5:BZ$44,(L219+1)),""))))</f>
        <v>-</v>
      </c>
      <c r="AC219" s="163"/>
      <c r="AD219" s="116" t="str">
        <f>IF($L219="X","-",IF(AC219="","-",IF(J219="M",VLOOKUP(AC219,T100Pts!A$5:I$1146,(L219+1)),IF(J219="F",VLOOKUP(AC219,T100Pts!K$5:S$1146,(L219+1)),""))))</f>
        <v>-</v>
      </c>
      <c r="AE219" s="117" t="str">
        <f t="shared" si="44"/>
        <v>-</v>
      </c>
      <c r="AF219" s="114" t="str">
        <f t="shared" si="45"/>
        <v>-</v>
      </c>
      <c r="AG219" s="115" t="e">
        <f t="shared" si="47"/>
        <v>#DIV/0!</v>
      </c>
      <c r="AH219" s="114" t="str">
        <f t="shared" si="46"/>
        <v>-</v>
      </c>
      <c r="AI219" s="161" t="s">
        <v>190</v>
      </c>
      <c r="AJ219" s="77" t="str">
        <f t="shared" si="37"/>
        <v/>
      </c>
    </row>
    <row r="220" spans="1:36" ht="16.5" customHeight="1" x14ac:dyDescent="0.25">
      <c r="A220" s="138">
        <v>207</v>
      </c>
      <c r="B220" s="189"/>
      <c r="C220" s="137"/>
      <c r="D220" s="208"/>
      <c r="E220" s="206"/>
      <c r="F220" s="211"/>
      <c r="G220" s="216"/>
      <c r="H220" s="217"/>
      <c r="I220" s="154" t="str">
        <f t="shared" si="40"/>
        <v>-</v>
      </c>
      <c r="J220" s="203" t="s">
        <v>139</v>
      </c>
      <c r="K220" s="191" t="str">
        <f t="shared" si="41"/>
        <v>-</v>
      </c>
      <c r="L220" s="191" t="str">
        <f>IF(F220="","-",IF(K220&lt;&gt;"",VLOOKUP(K220,T100Pts!CH$4:CI$59,(2))))</f>
        <v>-</v>
      </c>
      <c r="M220" s="190"/>
      <c r="N220" s="191" t="str">
        <f>IF($L220="X","-",IF(M220="","-",IF(J220="M",VLOOKUP(M220,T100Pts!U$5:AC$86,(L220+1)),IF(J220="F",VLOOKUP(M220,T100Pts!AE$5:AM$86,(L220+1)),""))))</f>
        <v>-</v>
      </c>
      <c r="O220" s="190"/>
      <c r="P220" s="192" t="str">
        <f>IF($L220="X","-",IF(O220="","-",IF(J220="M",VLOOKUP(O220,T100Pts!AO$5:AW$126,(L220+1)),IF(J220="F",VLOOKUP(O220,T100Pts!AY$5:BG$126,(L220+1)),""))))</f>
        <v>-</v>
      </c>
      <c r="Q220" s="193"/>
      <c r="R220" s="192" t="str">
        <f>IF(OR($L220="X",$L220=6,$L220=7),"-",IF(Q220="","-",IF(J220="M",VLOOKUP(Q220,T100Pts!BI$5:BN$44,(L220+1)),IF(J220="F",VLOOKUP(Q220,T100Pts!BU$5:BZ$44,(L220+1)),""))))</f>
        <v>-</v>
      </c>
      <c r="S220" s="190"/>
      <c r="T220" s="192" t="str">
        <f>IF($L220="X","-",IF(S220="","-",IF(J220="M",VLOOKUP(S220,T100Pts!A$5:I$1146,(L220+1)),IF(J220="F",VLOOKUP(S220,T100Pts!K$5:S$1147,(L220+1)),""))))</f>
        <v>-</v>
      </c>
      <c r="U220" s="194" t="str">
        <f t="shared" si="42"/>
        <v>-</v>
      </c>
      <c r="V220" s="195" t="str">
        <f t="shared" si="43"/>
        <v>-</v>
      </c>
      <c r="W220" s="190"/>
      <c r="X220" s="116" t="str">
        <f>IF($L220="X","-",IF(W220="","-",IF(J220="M",VLOOKUP(W220,T100Pts!U$5:AC$86,(L220+1)),IF(J220="F",VLOOKUP(W220,T100Pts!AE$5:AM$86,(L220+1)),""))))</f>
        <v>-</v>
      </c>
      <c r="Y220" s="163"/>
      <c r="Z220" s="116" t="str">
        <f>IF($L220="X","-",IF(Y220="","-",IF(J220="M",VLOOKUP(Y220,T100Pts!AO$5:AW$126,(L220+1)),IF(J220="F",VLOOKUP(Y220,T100Pts!AY$5:BG$126,(L220+1)),""))))</f>
        <v>-</v>
      </c>
      <c r="AA220" s="165"/>
      <c r="AB220" s="116" t="str">
        <f>IF(OR($L220="X",$L220=6,$L220=7),"-",IF(AA220="","-",IF(J220="M",VLOOKUP(AA220,T100Pts!BI$5:BN$44,(L220+1)),IF(J220="F",VLOOKUP(AA220,T100Pts!BU$5:BZ$44,(L220+1)),""))))</f>
        <v>-</v>
      </c>
      <c r="AC220" s="227"/>
      <c r="AD220" s="116" t="str">
        <f>IF($L220="X","-",IF(AC220="","-",IF(J220="M",VLOOKUP(AC220,T100Pts!A$5:I$1146,(L220+1)),IF(J220="F",VLOOKUP(AC220,T100Pts!K$5:S$1146,(L220+1)),""))))</f>
        <v>-</v>
      </c>
      <c r="AE220" s="117" t="str">
        <f t="shared" si="44"/>
        <v>-</v>
      </c>
      <c r="AF220" s="114" t="str">
        <f t="shared" si="45"/>
        <v>-</v>
      </c>
      <c r="AG220" s="115" t="e">
        <f t="shared" si="47"/>
        <v>#DIV/0!</v>
      </c>
      <c r="AH220" s="114" t="str">
        <f t="shared" si="46"/>
        <v>-</v>
      </c>
      <c r="AI220" s="161"/>
      <c r="AJ220" s="77" t="str">
        <f t="shared" si="37"/>
        <v/>
      </c>
    </row>
    <row r="221" spans="1:36" ht="16.5" customHeight="1" x14ac:dyDescent="0.25">
      <c r="A221" s="138">
        <v>208</v>
      </c>
      <c r="B221" s="189"/>
      <c r="C221" s="137"/>
      <c r="D221" s="212"/>
      <c r="E221" s="207"/>
      <c r="F221" s="213"/>
      <c r="G221" s="214"/>
      <c r="H221" s="215"/>
      <c r="I221" s="154" t="str">
        <f t="shared" si="40"/>
        <v>-</v>
      </c>
      <c r="J221" s="203" t="s">
        <v>139</v>
      </c>
      <c r="K221" s="191" t="str">
        <f t="shared" si="41"/>
        <v>-</v>
      </c>
      <c r="L221" s="191" t="str">
        <f>IF(F221="","-",IF(K221&lt;&gt;"",VLOOKUP(K221,T100Pts!CH$4:CI$59,(2))))</f>
        <v>-</v>
      </c>
      <c r="M221" s="190"/>
      <c r="N221" s="191" t="str">
        <f>IF($L221="X","-",IF(M221="","-",IF(J221="M",VLOOKUP(M221,T100Pts!U$5:AC$86,(L221+1)),IF(J221="F",VLOOKUP(M221,T100Pts!AE$5:AM$86,(L221+1)),""))))</f>
        <v>-</v>
      </c>
      <c r="O221" s="190"/>
      <c r="P221" s="192" t="str">
        <f>IF($L221="X","-",IF(O221="","-",IF(J221="M",VLOOKUP(O221,T100Pts!AO$5:AW$126,(L221+1)),IF(J221="F",VLOOKUP(O221,T100Pts!AY$5:BG$126,(L221+1)),""))))</f>
        <v>-</v>
      </c>
      <c r="Q221" s="193"/>
      <c r="R221" s="192" t="str">
        <f>IF(OR($L221="X",$L221=6,$L221=7),"-",IF(Q221="","-",IF(J221="M",VLOOKUP(Q221,T100Pts!BI$5:BN$44,(L221+1)),IF(J221="F",VLOOKUP(Q221,T100Pts!BU$5:BZ$44,(L221+1)),""))))</f>
        <v>-</v>
      </c>
      <c r="S221" s="190"/>
      <c r="T221" s="192" t="str">
        <f>IF($L221="X","-",IF(S221="","-",IF(J221="M",VLOOKUP(S221,T100Pts!A$5:I$1146,(L221+1)),IF(J221="F",VLOOKUP(S221,T100Pts!K$5:S$1147,(L221+1)),""))))</f>
        <v>-</v>
      </c>
      <c r="U221" s="194" t="str">
        <f t="shared" si="42"/>
        <v>-</v>
      </c>
      <c r="V221" s="195" t="str">
        <f t="shared" si="43"/>
        <v>-</v>
      </c>
      <c r="W221" s="190"/>
      <c r="X221" s="116" t="str">
        <f>IF($L221="X","-",IF(W221="","-",IF(J221="M",VLOOKUP(W221,T100Pts!U$5:AC$86,(L221+1)),IF(J221="F",VLOOKUP(W221,T100Pts!AE$5:AM$86,(L221+1)),""))))</f>
        <v>-</v>
      </c>
      <c r="Y221" s="163"/>
      <c r="Z221" s="116" t="str">
        <f>IF($L221="X","-",IF(Y221="","-",IF(J221="M",VLOOKUP(Y221,T100Pts!AO$5:AW$126,(L221+1)),IF(J221="F",VLOOKUP(Y221,T100Pts!AY$5:BG$126,(L221+1)),""))))</f>
        <v>-</v>
      </c>
      <c r="AA221" s="165"/>
      <c r="AB221" s="116" t="str">
        <f>IF(OR($L221="X",$L221=6,$L221=7),"-",IF(AA221="","-",IF(J221="M",VLOOKUP(AA221,T100Pts!BI$5:BN$44,(L221+1)),IF(J221="F",VLOOKUP(AA221,T100Pts!BU$5:BZ$44,(L221+1)),""))))</f>
        <v>-</v>
      </c>
      <c r="AC221" s="228"/>
      <c r="AD221" s="116" t="str">
        <f>IF($L221="X","-",IF(AC221="","-",IF(J221="M",VLOOKUP(AC221,T100Pts!A$5:I$1146,(L221+1)),IF(J221="F",VLOOKUP(AC221,T100Pts!K$5:S$1146,(L221+1)),""))))</f>
        <v>-</v>
      </c>
      <c r="AE221" s="117" t="str">
        <f t="shared" si="44"/>
        <v>-</v>
      </c>
      <c r="AF221" s="114" t="str">
        <f t="shared" si="45"/>
        <v>-</v>
      </c>
      <c r="AG221" s="115" t="e">
        <f t="shared" si="47"/>
        <v>#DIV/0!</v>
      </c>
      <c r="AH221" s="114" t="str">
        <f t="shared" si="46"/>
        <v>-</v>
      </c>
      <c r="AI221" s="161"/>
      <c r="AJ221" s="77" t="str">
        <f t="shared" si="37"/>
        <v/>
      </c>
    </row>
    <row r="222" spans="1:36" ht="16.5" customHeight="1" x14ac:dyDescent="0.25">
      <c r="A222" s="138">
        <v>209</v>
      </c>
      <c r="B222" s="189"/>
      <c r="C222" s="137"/>
      <c r="D222" s="208"/>
      <c r="E222" s="206"/>
      <c r="F222" s="211"/>
      <c r="G222" s="216"/>
      <c r="H222" s="217"/>
      <c r="I222" s="154" t="str">
        <f t="shared" si="40"/>
        <v>-</v>
      </c>
      <c r="J222" s="203" t="s">
        <v>139</v>
      </c>
      <c r="K222" s="191" t="str">
        <f t="shared" si="41"/>
        <v>-</v>
      </c>
      <c r="L222" s="191" t="str">
        <f>IF(F222="","-",IF(K222&lt;&gt;"",VLOOKUP(K222,T100Pts!CH$4:CI$59,(2))))</f>
        <v>-</v>
      </c>
      <c r="M222" s="190"/>
      <c r="N222" s="191" t="str">
        <f>IF($L222="X","-",IF(M222="","-",IF(J222="M",VLOOKUP(M222,T100Pts!U$5:AC$86,(L222+1)),IF(J222="F",VLOOKUP(M222,T100Pts!AE$5:AM$86,(L222+1)),""))))</f>
        <v>-</v>
      </c>
      <c r="O222" s="190"/>
      <c r="P222" s="192" t="str">
        <f>IF($L222="X","-",IF(O222="","-",IF(J222="M",VLOOKUP(O222,T100Pts!AO$5:AW$126,(L222+1)),IF(J222="F",VLOOKUP(O222,T100Pts!AY$5:BG$126,(L222+1)),""))))</f>
        <v>-</v>
      </c>
      <c r="Q222" s="193"/>
      <c r="R222" s="192" t="str">
        <f>IF(OR($L222="X",$L222=6,$L222=7),"-",IF(Q222="","-",IF(J222="M",VLOOKUP(Q222,T100Pts!BI$5:BN$44,(L222+1)),IF(J222="F",VLOOKUP(Q222,T100Pts!BU$5:BZ$44,(L222+1)),""))))</f>
        <v>-</v>
      </c>
      <c r="S222" s="190"/>
      <c r="T222" s="192" t="str">
        <f>IF($L222="X","-",IF(S222="","-",IF(J222="M",VLOOKUP(S222,T100Pts!A$5:I$1146,(L222+1)),IF(J222="F",VLOOKUP(S222,T100Pts!K$5:S$1147,(L222+1)),""))))</f>
        <v>-</v>
      </c>
      <c r="U222" s="194" t="str">
        <f t="shared" si="42"/>
        <v>-</v>
      </c>
      <c r="V222" s="195" t="str">
        <f t="shared" si="43"/>
        <v>-</v>
      </c>
      <c r="W222" s="190"/>
      <c r="X222" s="116" t="str">
        <f>IF($L222="X","-",IF(W222="","-",IF(J222="M",VLOOKUP(W222,T100Pts!U$5:AC$86,(L222+1)),IF(J222="F",VLOOKUP(W222,T100Pts!AE$5:AM$86,(L222+1)),""))))</f>
        <v>-</v>
      </c>
      <c r="Y222" s="163"/>
      <c r="Z222" s="116" t="str">
        <f>IF($L222="X","-",IF(Y222="","-",IF(J222="M",VLOOKUP(Y222,T100Pts!AO$5:AW$126,(L222+1)),IF(J222="F",VLOOKUP(Y222,T100Pts!AY$5:BG$126,(L222+1)),""))))</f>
        <v>-</v>
      </c>
      <c r="AA222" s="165"/>
      <c r="AB222" s="116" t="str">
        <f>IF(OR($L222="X",$L222=6,$L222=7),"-",IF(AA222="","-",IF(J222="M",VLOOKUP(AA222,T100Pts!BI$5:BN$44,(L222+1)),IF(J222="F",VLOOKUP(AA222,T100Pts!BU$5:BZ$44,(L222+1)),""))))</f>
        <v>-</v>
      </c>
      <c r="AC222" s="227"/>
      <c r="AD222" s="116" t="str">
        <f>IF($L222="X","-",IF(AC222="","-",IF(J222="M",VLOOKUP(AC222,T100Pts!A$5:I$1146,(L222+1)),IF(J222="F",VLOOKUP(AC222,T100Pts!K$5:S$1146,(L222+1)),""))))</f>
        <v>-</v>
      </c>
      <c r="AE222" s="117" t="str">
        <f t="shared" si="44"/>
        <v>-</v>
      </c>
      <c r="AF222" s="114" t="str">
        <f t="shared" si="45"/>
        <v>-</v>
      </c>
      <c r="AG222" s="115" t="e">
        <f t="shared" si="47"/>
        <v>#DIV/0!</v>
      </c>
      <c r="AH222" s="114" t="str">
        <f t="shared" si="46"/>
        <v>-</v>
      </c>
      <c r="AI222" s="161"/>
      <c r="AJ222" s="77" t="str">
        <f t="shared" si="37"/>
        <v/>
      </c>
    </row>
    <row r="223" spans="1:36" ht="16.5" customHeight="1" x14ac:dyDescent="0.25">
      <c r="A223" s="138">
        <v>210</v>
      </c>
      <c r="B223" s="189"/>
      <c r="C223" s="137"/>
      <c r="D223" s="212"/>
      <c r="E223" s="207"/>
      <c r="F223" s="213"/>
      <c r="G223" s="214"/>
      <c r="H223" s="215"/>
      <c r="I223" s="154" t="str">
        <f t="shared" si="40"/>
        <v>-</v>
      </c>
      <c r="J223" s="203" t="s">
        <v>140</v>
      </c>
      <c r="K223" s="191" t="str">
        <f t="shared" si="41"/>
        <v>-</v>
      </c>
      <c r="L223" s="191" t="str">
        <f>IF(F223="","-",IF(K223&lt;&gt;"",VLOOKUP(K223,T100Pts!CH$4:CI$59,(2))))</f>
        <v>-</v>
      </c>
      <c r="M223" s="190"/>
      <c r="N223" s="191" t="str">
        <f>IF($L223="X","-",IF(M223="","-",IF(J223="M",VLOOKUP(M223,T100Pts!U$5:AC$86,(L223+1)),IF(J223="F",VLOOKUP(M223,T100Pts!AE$5:AM$86,(L223+1)),""))))</f>
        <v>-</v>
      </c>
      <c r="O223" s="190"/>
      <c r="P223" s="192" t="str">
        <f>IF($L223="X","-",IF(O223="","-",IF(J223="M",VLOOKUP(O223,T100Pts!AO$5:AW$126,(L223+1)),IF(J223="F",VLOOKUP(O223,T100Pts!AY$5:BG$126,(L223+1)),""))))</f>
        <v>-</v>
      </c>
      <c r="Q223" s="193"/>
      <c r="R223" s="192" t="str">
        <f>IF(OR($L223="X",$L223=6,$L223=7),"-",IF(Q223="","-",IF(J223="M",VLOOKUP(Q223,T100Pts!BI$5:BN$44,(L223+1)),IF(J223="F",VLOOKUP(Q223,T100Pts!BU$5:BZ$44,(L223+1)),""))))</f>
        <v>-</v>
      </c>
      <c r="S223" s="190"/>
      <c r="T223" s="192" t="str">
        <f>IF($L223="X","-",IF(S223="","-",IF(J223="M",VLOOKUP(S223,T100Pts!A$5:I$1146,(L223+1)),IF(J223="F",VLOOKUP(S223,T100Pts!K$5:S$1147,(L223+1)),""))))</f>
        <v>-</v>
      </c>
      <c r="U223" s="194" t="str">
        <f t="shared" si="42"/>
        <v>-</v>
      </c>
      <c r="V223" s="195" t="str">
        <f t="shared" si="43"/>
        <v>-</v>
      </c>
      <c r="W223" s="190"/>
      <c r="X223" s="116" t="str">
        <f>IF($L223="X","-",IF(W223="","-",IF(J223="M",VLOOKUP(W223,T100Pts!U$5:AC$86,(L223+1)),IF(J223="F",VLOOKUP(W223,T100Pts!AE$5:AM$86,(L223+1)),""))))</f>
        <v>-</v>
      </c>
      <c r="Y223" s="163"/>
      <c r="Z223" s="116" t="str">
        <f>IF($L223="X","-",IF(Y223="","-",IF(J223="M",VLOOKUP(Y223,T100Pts!AO$5:AW$126,(L223+1)),IF(J223="F",VLOOKUP(Y223,T100Pts!AY$5:BG$126,(L223+1)),""))))</f>
        <v>-</v>
      </c>
      <c r="AA223" s="165"/>
      <c r="AB223" s="116" t="str">
        <f>IF(OR($L223="X",$L223=6,$L223=7),"-",IF(AA223="","-",IF(J223="M",VLOOKUP(AA223,T100Pts!BI$5:BN$44,(L223+1)),IF(J223="F",VLOOKUP(AA223,T100Pts!BU$5:BZ$44,(L223+1)),""))))</f>
        <v>-</v>
      </c>
      <c r="AC223" s="163"/>
      <c r="AD223" s="116" t="str">
        <f>IF($L223="X","-",IF(AC223="","-",IF(J223="M",VLOOKUP(AC223,T100Pts!A$5:I$1146,(L223+1)),IF(J223="F",VLOOKUP(AC223,T100Pts!K$5:S$1146,(L223+1)),""))))</f>
        <v>-</v>
      </c>
      <c r="AE223" s="117" t="str">
        <f t="shared" si="44"/>
        <v>-</v>
      </c>
      <c r="AF223" s="114" t="str">
        <f t="shared" si="45"/>
        <v>-</v>
      </c>
      <c r="AG223" s="115" t="e">
        <f t="shared" si="47"/>
        <v>#DIV/0!</v>
      </c>
      <c r="AH223" s="114" t="str">
        <f t="shared" si="46"/>
        <v>-</v>
      </c>
      <c r="AI223" s="161" t="s">
        <v>209</v>
      </c>
      <c r="AJ223" s="77" t="str">
        <f t="shared" si="37"/>
        <v/>
      </c>
    </row>
    <row r="224" spans="1:36" ht="16.5" customHeight="1" x14ac:dyDescent="0.25">
      <c r="A224" s="138">
        <v>211</v>
      </c>
      <c r="B224" s="189"/>
      <c r="C224" s="137"/>
      <c r="D224" s="208"/>
      <c r="E224" s="206"/>
      <c r="F224" s="211"/>
      <c r="G224" s="216"/>
      <c r="H224" s="217"/>
      <c r="I224" s="154" t="str">
        <f t="shared" si="40"/>
        <v>-</v>
      </c>
      <c r="J224" s="203" t="s">
        <v>139</v>
      </c>
      <c r="K224" s="191" t="str">
        <f t="shared" si="41"/>
        <v>-</v>
      </c>
      <c r="L224" s="191" t="str">
        <f>IF(F224="","-",IF(K224&lt;&gt;"",VLOOKUP(K224,T100Pts!CH$4:CI$59,(2))))</f>
        <v>-</v>
      </c>
      <c r="M224" s="190"/>
      <c r="N224" s="191" t="str">
        <f>IF($L224="X","-",IF(M224="","-",IF(J224="M",VLOOKUP(M224,T100Pts!U$5:AC$86,(L224+1)),IF(J224="F",VLOOKUP(M224,T100Pts!AE$5:AM$86,(L224+1)),""))))</f>
        <v>-</v>
      </c>
      <c r="O224" s="190"/>
      <c r="P224" s="192" t="str">
        <f>IF($L224="X","-",IF(O224="","-",IF(J224="M",VLOOKUP(O224,T100Pts!AO$5:AW$126,(L224+1)),IF(J224="F",VLOOKUP(O224,T100Pts!AY$5:BG$126,(L224+1)),""))))</f>
        <v>-</v>
      </c>
      <c r="Q224" s="193"/>
      <c r="R224" s="192" t="str">
        <f>IF(OR($L224="X",$L224=6,$L224=7),"-",IF(Q224="","-",IF(J224="M",VLOOKUP(Q224,T100Pts!BI$5:BN$44,(L224+1)),IF(J224="F",VLOOKUP(Q224,T100Pts!BU$5:BZ$44,(L224+1)),""))))</f>
        <v>-</v>
      </c>
      <c r="S224" s="190"/>
      <c r="T224" s="192" t="str">
        <f>IF($L224="X","-",IF(S224="","-",IF(J224="M",VLOOKUP(S224,T100Pts!A$5:I$1146,(L224+1)),IF(J224="F",VLOOKUP(S224,T100Pts!K$5:S$1147,(L224+1)),""))))</f>
        <v>-</v>
      </c>
      <c r="U224" s="194" t="str">
        <f t="shared" si="42"/>
        <v>-</v>
      </c>
      <c r="V224" s="195" t="str">
        <f t="shared" si="43"/>
        <v>-</v>
      </c>
      <c r="W224" s="190"/>
      <c r="X224" s="116" t="str">
        <f>IF($L224="X","-",IF(W224="","-",IF(J224="M",VLOOKUP(W224,T100Pts!U$5:AC$86,(L224+1)),IF(J224="F",VLOOKUP(W224,T100Pts!AE$5:AM$86,(L224+1)),""))))</f>
        <v>-</v>
      </c>
      <c r="Y224" s="163"/>
      <c r="Z224" s="116" t="str">
        <f>IF($L224="X","-",IF(Y224="","-",IF(J224="M",VLOOKUP(Y224,T100Pts!AO$5:AW$126,(L224+1)),IF(J224="F",VLOOKUP(Y224,T100Pts!AY$5:BG$126,(L224+1)),""))))</f>
        <v>-</v>
      </c>
      <c r="AA224" s="165"/>
      <c r="AB224" s="116" t="str">
        <f>IF(OR($L224="X",$L224=6,$L224=7),"-",IF(AA224="","-",IF(J224="M",VLOOKUP(AA224,T100Pts!BI$5:BN$44,(L224+1)),IF(J224="F",VLOOKUP(AA224,T100Pts!BU$5:BZ$44,(L224+1)),""))))</f>
        <v>-</v>
      </c>
      <c r="AC224" s="228"/>
      <c r="AD224" s="116" t="str">
        <f>IF($L224="X","-",IF(AC224="","-",IF(J224="M",VLOOKUP(AC224,T100Pts!A$5:I$1146,(L224+1)),IF(J224="F",VLOOKUP(AC224,T100Pts!K$5:S$1146,(L224+1)),""))))</f>
        <v>-</v>
      </c>
      <c r="AE224" s="117" t="str">
        <f t="shared" si="44"/>
        <v>-</v>
      </c>
      <c r="AF224" s="114" t="str">
        <f t="shared" si="45"/>
        <v>-</v>
      </c>
      <c r="AG224" s="115" t="e">
        <f t="shared" si="47"/>
        <v>#DIV/0!</v>
      </c>
      <c r="AH224" s="114" t="str">
        <f t="shared" si="46"/>
        <v>-</v>
      </c>
      <c r="AI224" s="161"/>
      <c r="AJ224" s="77" t="str">
        <f t="shared" si="37"/>
        <v/>
      </c>
    </row>
    <row r="225" spans="1:36" ht="16.5" customHeight="1" x14ac:dyDescent="0.25">
      <c r="A225" s="138">
        <v>212</v>
      </c>
      <c r="B225" s="189"/>
      <c r="C225" s="137"/>
      <c r="D225" s="212"/>
      <c r="E225" s="207"/>
      <c r="F225" s="213"/>
      <c r="G225" s="214"/>
      <c r="H225" s="215"/>
      <c r="I225" s="154" t="str">
        <f t="shared" si="40"/>
        <v>-</v>
      </c>
      <c r="J225" s="203" t="s">
        <v>139</v>
      </c>
      <c r="K225" s="191" t="str">
        <f t="shared" si="41"/>
        <v>-</v>
      </c>
      <c r="L225" s="191" t="str">
        <f>IF(F225="","-",IF(K225&lt;&gt;"",VLOOKUP(K225,T100Pts!CH$4:CI$59,(2))))</f>
        <v>-</v>
      </c>
      <c r="M225" s="190"/>
      <c r="N225" s="191" t="str">
        <f>IF($L225="X","-",IF(M225="","-",IF(J225="M",VLOOKUP(M225,T100Pts!U$5:AC$86,(L225+1)),IF(J225="F",VLOOKUP(M225,T100Pts!AE$5:AM$86,(L225+1)),""))))</f>
        <v>-</v>
      </c>
      <c r="O225" s="190"/>
      <c r="P225" s="192" t="str">
        <f>IF($L225="X","-",IF(O225="","-",IF(J225="M",VLOOKUP(O225,T100Pts!AO$5:AW$126,(L225+1)),IF(J225="F",VLOOKUP(O225,T100Pts!AY$5:BG$126,(L225+1)),""))))</f>
        <v>-</v>
      </c>
      <c r="Q225" s="193"/>
      <c r="R225" s="192" t="str">
        <f>IF(OR($L225="X",$L225=6,$L225=7),"-",IF(Q225="","-",IF(J225="M",VLOOKUP(Q225,T100Pts!BI$5:BN$44,(L225+1)),IF(J225="F",VLOOKUP(Q225,T100Pts!BU$5:BZ$44,(L225+1)),""))))</f>
        <v>-</v>
      </c>
      <c r="S225" s="190"/>
      <c r="T225" s="192" t="str">
        <f>IF($L225="X","-",IF(S225="","-",IF(J225="M",VLOOKUP(S225,T100Pts!A$5:I$1146,(L225+1)),IF(J225="F",VLOOKUP(S225,T100Pts!K$5:S$1147,(L225+1)),""))))</f>
        <v>-</v>
      </c>
      <c r="U225" s="194" t="str">
        <f t="shared" si="42"/>
        <v>-</v>
      </c>
      <c r="V225" s="195" t="str">
        <f t="shared" si="43"/>
        <v>-</v>
      </c>
      <c r="W225" s="190"/>
      <c r="X225" s="116" t="str">
        <f>IF($L225="X","-",IF(W225="","-",IF(J225="M",VLOOKUP(W225,T100Pts!U$5:AC$86,(L225+1)),IF(J225="F",VLOOKUP(W225,T100Pts!AE$5:AM$86,(L225+1)),""))))</f>
        <v>-</v>
      </c>
      <c r="Y225" s="163"/>
      <c r="Z225" s="116" t="str">
        <f>IF($L225="X","-",IF(Y225="","-",IF(J225="M",VLOOKUP(Y225,T100Pts!AO$5:AW$126,(L225+1)),IF(J225="F",VLOOKUP(Y225,T100Pts!AY$5:BG$126,(L225+1)),""))))</f>
        <v>-</v>
      </c>
      <c r="AA225" s="165"/>
      <c r="AB225" s="116" t="str">
        <f>IF(OR($L225="X",$L225=6,$L225=7),"-",IF(AA225="","-",IF(J225="M",VLOOKUP(AA225,T100Pts!BI$5:BN$44,(L225+1)),IF(J225="F",VLOOKUP(AA225,T100Pts!BU$5:BZ$44,(L225+1)),""))))</f>
        <v>-</v>
      </c>
      <c r="AC225" s="163"/>
      <c r="AD225" s="116" t="str">
        <f>IF($L225="X","-",IF(AC225="","-",IF(J225="M",VLOOKUP(AC225,T100Pts!A$5:I$1146,(L225+1)),IF(J225="F",VLOOKUP(AC225,T100Pts!K$5:S$1146,(L225+1)),""))))</f>
        <v>-</v>
      </c>
      <c r="AE225" s="117" t="str">
        <f t="shared" si="44"/>
        <v>-</v>
      </c>
      <c r="AF225" s="114" t="str">
        <f t="shared" si="45"/>
        <v>-</v>
      </c>
      <c r="AG225" s="115" t="e">
        <f t="shared" si="47"/>
        <v>#DIV/0!</v>
      </c>
      <c r="AH225" s="114" t="str">
        <f t="shared" si="46"/>
        <v>-</v>
      </c>
      <c r="AI225" s="161" t="s">
        <v>228</v>
      </c>
      <c r="AJ225" s="77" t="str">
        <f t="shared" si="37"/>
        <v/>
      </c>
    </row>
    <row r="226" spans="1:36" ht="16.5" customHeight="1" x14ac:dyDescent="0.25">
      <c r="A226" s="138">
        <v>213</v>
      </c>
      <c r="B226" s="189"/>
      <c r="C226" s="137"/>
      <c r="D226" s="208"/>
      <c r="E226" s="206"/>
      <c r="F226" s="211"/>
      <c r="G226" s="216"/>
      <c r="H226" s="217"/>
      <c r="I226" s="154" t="str">
        <f t="shared" si="40"/>
        <v>-</v>
      </c>
      <c r="J226" s="203" t="s">
        <v>140</v>
      </c>
      <c r="K226" s="191" t="str">
        <f t="shared" si="41"/>
        <v>-</v>
      </c>
      <c r="L226" s="191" t="str">
        <f>IF(F226="","-",IF(K226&lt;&gt;"",VLOOKUP(K226,T100Pts!CH$4:CI$59,(2))))</f>
        <v>-</v>
      </c>
      <c r="M226" s="190"/>
      <c r="N226" s="191" t="str">
        <f>IF($L226="X","-",IF(M226="","-",IF(J226="M",VLOOKUP(M226,T100Pts!U$5:AC$86,(L226+1)),IF(J226="F",VLOOKUP(M226,T100Pts!AE$5:AM$86,(L226+1)),""))))</f>
        <v>-</v>
      </c>
      <c r="O226" s="190"/>
      <c r="P226" s="192" t="str">
        <f>IF($L226="X","-",IF(O226="","-",IF(J226="M",VLOOKUP(O226,T100Pts!AO$5:AW$126,(L226+1)),IF(J226="F",VLOOKUP(O226,T100Pts!AY$5:BG$126,(L226+1)),""))))</f>
        <v>-</v>
      </c>
      <c r="Q226" s="193"/>
      <c r="R226" s="192" t="str">
        <f>IF(OR($L226="X",$L226=6,$L226=7),"-",IF(Q226="","-",IF(J226="M",VLOOKUP(Q226,T100Pts!BI$5:BN$44,(L226+1)),IF(J226="F",VLOOKUP(Q226,T100Pts!BU$5:BZ$44,(L226+1)),""))))</f>
        <v>-</v>
      </c>
      <c r="S226" s="190"/>
      <c r="T226" s="192" t="str">
        <f>IF($L226="X","-",IF(S226="","-",IF(J226="M",VLOOKUP(S226,T100Pts!A$5:I$1146,(L226+1)),IF(J226="F",VLOOKUP(S226,T100Pts!K$5:S$1147,(L226+1)),""))))</f>
        <v>-</v>
      </c>
      <c r="U226" s="194" t="str">
        <f t="shared" si="42"/>
        <v>-</v>
      </c>
      <c r="V226" s="195" t="str">
        <f t="shared" si="43"/>
        <v>-</v>
      </c>
      <c r="W226" s="190"/>
      <c r="X226" s="116" t="str">
        <f>IF($L226="X","-",IF(W226="","-",IF(J226="M",VLOOKUP(W226,T100Pts!U$5:AC$86,(L226+1)),IF(J226="F",VLOOKUP(W226,T100Pts!AE$5:AM$86,(L226+1)),""))))</f>
        <v>-</v>
      </c>
      <c r="Y226" s="163"/>
      <c r="Z226" s="116" t="str">
        <f>IF($L226="X","-",IF(Y226="","-",IF(J226="M",VLOOKUP(Y226,T100Pts!AO$5:AW$126,(L226+1)),IF(J226="F",VLOOKUP(Y226,T100Pts!AY$5:BG$126,(L226+1)),""))))</f>
        <v>-</v>
      </c>
      <c r="AA226" s="165"/>
      <c r="AB226" s="116" t="str">
        <f>IF(OR($L226="X",$L226=6,$L226=7),"-",IF(AA226="","-",IF(J226="M",VLOOKUP(AA226,T100Pts!BI$5:BN$44,(L226+1)),IF(J226="F",VLOOKUP(AA226,T100Pts!BU$5:BZ$44,(L226+1)),""))))</f>
        <v>-</v>
      </c>
      <c r="AC226" s="228"/>
      <c r="AD226" s="116" t="str">
        <f>IF($L226="X","-",IF(AC226="","-",IF(J226="M",VLOOKUP(AC226,T100Pts!A$5:I$1146,(L226+1)),IF(J226="F",VLOOKUP(AC226,T100Pts!K$5:S$1146,(L226+1)),""))))</f>
        <v>-</v>
      </c>
      <c r="AE226" s="117" t="str">
        <f t="shared" si="44"/>
        <v>-</v>
      </c>
      <c r="AF226" s="114" t="str">
        <f t="shared" si="45"/>
        <v>-</v>
      </c>
      <c r="AG226" s="115" t="e">
        <f t="shared" si="47"/>
        <v>#DIV/0!</v>
      </c>
      <c r="AH226" s="114" t="str">
        <f t="shared" si="46"/>
        <v>-</v>
      </c>
      <c r="AI226" s="161"/>
      <c r="AJ226" s="77" t="str">
        <f t="shared" si="37"/>
        <v/>
      </c>
    </row>
    <row r="227" spans="1:36" ht="16.5" customHeight="1" x14ac:dyDescent="0.25">
      <c r="A227" s="138">
        <v>214</v>
      </c>
      <c r="B227" s="196"/>
      <c r="C227" s="159"/>
      <c r="D227" s="218"/>
      <c r="E227" s="219"/>
      <c r="F227" s="220"/>
      <c r="G227" s="221"/>
      <c r="H227" s="222"/>
      <c r="I227" s="197" t="str">
        <f t="shared" ref="I227" si="48">IF(OR(G227="",H227=""),"-",ROUND(G227/(H227^2),0))</f>
        <v>-</v>
      </c>
      <c r="J227" s="203" t="s">
        <v>139</v>
      </c>
      <c r="K227" s="199" t="str">
        <f t="shared" ref="K227" si="49">IF(F227&gt;0,DATEDIF(F227,$L$1,"Y"),"-")</f>
        <v>-</v>
      </c>
      <c r="L227" s="199" t="str">
        <f>IF(F227="","-",IF(K227&lt;&gt;"",VLOOKUP(K227,T100Pts!CH$4:CI$59,(2))))</f>
        <v>-</v>
      </c>
      <c r="M227" s="198"/>
      <c r="N227" s="199" t="str">
        <f>IF($L227="X","-",IF(M227="","-",IF(J227="M",VLOOKUP(M227,T100Pts!U$5:AC$86,(L227+1)),IF(J227="F",VLOOKUP(M227,T100Pts!AE$5:AM$86,(L227+1)),""))))</f>
        <v>-</v>
      </c>
      <c r="O227" s="198"/>
      <c r="P227" s="200" t="str">
        <f>IF($L227="X","-",IF(O227="","-",IF(J227="M",VLOOKUP(O227,T100Pts!AO$5:AW$126,(L227+1)),IF(J227="F",VLOOKUP(O227,T100Pts!AY$5:BG$126,(L227+1)),""))))</f>
        <v>-</v>
      </c>
      <c r="Q227" s="201"/>
      <c r="R227" s="200" t="str">
        <f>IF(OR($L227="X",$L227=6,$L227=7),"-",IF(Q227="","-",IF(J227="M",VLOOKUP(Q227,T100Pts!BI$5:BN$44,(L227+1)),IF(J227="F",VLOOKUP(Q227,T100Pts!BU$5:BZ$44,(L227+1)),""))))</f>
        <v>-</v>
      </c>
      <c r="S227" s="198"/>
      <c r="T227" s="200" t="str">
        <f>IF($L227="X","-",IF(S227="","-",IF(J227="M",VLOOKUP(S227,T100Pts!A$5:I$1146,(L227+1)),IF(J227="F",VLOOKUP(S227,T100Pts!K$5:S$1147,(L227+1)),""))))</f>
        <v>-</v>
      </c>
      <c r="U227" s="202" t="str">
        <f t="shared" ref="U227" si="50">IF(OR(N227="X",P227="X",R227="X",T227="X"),"NR",IF(AND(N227="-",P227="-",T227="-"),"-",IF(R227="-",AVERAGE(IF(ISNUMBER(N227),N227),IF(ISNUMBER(P227),P227),IF(ISNUMBER(T227),T227)),AVERAGE(IF(ISNUMBER(N227),N227),IF(ISNUMBER(P227),P227),IF(ISNUMBER(R227),R227),IF(ISNUMBER(T227),T227)))))</f>
        <v>-</v>
      </c>
      <c r="V227" s="79" t="str">
        <f t="shared" ref="V227:V240" si="51">IF(NOT(ISNUMBER(U227)), "-", IF(U227 &lt; 70, "NA", "A"))</f>
        <v>-</v>
      </c>
      <c r="W227" s="155"/>
      <c r="X227" s="116" t="str">
        <f>IF($L227="X","-",IF(W227="","-",IF(J227="M",VLOOKUP(W227,T100Pts!U$5:AC$86,(L227+1)),IF(J227="F",VLOOKUP(W227,T100Pts!AE$5:AM$86,(L227+1)),""))))</f>
        <v>-</v>
      </c>
      <c r="Y227" s="163"/>
      <c r="Z227" s="116" t="str">
        <f>IF($L227="X","-",IF(Y227="","-",IF(J227="M",VLOOKUP(Y227,T100Pts!AO$5:AW$126,(L227+1)),IF(J227="F",VLOOKUP(Y227,T100Pts!AY$5:BG$126,(L227+1)),""))))</f>
        <v>-</v>
      </c>
      <c r="AA227" s="165"/>
      <c r="AB227" s="116" t="str">
        <f>IF(OR($L227="X",$L227=6,$L227=7),"-",IF(AA227="","-",IF(J227="M",VLOOKUP(AA227,T100Pts!BI$5:BN$44,(L227+1)),IF(J227="F",VLOOKUP(AA227,T100Pts!BU$5:BZ$44,(L227+1)),""))))</f>
        <v>-</v>
      </c>
      <c r="AC227" s="228"/>
      <c r="AD227" s="116" t="str">
        <f>IF($L227="X","-",IF(AC227="","-",IF(J227="M",VLOOKUP(AC227,T100Pts!A$5:I$1146,(L227+1)),IF(J227="F",VLOOKUP(AC227,T100Pts!K$5:S$1146,(L227+1)),""))))</f>
        <v>-</v>
      </c>
      <c r="AE227" s="117" t="str">
        <f t="shared" si="44"/>
        <v>-</v>
      </c>
      <c r="AF227" s="114" t="str">
        <f t="shared" si="45"/>
        <v>-</v>
      </c>
      <c r="AG227" s="115" t="e">
        <f t="shared" si="47"/>
        <v>#DIV/0!</v>
      </c>
      <c r="AH227" s="114" t="str">
        <f t="shared" si="46"/>
        <v>-</v>
      </c>
      <c r="AI227" s="161"/>
      <c r="AJ227" s="77" t="str">
        <f t="shared" si="37"/>
        <v/>
      </c>
    </row>
    <row r="228" spans="1:36" ht="16.5" customHeight="1" x14ac:dyDescent="0.2">
      <c r="A228" s="138">
        <v>215</v>
      </c>
      <c r="B228" s="196"/>
      <c r="C228" s="159"/>
      <c r="D228" s="251"/>
      <c r="E228" s="254"/>
      <c r="F228" s="171"/>
      <c r="G228" s="248"/>
      <c r="H228" s="249"/>
      <c r="I228" s="245" t="str">
        <f t="shared" ref="I228:I240" si="52">IF(OR(G228="",H228=""),"-",ROUND(G228/(H228^2),0))</f>
        <v>-</v>
      </c>
      <c r="J228" s="155" t="s">
        <v>140</v>
      </c>
      <c r="K228" s="233" t="str">
        <f t="shared" ref="K228:K240" si="53">IF(F228&gt;0,DATEDIF(F228,$L$1,"Y"),"-")</f>
        <v>-</v>
      </c>
      <c r="L228" s="233" t="str">
        <f>IF(F228="","-",IF(K228&lt;&gt;"",VLOOKUP(K228,T100Pts!CH$4:CI$59,(2))))</f>
        <v>-</v>
      </c>
      <c r="M228" s="155"/>
      <c r="N228" s="233" t="str">
        <f>IF($L228="X","-",IF(M228="","-",IF(J228="M",VLOOKUP(M228,T100Pts!U$5:AC$86,(L228+1)),IF(J228="F",VLOOKUP(M228,T100Pts!AE$5:AM$86,(L228+1)),""))))</f>
        <v>-</v>
      </c>
      <c r="O228" s="155"/>
      <c r="P228" s="246" t="str">
        <f>IF($L228="X","-",IF(O228="","-",IF(J228="M",VLOOKUP(O228,T100Pts!AO$5:AW$126,(L228+1)),IF(J228="F",VLOOKUP(O228,T100Pts!AY$5:BG$126,(L228+1)),""))))</f>
        <v>-</v>
      </c>
      <c r="Q228" s="157"/>
      <c r="R228" s="246" t="str">
        <f>IF(OR($L228="X",$L228=6,$L228=7),"-",IF(Q228="","-",IF(J228="M",VLOOKUP(Q228,T100Pts!BI$5:BN$44,(L228+1)),IF(J228="F",VLOOKUP(Q228,T100Pts!BU$5:BZ$44,(L228+1)),""))))</f>
        <v>-</v>
      </c>
      <c r="S228" s="155"/>
      <c r="T228" s="246" t="str">
        <f>IF($L228="X","-",IF(S228="","-",IF(J228="M",VLOOKUP(S228,T100Pts!A$5:I$1146,(L228+1)),IF(J228="F",VLOOKUP(S228,T100Pts!K$5:S$1147,(L228+1)),""))))</f>
        <v>-</v>
      </c>
      <c r="U228" s="247" t="str">
        <f t="shared" ref="U228:U240" si="54">IF(OR(N228="X",P228="X",R228="X",T228="X"),"NR",IF(AND(N228="-",P228="-",T228="-"),"-",IF(R228="-",AVERAGE(IF(ISNUMBER(N228),N228),IF(ISNUMBER(P228),P228),IF(ISNUMBER(T228),T228)),AVERAGE(IF(ISNUMBER(N228),N228),IF(ISNUMBER(P228),P228),IF(ISNUMBER(R228),R228),IF(ISNUMBER(T228),T228)))))</f>
        <v>-</v>
      </c>
      <c r="V228" s="79" t="str">
        <f t="shared" si="51"/>
        <v>-</v>
      </c>
      <c r="W228" s="155"/>
      <c r="X228" s="116" t="str">
        <f>IF($L228="X","-",IF(W228="","-",IF(J228="M",VLOOKUP(W228,T100Pts!U$5:AC$86,(L228+1)),IF(J228="F",VLOOKUP(W228,T100Pts!AE$5:AM$86,(L228+1)),""))))</f>
        <v>-</v>
      </c>
      <c r="Y228" s="163"/>
      <c r="Z228" s="116" t="str">
        <f>IF($L228="X","-",IF(Y228="","-",IF(J228="M",VLOOKUP(Y228,T100Pts!AO$5:AW$126,(L228+1)),IF(J228="F",VLOOKUP(Y228,T100Pts!AY$5:BG$126,(L228+1)),""))))</f>
        <v>-</v>
      </c>
      <c r="AA228" s="165"/>
      <c r="AB228" s="116" t="str">
        <f>IF(OR($L228="X",$L228=6,$L228=7),"-",IF(AA228="","-",IF(J228="M",VLOOKUP(AA228,T100Pts!BI$5:BN$44,(L228+1)),IF(J228="F",VLOOKUP(AA228,T100Pts!BU$5:BZ$44,(L228+1)),""))))</f>
        <v>-</v>
      </c>
      <c r="AC228" s="228"/>
      <c r="AD228" s="116" t="str">
        <f>IF($L228="X","-",IF(AC228="","-",IF(J228="M",VLOOKUP(AC228,T100Pts!A$5:I$1146,(L228+1)),IF(J228="F",VLOOKUP(AC228,T100Pts!K$5:S$1146,(L228+1)),""))))</f>
        <v>-</v>
      </c>
      <c r="AE228" s="117" t="str">
        <f t="shared" si="44"/>
        <v>-</v>
      </c>
      <c r="AF228" s="114" t="str">
        <f t="shared" si="45"/>
        <v>-</v>
      </c>
      <c r="AG228" s="115" t="e">
        <f t="shared" si="47"/>
        <v>#DIV/0!</v>
      </c>
      <c r="AH228" s="114" t="str">
        <f t="shared" si="46"/>
        <v>-</v>
      </c>
      <c r="AI228" s="161"/>
      <c r="AJ228" s="77" t="str">
        <f t="shared" si="37"/>
        <v/>
      </c>
    </row>
    <row r="229" spans="1:36" ht="16.5" customHeight="1" x14ac:dyDescent="0.25">
      <c r="A229" s="138">
        <v>216</v>
      </c>
      <c r="B229" s="196"/>
      <c r="C229" s="159"/>
      <c r="D229" s="252"/>
      <c r="E229" s="255"/>
      <c r="F229" s="171"/>
      <c r="G229" s="248"/>
      <c r="H229" s="249"/>
      <c r="I229" s="245" t="str">
        <f t="shared" si="52"/>
        <v>-</v>
      </c>
      <c r="J229" s="155" t="s">
        <v>140</v>
      </c>
      <c r="K229" s="233" t="str">
        <f t="shared" si="53"/>
        <v>-</v>
      </c>
      <c r="L229" s="233" t="str">
        <f>IF(F229="","-",IF(K229&lt;&gt;"",VLOOKUP(K229,T100Pts!CH$4:CI$59,(2))))</f>
        <v>-</v>
      </c>
      <c r="M229" s="155"/>
      <c r="N229" s="233" t="str">
        <f>IF($L229="X","-",IF(M229="","-",IF(J229="M",VLOOKUP(M229,T100Pts!U$5:AC$86,(L229+1)),IF(J229="F",VLOOKUP(M229,T100Pts!AE$5:AM$86,(L229+1)),""))))</f>
        <v>-</v>
      </c>
      <c r="O229" s="155"/>
      <c r="P229" s="246" t="str">
        <f>IF($L229="X","-",IF(O229="","-",IF(J229="M",VLOOKUP(O229,T100Pts!AO$5:AW$126,(L229+1)),IF(J229="F",VLOOKUP(O229,T100Pts!AY$5:BG$126,(L229+1)),""))))</f>
        <v>-</v>
      </c>
      <c r="Q229" s="157"/>
      <c r="R229" s="246" t="str">
        <f>IF(OR($L229="X",$L229=6,$L229=7),"-",IF(Q229="","-",IF(J229="M",VLOOKUP(Q229,T100Pts!BI$5:BN$44,(L229+1)),IF(J229="F",VLOOKUP(Q229,T100Pts!BU$5:BZ$44,(L229+1)),""))))</f>
        <v>-</v>
      </c>
      <c r="S229" s="155"/>
      <c r="T229" s="246" t="str">
        <f>IF($L229="X","-",IF(S229="","-",IF(J229="M",VLOOKUP(S229,T100Pts!A$5:I$1146,(L229+1)),IF(J229="F",VLOOKUP(S229,T100Pts!K$5:S$1147,(L229+1)),""))))</f>
        <v>-</v>
      </c>
      <c r="U229" s="247" t="str">
        <f t="shared" si="54"/>
        <v>-</v>
      </c>
      <c r="V229" s="79" t="str">
        <f t="shared" si="51"/>
        <v>-</v>
      </c>
      <c r="W229" s="155"/>
      <c r="X229" s="116" t="str">
        <f>IF($L229="X","-",IF(W229="","-",IF(J229="M",VLOOKUP(W229,T100Pts!U$5:AC$86,(L229+1)),IF(J229="F",VLOOKUP(W229,T100Pts!AE$5:AM$86,(L229+1)),""))))</f>
        <v>-</v>
      </c>
      <c r="Y229" s="155"/>
      <c r="Z229" s="116" t="str">
        <f>IF($L229="X","-",IF(Y229="","-",IF(J229="M",VLOOKUP(Y229,T100Pts!AO$5:AW$126,(L229+1)),IF(J229="F",VLOOKUP(Y229,T100Pts!AY$5:BG$126,(L229+1)),""))))</f>
        <v>-</v>
      </c>
      <c r="AA229" s="157"/>
      <c r="AB229" s="116" t="str">
        <f>IF(OR($L229="X",$L229=6,$L229=7),"-",IF(AA229="","-",IF(J229="M",VLOOKUP(AA229,T100Pts!BI$5:BN$44,(L229+1)),IF(J229="F",VLOOKUP(AA229,T100Pts!BU$5:BZ$44,(L229+1)),""))))</f>
        <v>-</v>
      </c>
      <c r="AC229" s="228"/>
      <c r="AD229" s="116" t="str">
        <f>IF($L229="X","-",IF(AC229="","-",IF(J229="M",VLOOKUP(AC229,T100Pts!A$5:I$1146,(L229+1)),IF(J229="F",VLOOKUP(AC229,T100Pts!K$5:S$1146,(L229+1)),""))))</f>
        <v>-</v>
      </c>
      <c r="AE229" s="117" t="str">
        <f t="shared" si="44"/>
        <v>-</v>
      </c>
      <c r="AF229" s="114" t="str">
        <f t="shared" si="45"/>
        <v>-</v>
      </c>
      <c r="AG229" s="115" t="e">
        <f t="shared" si="47"/>
        <v>#DIV/0!</v>
      </c>
      <c r="AH229" s="114" t="str">
        <f t="shared" si="46"/>
        <v>-</v>
      </c>
      <c r="AI229" s="161"/>
      <c r="AJ229" s="77" t="str">
        <f t="shared" si="37"/>
        <v/>
      </c>
    </row>
    <row r="230" spans="1:36" ht="16.5" customHeight="1" x14ac:dyDescent="0.2">
      <c r="A230" s="138">
        <v>217</v>
      </c>
      <c r="B230" s="196"/>
      <c r="C230" s="159"/>
      <c r="D230" s="251"/>
      <c r="E230" s="254"/>
      <c r="F230" s="171"/>
      <c r="G230" s="248"/>
      <c r="H230" s="249"/>
      <c r="I230" s="245" t="str">
        <f t="shared" si="52"/>
        <v>-</v>
      </c>
      <c r="J230" s="155" t="s">
        <v>140</v>
      </c>
      <c r="K230" s="233" t="str">
        <f t="shared" si="53"/>
        <v>-</v>
      </c>
      <c r="L230" s="233" t="str">
        <f>IF(F230="","-",IF(K230&lt;&gt;"",VLOOKUP(K230,T100Pts!CH$4:CI$59,(2))))</f>
        <v>-</v>
      </c>
      <c r="M230" s="155"/>
      <c r="N230" s="233" t="str">
        <f>IF($L230="X","-",IF(M230="","-",IF(J230="M",VLOOKUP(M230,T100Pts!U$5:AC$86,(L230+1)),IF(J230="F",VLOOKUP(M230,T100Pts!AE$5:AM$86,(L230+1)),""))))</f>
        <v>-</v>
      </c>
      <c r="O230" s="155"/>
      <c r="P230" s="246" t="str">
        <f>IF($L230="X","-",IF(O230="","-",IF(J230="M",VLOOKUP(O230,T100Pts!AO$5:AW$126,(L230+1)),IF(J230="F",VLOOKUP(O230,T100Pts!AY$5:BG$126,(L230+1)),""))))</f>
        <v>-</v>
      </c>
      <c r="Q230" s="157"/>
      <c r="R230" s="246" t="str">
        <f>IF(OR($L230="X",$L230=6,$L230=7),"-",IF(Q230="","-",IF(J230="M",VLOOKUP(Q230,T100Pts!BI$5:BN$44,(L230+1)),IF(J230="F",VLOOKUP(Q230,T100Pts!BU$5:BZ$44,(L230+1)),""))))</f>
        <v>-</v>
      </c>
      <c r="S230" s="155"/>
      <c r="T230" s="246" t="str">
        <f>IF($L230="X","-",IF(S230="","-",IF(J230="M",VLOOKUP(S230,T100Pts!A$5:I$1146,(L230+1)),IF(J230="F",VLOOKUP(S230,T100Pts!K$5:S$1147,(L230+1)),""))))</f>
        <v>-</v>
      </c>
      <c r="U230" s="247" t="str">
        <f t="shared" si="54"/>
        <v>-</v>
      </c>
      <c r="V230" s="79" t="str">
        <f t="shared" si="51"/>
        <v>-</v>
      </c>
      <c r="W230" s="155"/>
      <c r="X230" s="116" t="str">
        <f>IF($L230="X","-",IF(W230="","-",IF(J230="M",VLOOKUP(W230,T100Pts!U$5:AC$86,(L230+1)),IF(J230="F",VLOOKUP(W230,T100Pts!AE$5:AM$86,(L230+1)),""))))</f>
        <v>-</v>
      </c>
      <c r="Y230" s="155"/>
      <c r="Z230" s="116" t="str">
        <f>IF($L230="X","-",IF(Y230="","-",IF(J230="M",VLOOKUP(Y230,T100Pts!AO$5:AW$126,(L230+1)),IF(J230="F",VLOOKUP(Y230,T100Pts!AY$5:BG$126,(L230+1)),""))))</f>
        <v>-</v>
      </c>
      <c r="AA230" s="157"/>
      <c r="AB230" s="116" t="str">
        <f>IF(OR($L230="X",$L230=6,$L230=7),"-",IF(AA230="","-",IF(J230="M",VLOOKUP(AA230,T100Pts!BI$5:BN$44,(L230+1)),IF(J230="F",VLOOKUP(AA230,T100Pts!BU$5:BZ$44,(L230+1)),""))))</f>
        <v>-</v>
      </c>
      <c r="AC230" s="228"/>
      <c r="AD230" s="116" t="str">
        <f>IF($L230="X","-",IF(AC230="","-",IF(J230="M",VLOOKUP(AC230,T100Pts!A$5:I$1146,(L230+1)),IF(J230="F",VLOOKUP(AC230,T100Pts!K$5:S$1146,(L230+1)),""))))</f>
        <v>-</v>
      </c>
      <c r="AE230" s="117" t="str">
        <f t="shared" si="44"/>
        <v>-</v>
      </c>
      <c r="AF230" s="114" t="str">
        <f t="shared" si="45"/>
        <v>-</v>
      </c>
      <c r="AG230" s="115" t="e">
        <f t="shared" si="47"/>
        <v>#DIV/0!</v>
      </c>
      <c r="AH230" s="114" t="str">
        <f t="shared" si="46"/>
        <v>-</v>
      </c>
      <c r="AI230" s="161"/>
      <c r="AJ230" s="77" t="str">
        <f t="shared" si="37"/>
        <v/>
      </c>
    </row>
    <row r="231" spans="1:36" ht="16.5" customHeight="1" x14ac:dyDescent="0.2">
      <c r="A231" s="138">
        <v>218</v>
      </c>
      <c r="B231" s="196"/>
      <c r="C231" s="159"/>
      <c r="D231" s="253"/>
      <c r="E231" s="254"/>
      <c r="F231" s="171"/>
      <c r="G231" s="248"/>
      <c r="H231" s="249"/>
      <c r="I231" s="245" t="str">
        <f t="shared" si="52"/>
        <v>-</v>
      </c>
      <c r="J231" s="155" t="s">
        <v>139</v>
      </c>
      <c r="K231" s="233" t="str">
        <f t="shared" si="53"/>
        <v>-</v>
      </c>
      <c r="L231" s="233" t="str">
        <f>IF(F231="","-",IF(K231&lt;&gt;"",VLOOKUP(K231,T100Pts!CH$4:CI$59,(2))))</f>
        <v>-</v>
      </c>
      <c r="M231" s="155"/>
      <c r="N231" s="233" t="str">
        <f>IF($L231="X","-",IF(M231="","-",IF(J231="M",VLOOKUP(M231,T100Pts!U$5:AC$86,(L231+1)),IF(J231="F",VLOOKUP(M231,T100Pts!AE$5:AM$86,(L231+1)),""))))</f>
        <v>-</v>
      </c>
      <c r="O231" s="155"/>
      <c r="P231" s="246" t="str">
        <f>IF($L231="X","-",IF(O231="","-",IF(J231="M",VLOOKUP(O231,T100Pts!AO$5:AW$126,(L231+1)),IF(J231="F",VLOOKUP(O231,T100Pts!AY$5:BG$126,(L231+1)),""))))</f>
        <v>-</v>
      </c>
      <c r="Q231" s="157"/>
      <c r="R231" s="246" t="str">
        <f>IF(OR($L231="X",$L231=6,$L231=7),"-",IF(Q231="","-",IF(J231="M",VLOOKUP(Q231,T100Pts!BI$5:BN$44,(L231+1)),IF(J231="F",VLOOKUP(Q231,T100Pts!BU$5:BZ$44,(L231+1)),""))))</f>
        <v>-</v>
      </c>
      <c r="S231" s="155"/>
      <c r="T231" s="246" t="str">
        <f>IF($L231="X","-",IF(S231="","-",IF(J231="M",VLOOKUP(S231,T100Pts!A$5:I$1146,(L231+1)),IF(J231="F",VLOOKUP(S231,T100Pts!K$5:S$1147,(L231+1)),""))))</f>
        <v>-</v>
      </c>
      <c r="U231" s="247" t="str">
        <f t="shared" si="54"/>
        <v>-</v>
      </c>
      <c r="V231" s="79" t="str">
        <f t="shared" si="51"/>
        <v>-</v>
      </c>
      <c r="W231" s="155"/>
      <c r="X231" s="116" t="str">
        <f>IF($L231="X","-",IF(W231="","-",IF(J231="M",VLOOKUP(W231,T100Pts!U$5:AC$86,(L231+1)),IF(J231="F",VLOOKUP(W231,T100Pts!AE$5:AM$86,(L231+1)),""))))</f>
        <v>-</v>
      </c>
      <c r="Y231" s="163"/>
      <c r="Z231" s="116" t="str">
        <f>IF($L231="X","-",IF(Y231="","-",IF(J231="M",VLOOKUP(Y231,T100Pts!AO$5:AW$126,(L231+1)),IF(J231="F",VLOOKUP(Y231,T100Pts!AY$5:BG$126,(L231+1)),""))))</f>
        <v>-</v>
      </c>
      <c r="AA231" s="165"/>
      <c r="AB231" s="116" t="str">
        <f>IF(OR($L231="X",$L231=6,$L231=7),"-",IF(AA231="","-",IF(J231="M",VLOOKUP(AA231,T100Pts!BI$5:BN$44,(L231+1)),IF(J231="F",VLOOKUP(AA231,T100Pts!BU$5:BZ$44,(L231+1)),""))))</f>
        <v>-</v>
      </c>
      <c r="AC231" s="228"/>
      <c r="AD231" s="116" t="str">
        <f>IF($L231="X","-",IF(AC231="","-",IF(J231="M",VLOOKUP(AC231,T100Pts!A$5:I$1146,(L231+1)),IF(J231="F",VLOOKUP(AC231,T100Pts!K$5:S$1146,(L231+1)),""))))</f>
        <v>-</v>
      </c>
      <c r="AE231" s="117" t="str">
        <f t="shared" si="44"/>
        <v>-</v>
      </c>
      <c r="AF231" s="114" t="str">
        <f t="shared" si="45"/>
        <v>-</v>
      </c>
      <c r="AG231" s="115" t="e">
        <f t="shared" si="47"/>
        <v>#DIV/0!</v>
      </c>
      <c r="AH231" s="114" t="str">
        <f t="shared" si="46"/>
        <v>-</v>
      </c>
      <c r="AI231" s="161"/>
      <c r="AJ231" s="77" t="str">
        <f t="shared" si="37"/>
        <v/>
      </c>
    </row>
    <row r="232" spans="1:36" ht="16.5" customHeight="1" x14ac:dyDescent="0.2">
      <c r="A232" s="138">
        <v>219</v>
      </c>
      <c r="B232" s="196"/>
      <c r="C232" s="159"/>
      <c r="D232" s="251"/>
      <c r="E232" s="254"/>
      <c r="F232" s="171"/>
      <c r="G232" s="248"/>
      <c r="H232" s="249"/>
      <c r="I232" s="245" t="str">
        <f t="shared" si="52"/>
        <v>-</v>
      </c>
      <c r="J232" s="155" t="s">
        <v>139</v>
      </c>
      <c r="K232" s="233" t="str">
        <f t="shared" si="53"/>
        <v>-</v>
      </c>
      <c r="L232" s="233" t="str">
        <f>IF(F232="","-",IF(K232&lt;&gt;"",VLOOKUP(K232,T100Pts!CH$4:CI$59,(2))))</f>
        <v>-</v>
      </c>
      <c r="M232" s="155"/>
      <c r="N232" s="233" t="str">
        <f>IF($L232="X","-",IF(M232="","-",IF(J232="M",VLOOKUP(M232,T100Pts!U$5:AC$86,(L232+1)),IF(J232="F",VLOOKUP(M232,T100Pts!AE$5:AM$86,(L232+1)),""))))</f>
        <v>-</v>
      </c>
      <c r="O232" s="155"/>
      <c r="P232" s="246" t="str">
        <f>IF($L232="X","-",IF(O232="","-",IF(J232="M",VLOOKUP(O232,T100Pts!AO$5:AW$126,(L232+1)),IF(J232="F",VLOOKUP(O232,T100Pts!AY$5:BG$126,(L232+1)),""))))</f>
        <v>-</v>
      </c>
      <c r="Q232" s="157"/>
      <c r="R232" s="246" t="str">
        <f>IF(OR($L232="X",$L232=6,$L232=7),"-",IF(Q232="","-",IF(J232="M",VLOOKUP(Q232,T100Pts!BI$5:BN$44,(L232+1)),IF(J232="F",VLOOKUP(Q232,T100Pts!BU$5:BZ$44,(L232+1)),""))))</f>
        <v>-</v>
      </c>
      <c r="S232" s="155"/>
      <c r="T232" s="246" t="str">
        <f>IF($L232="X","-",IF(S232="","-",IF(J232="M",VLOOKUP(S232,T100Pts!A$5:I$1146,(L232+1)),IF(J232="F",VLOOKUP(S232,T100Pts!K$5:S$1147,(L232+1)),""))))</f>
        <v>-</v>
      </c>
      <c r="U232" s="247" t="str">
        <f t="shared" si="54"/>
        <v>-</v>
      </c>
      <c r="V232" s="79" t="str">
        <f t="shared" si="51"/>
        <v>-</v>
      </c>
      <c r="W232" s="155"/>
      <c r="X232" s="116" t="str">
        <f>IF($L232="X","-",IF(W232="","-",IF(J232="M",VLOOKUP(W232,T100Pts!U$5:AC$86,(L232+1)),IF(J232="F",VLOOKUP(W232,T100Pts!AE$5:AM$86,(L232+1)),""))))</f>
        <v>-</v>
      </c>
      <c r="Y232" s="163"/>
      <c r="Z232" s="116" t="str">
        <f>IF($L232="X","-",IF(Y232="","-",IF(J232="M",VLOOKUP(Y232,T100Pts!AO$5:AW$126,(L232+1)),IF(J232="F",VLOOKUP(Y232,T100Pts!AY$5:BG$126,(L232+1)),""))))</f>
        <v>-</v>
      </c>
      <c r="AA232" s="165"/>
      <c r="AB232" s="116" t="str">
        <f>IF(OR($L232="X",$L232=6,$L232=7),"-",IF(AA232="","-",IF(J232="M",VLOOKUP(AA232,T100Pts!BI$5:BN$44,(L232+1)),IF(J232="F",VLOOKUP(AA232,T100Pts!BU$5:BZ$44,(L232+1)),""))))</f>
        <v>-</v>
      </c>
      <c r="AC232" s="228"/>
      <c r="AD232" s="116" t="str">
        <f>IF($L232="X","-",IF(AC232="","-",IF(J232="M",VLOOKUP(AC232,T100Pts!A$5:I$1146,(L232+1)),IF(J232="F",VLOOKUP(AC232,T100Pts!K$5:S$1146,(L232+1)),""))))</f>
        <v>-</v>
      </c>
      <c r="AE232" s="117" t="str">
        <f t="shared" si="44"/>
        <v>-</v>
      </c>
      <c r="AF232" s="114" t="str">
        <f t="shared" si="45"/>
        <v>-</v>
      </c>
      <c r="AG232" s="115" t="e">
        <f t="shared" si="47"/>
        <v>#DIV/0!</v>
      </c>
      <c r="AH232" s="114" t="str">
        <f t="shared" si="46"/>
        <v>-</v>
      </c>
      <c r="AI232" s="161"/>
      <c r="AJ232" s="77" t="str">
        <f t="shared" si="37"/>
        <v/>
      </c>
    </row>
    <row r="233" spans="1:36" ht="16.5" customHeight="1" x14ac:dyDescent="0.2">
      <c r="A233" s="138">
        <v>220</v>
      </c>
      <c r="B233" s="196"/>
      <c r="C233" s="159"/>
      <c r="D233" s="251"/>
      <c r="E233" s="254"/>
      <c r="F233" s="171"/>
      <c r="G233" s="248"/>
      <c r="H233" s="249"/>
      <c r="I233" s="245" t="str">
        <f t="shared" si="52"/>
        <v>-</v>
      </c>
      <c r="J233" s="155" t="s">
        <v>139</v>
      </c>
      <c r="K233" s="233" t="str">
        <f t="shared" si="53"/>
        <v>-</v>
      </c>
      <c r="L233" s="233" t="str">
        <f>IF(F233="","-",IF(K233&lt;&gt;"",VLOOKUP(K233,T100Pts!CH$4:CI$59,(2))))</f>
        <v>-</v>
      </c>
      <c r="M233" s="155"/>
      <c r="N233" s="233" t="str">
        <f>IF($L233="X","-",IF(M233="","-",IF(J233="M",VLOOKUP(M233,T100Pts!U$5:AC$86,(L233+1)),IF(J233="F",VLOOKUP(M233,T100Pts!AE$5:AM$86,(L233+1)),""))))</f>
        <v>-</v>
      </c>
      <c r="O233" s="155"/>
      <c r="P233" s="246" t="str">
        <f>IF($L233="X","-",IF(O233="","-",IF(J233="M",VLOOKUP(O233,T100Pts!AO$5:AW$126,(L233+1)),IF(J233="F",VLOOKUP(O233,T100Pts!AY$5:BG$126,(L233+1)),""))))</f>
        <v>-</v>
      </c>
      <c r="Q233" s="157"/>
      <c r="R233" s="246" t="str">
        <f>IF(OR($L233="X",$L233=6,$L233=7),"-",IF(Q233="","-",IF(J233="M",VLOOKUP(Q233,T100Pts!BI$5:BN$44,(L233+1)),IF(J233="F",VLOOKUP(Q233,T100Pts!BU$5:BZ$44,(L233+1)),""))))</f>
        <v>-</v>
      </c>
      <c r="S233" s="155"/>
      <c r="T233" s="246" t="str">
        <f>IF($L233="X","-",IF(S233="","-",IF(J233="M",VLOOKUP(S233,T100Pts!A$5:I$1146,(L233+1)),IF(J233="F",VLOOKUP(S233,T100Pts!K$5:S$1147,(L233+1)),""))))</f>
        <v>-</v>
      </c>
      <c r="U233" s="247" t="str">
        <f t="shared" si="54"/>
        <v>-</v>
      </c>
      <c r="V233" s="79" t="str">
        <f t="shared" si="51"/>
        <v>-</v>
      </c>
      <c r="W233" s="155"/>
      <c r="X233" s="116" t="str">
        <f>IF($L233="X","-",IF(W233="","-",IF(J233="M",VLOOKUP(W233,T100Pts!U$5:AC$86,(L233+1)),IF(J233="F",VLOOKUP(W233,T100Pts!AE$5:AM$86,(L233+1)),""))))</f>
        <v>-</v>
      </c>
      <c r="Y233" s="163"/>
      <c r="Z233" s="116" t="str">
        <f>IF($L233="X","-",IF(Y233="","-",IF(J233="M",VLOOKUP(Y233,T100Pts!AO$5:AW$126,(L233+1)),IF(J233="F",VLOOKUP(Y233,T100Pts!AY$5:BG$126,(L233+1)),""))))</f>
        <v>-</v>
      </c>
      <c r="AA233" s="165"/>
      <c r="AB233" s="116" t="str">
        <f>IF(OR($L233="X",$L233=6,$L233=7),"-",IF(AA233="","-",IF(J233="M",VLOOKUP(AA233,T100Pts!BI$5:BN$44,(L233+1)),IF(J233="F",VLOOKUP(AA233,T100Pts!BU$5:BZ$44,(L233+1)),""))))</f>
        <v>-</v>
      </c>
      <c r="AC233" s="228"/>
      <c r="AD233" s="116" t="str">
        <f>IF($L233="X","-",IF(AC233="","-",IF(J233="M",VLOOKUP(AC233,T100Pts!A$5:I$1146,(L233+1)),IF(J233="F",VLOOKUP(AC233,T100Pts!K$5:S$1146,(L233+1)),""))))</f>
        <v>-</v>
      </c>
      <c r="AE233" s="117" t="str">
        <f t="shared" si="44"/>
        <v>-</v>
      </c>
      <c r="AF233" s="114" t="str">
        <f t="shared" si="45"/>
        <v>-</v>
      </c>
      <c r="AG233" s="115" t="e">
        <f t="shared" si="47"/>
        <v>#DIV/0!</v>
      </c>
      <c r="AH233" s="114" t="str">
        <f t="shared" si="46"/>
        <v>-</v>
      </c>
      <c r="AI233" s="161" t="s">
        <v>201</v>
      </c>
      <c r="AJ233" s="77" t="str">
        <f t="shared" si="37"/>
        <v/>
      </c>
    </row>
    <row r="234" spans="1:36" ht="16.5" customHeight="1" x14ac:dyDescent="0.25">
      <c r="A234" s="138">
        <v>221</v>
      </c>
      <c r="B234" s="196"/>
      <c r="C234" s="159"/>
      <c r="D234" s="252"/>
      <c r="E234" s="255"/>
      <c r="F234" s="171"/>
      <c r="G234" s="248"/>
      <c r="H234" s="249"/>
      <c r="I234" s="245" t="str">
        <f t="shared" si="52"/>
        <v>-</v>
      </c>
      <c r="J234" s="155" t="s">
        <v>139</v>
      </c>
      <c r="K234" s="233" t="str">
        <f t="shared" si="53"/>
        <v>-</v>
      </c>
      <c r="L234" s="233" t="str">
        <f>IF(F234="","-",IF(K234&lt;&gt;"",VLOOKUP(K234,T100Pts!CH$4:CI$59,(2))))</f>
        <v>-</v>
      </c>
      <c r="M234" s="155"/>
      <c r="N234" s="233" t="str">
        <f>IF($L234="X","-",IF(M234="","-",IF(J234="M",VLOOKUP(M234,T100Pts!U$5:AC$86,(L234+1)),IF(J234="F",VLOOKUP(M234,T100Pts!AE$5:AM$86,(L234+1)),""))))</f>
        <v>-</v>
      </c>
      <c r="O234" s="155"/>
      <c r="P234" s="246" t="str">
        <f>IF($L234="X","-",IF(O234="","-",IF(J234="M",VLOOKUP(O234,T100Pts!AO$5:AW$126,(L234+1)),IF(J234="F",VLOOKUP(O234,T100Pts!AY$5:BG$126,(L234+1)),""))))</f>
        <v>-</v>
      </c>
      <c r="Q234" s="157"/>
      <c r="R234" s="246" t="str">
        <f>IF(OR($L234="X",$L234=6,$L234=7),"-",IF(Q234="","-",IF(J234="M",VLOOKUP(Q234,T100Pts!BI$5:BN$44,(L234+1)),IF(J234="F",VLOOKUP(Q234,T100Pts!BU$5:BZ$44,(L234+1)),""))))</f>
        <v>-</v>
      </c>
      <c r="S234" s="155"/>
      <c r="T234" s="246" t="str">
        <f>IF($L234="X","-",IF(S234="","-",IF(J234="M",VLOOKUP(S234,T100Pts!A$5:I$1146,(L234+1)),IF(J234="F",VLOOKUP(S234,T100Pts!K$5:S$1147,(L234+1)),""))))</f>
        <v>-</v>
      </c>
      <c r="U234" s="247" t="str">
        <f t="shared" si="54"/>
        <v>-</v>
      </c>
      <c r="V234" s="79" t="str">
        <f t="shared" si="51"/>
        <v>-</v>
      </c>
      <c r="W234" s="155"/>
      <c r="X234" s="116" t="str">
        <f>IF($L234="X","-",IF(W234="","-",IF(J234="M",VLOOKUP(W234,T100Pts!U$5:AC$86,(L234+1)),IF(J234="F",VLOOKUP(W234,T100Pts!AE$5:AM$86,(L234+1)),""))))</f>
        <v>-</v>
      </c>
      <c r="Y234" s="163"/>
      <c r="Z234" s="116" t="str">
        <f>IF($L234="X","-",IF(Y234="","-",IF(J234="M",VLOOKUP(Y234,T100Pts!AO$5:AW$126,(L234+1)),IF(J234="F",VLOOKUP(Y234,T100Pts!AY$5:BG$126,(L234+1)),""))))</f>
        <v>-</v>
      </c>
      <c r="AA234" s="165"/>
      <c r="AB234" s="116" t="str">
        <f>IF(OR($L234="X",$L234=6,$L234=7),"-",IF(AA234="","-",IF(J234="M",VLOOKUP(AA234,T100Pts!BI$5:BN$44,(L234+1)),IF(J234="F",VLOOKUP(AA234,T100Pts!BU$5:BZ$44,(L234+1)),""))))</f>
        <v>-</v>
      </c>
      <c r="AC234" s="228"/>
      <c r="AD234" s="116" t="str">
        <f>IF($L234="X","-",IF(AC234="","-",IF(J234="M",VLOOKUP(AC234,T100Pts!A$5:I$1146,(L234+1)),IF(J234="F",VLOOKUP(AC234,T100Pts!K$5:S$1146,(L234+1)),""))))</f>
        <v>-</v>
      </c>
      <c r="AE234" s="117" t="str">
        <f t="shared" si="44"/>
        <v>-</v>
      </c>
      <c r="AF234" s="114" t="str">
        <f t="shared" si="45"/>
        <v>-</v>
      </c>
      <c r="AG234" s="115" t="e">
        <f t="shared" si="47"/>
        <v>#DIV/0!</v>
      </c>
      <c r="AH234" s="114" t="str">
        <f t="shared" si="46"/>
        <v>-</v>
      </c>
      <c r="AI234" s="161"/>
      <c r="AJ234" s="77" t="str">
        <f t="shared" si="37"/>
        <v/>
      </c>
    </row>
    <row r="235" spans="1:36" ht="16.5" customHeight="1" x14ac:dyDescent="0.25">
      <c r="A235" s="138">
        <v>222</v>
      </c>
      <c r="B235" s="196"/>
      <c r="C235" s="159"/>
      <c r="D235" s="252"/>
      <c r="E235" s="255"/>
      <c r="F235" s="171"/>
      <c r="G235" s="248"/>
      <c r="H235" s="249"/>
      <c r="I235" s="245" t="str">
        <f t="shared" si="52"/>
        <v>-</v>
      </c>
      <c r="J235" s="155" t="s">
        <v>139</v>
      </c>
      <c r="K235" s="233" t="str">
        <f t="shared" si="53"/>
        <v>-</v>
      </c>
      <c r="L235" s="233" t="str">
        <f>IF(F235="","-",IF(K235&lt;&gt;"",VLOOKUP(K235,T100Pts!CH$4:CI$59,(2))))</f>
        <v>-</v>
      </c>
      <c r="M235" s="155"/>
      <c r="N235" s="233" t="str">
        <f>IF($L235="X","-",IF(M235="","-",IF(J235="M",VLOOKUP(M235,T100Pts!U$5:AC$86,(L235+1)),IF(J235="F",VLOOKUP(M235,T100Pts!AE$5:AM$86,(L235+1)),""))))</f>
        <v>-</v>
      </c>
      <c r="O235" s="155"/>
      <c r="P235" s="246" t="str">
        <f>IF($L235="X","-",IF(O235="","-",IF(J235="M",VLOOKUP(O235,T100Pts!AO$5:AW$126,(L235+1)),IF(J235="F",VLOOKUP(O235,T100Pts!AY$5:BG$126,(L235+1)),""))))</f>
        <v>-</v>
      </c>
      <c r="Q235" s="157"/>
      <c r="R235" s="246" t="str">
        <f>IF(OR($L235="X",$L235=6,$L235=7),"-",IF(Q235="","-",IF(J235="M",VLOOKUP(Q235,T100Pts!BI$5:BN$44,(L235+1)),IF(J235="F",VLOOKUP(Q235,T100Pts!BU$5:BZ$44,(L235+1)),""))))</f>
        <v>-</v>
      </c>
      <c r="S235" s="155"/>
      <c r="T235" s="246" t="str">
        <f>IF($L235="X","-",IF(S235="","-",IF(J235="M",VLOOKUP(S235,T100Pts!A$5:I$1146,(L235+1)),IF(J235="F",VLOOKUP(S235,T100Pts!K$5:S$1147,(L235+1)),""))))</f>
        <v>-</v>
      </c>
      <c r="U235" s="247" t="str">
        <f t="shared" si="54"/>
        <v>-</v>
      </c>
      <c r="V235" s="79" t="str">
        <f t="shared" si="51"/>
        <v>-</v>
      </c>
      <c r="W235" s="155"/>
      <c r="X235" s="116" t="str">
        <f>IF($L235="X","-",IF(W235="","-",IF(J235="M",VLOOKUP(W235,T100Pts!U$5:AC$86,(L235+1)),IF(J235="F",VLOOKUP(W235,T100Pts!AE$5:AM$86,(L235+1)),""))))</f>
        <v>-</v>
      </c>
      <c r="Y235" s="163"/>
      <c r="Z235" s="116" t="str">
        <f>IF($L235="X","-",IF(Y235="","-",IF(J235="M",VLOOKUP(Y235,T100Pts!AO$5:AW$126,(L235+1)),IF(J235="F",VLOOKUP(Y235,T100Pts!AY$5:BG$126,(L235+1)),""))))</f>
        <v>-</v>
      </c>
      <c r="AA235" s="165"/>
      <c r="AB235" s="116" t="str">
        <f>IF(OR($L235="X",$L235=6,$L235=7),"-",IF(AA235="","-",IF(J235="M",VLOOKUP(AA235,T100Pts!BI$5:BN$44,(L235+1)),IF(J235="F",VLOOKUP(AA235,T100Pts!BU$5:BZ$44,(L235+1)),""))))</f>
        <v>-</v>
      </c>
      <c r="AC235" s="228"/>
      <c r="AD235" s="116" t="str">
        <f>IF($L235="X","-",IF(AC235="","-",IF(J235="M",VLOOKUP(AC235,T100Pts!A$5:I$1146,(L235+1)),IF(J235="F",VLOOKUP(AC235,T100Pts!K$5:S$1146,(L235+1)),""))))</f>
        <v>-</v>
      </c>
      <c r="AE235" s="117" t="str">
        <f t="shared" si="44"/>
        <v>-</v>
      </c>
      <c r="AF235" s="114" t="str">
        <f t="shared" si="45"/>
        <v>-</v>
      </c>
      <c r="AG235" s="115" t="e">
        <f t="shared" si="47"/>
        <v>#DIV/0!</v>
      </c>
      <c r="AH235" s="114" t="str">
        <f t="shared" si="46"/>
        <v>-</v>
      </c>
      <c r="AI235" s="161"/>
      <c r="AJ235" s="77" t="str">
        <f t="shared" si="37"/>
        <v/>
      </c>
    </row>
    <row r="236" spans="1:36" ht="16.5" customHeight="1" x14ac:dyDescent="0.2">
      <c r="A236" s="138">
        <v>223</v>
      </c>
      <c r="B236" s="196"/>
      <c r="C236" s="159"/>
      <c r="D236" s="251"/>
      <c r="E236" s="254"/>
      <c r="F236" s="171"/>
      <c r="G236" s="248"/>
      <c r="H236" s="249"/>
      <c r="I236" s="245" t="str">
        <f t="shared" si="52"/>
        <v>-</v>
      </c>
      <c r="J236" s="155" t="s">
        <v>139</v>
      </c>
      <c r="K236" s="233" t="str">
        <f t="shared" si="53"/>
        <v>-</v>
      </c>
      <c r="L236" s="233" t="str">
        <f>IF(F236="","-",IF(K236&lt;&gt;"",VLOOKUP(K236,T100Pts!CH$4:CI$59,(2))))</f>
        <v>-</v>
      </c>
      <c r="M236" s="155"/>
      <c r="N236" s="233" t="str">
        <f>IF($L236="X","-",IF(M236="","-",IF(J236="M",VLOOKUP(M236,T100Pts!U$5:AC$86,(L236+1)),IF(J236="F",VLOOKUP(M236,T100Pts!AE$5:AM$86,(L236+1)),""))))</f>
        <v>-</v>
      </c>
      <c r="O236" s="155"/>
      <c r="P236" s="246" t="str">
        <f>IF($L236="X","-",IF(O236="","-",IF(J236="M",VLOOKUP(O236,T100Pts!AO$5:AW$126,(L236+1)),IF(J236="F",VLOOKUP(O236,T100Pts!AY$5:BG$126,(L236+1)),""))))</f>
        <v>-</v>
      </c>
      <c r="Q236" s="157"/>
      <c r="R236" s="246" t="str">
        <f>IF(OR($L236="X",$L236=6,$L236=7),"-",IF(Q236="","-",IF(J236="M",VLOOKUP(Q236,T100Pts!BI$5:BN$44,(L236+1)),IF(J236="F",VLOOKUP(Q236,T100Pts!BU$5:BZ$44,(L236+1)),""))))</f>
        <v>-</v>
      </c>
      <c r="S236" s="155"/>
      <c r="T236" s="246" t="str">
        <f>IF($L236="X","-",IF(S236="","-",IF(J236="M",VLOOKUP(S236,T100Pts!A$5:I$1146,(L236+1)),IF(J236="F",VLOOKUP(S236,T100Pts!K$5:S$1147,(L236+1)),""))))</f>
        <v>-</v>
      </c>
      <c r="U236" s="247" t="str">
        <f t="shared" si="54"/>
        <v>-</v>
      </c>
      <c r="V236" s="79" t="str">
        <f t="shared" si="51"/>
        <v>-</v>
      </c>
      <c r="W236" s="155"/>
      <c r="X236" s="116" t="str">
        <f>IF($L236="X","-",IF(W236="","-",IF(J236="M",VLOOKUP(W236,T100Pts!U$5:AC$86,(L236+1)),IF(J236="F",VLOOKUP(W236,T100Pts!AE$5:AM$86,(L236+1)),""))))</f>
        <v>-</v>
      </c>
      <c r="Y236" s="163"/>
      <c r="Z236" s="116" t="str">
        <f>IF($L236="X","-",IF(Y236="","-",IF(J236="M",VLOOKUP(Y236,T100Pts!AO$5:AW$126,(L236+1)),IF(J236="F",VLOOKUP(Y236,T100Pts!AY$5:BG$126,(L236+1)),""))))</f>
        <v>-</v>
      </c>
      <c r="AA236" s="165"/>
      <c r="AB236" s="116" t="str">
        <f>IF(OR($L236="X",$L236=6,$L236=7),"-",IF(AA236="","-",IF(J236="M",VLOOKUP(AA236,T100Pts!BI$5:BN$44,(L236+1)),IF(J236="F",VLOOKUP(AA236,T100Pts!BU$5:BZ$44,(L236+1)),""))))</f>
        <v>-</v>
      </c>
      <c r="AC236" s="228"/>
      <c r="AD236" s="116" t="str">
        <f>IF($L236="X","-",IF(AC236="","-",IF(J236="M",VLOOKUP(AC236,T100Pts!A$5:I$1146,(L236+1)),IF(J236="F",VLOOKUP(AC236,T100Pts!K$5:S$1146,(L236+1)),""))))</f>
        <v>-</v>
      </c>
      <c r="AE236" s="117" t="str">
        <f t="shared" si="44"/>
        <v>-</v>
      </c>
      <c r="AF236" s="114" t="str">
        <f t="shared" si="45"/>
        <v>-</v>
      </c>
      <c r="AG236" s="115" t="e">
        <f t="shared" si="47"/>
        <v>#DIV/0!</v>
      </c>
      <c r="AH236" s="114" t="str">
        <f t="shared" si="46"/>
        <v>-</v>
      </c>
      <c r="AI236" s="161"/>
      <c r="AJ236" s="77" t="str">
        <f t="shared" si="37"/>
        <v/>
      </c>
    </row>
    <row r="237" spans="1:36" ht="16.5" customHeight="1" x14ac:dyDescent="0.25">
      <c r="A237" s="138">
        <v>224</v>
      </c>
      <c r="B237" s="196"/>
      <c r="C237" s="159"/>
      <c r="D237" s="252"/>
      <c r="E237" s="255"/>
      <c r="F237" s="171"/>
      <c r="G237" s="248"/>
      <c r="H237" s="249"/>
      <c r="I237" s="245" t="str">
        <f t="shared" si="52"/>
        <v>-</v>
      </c>
      <c r="J237" s="155" t="s">
        <v>139</v>
      </c>
      <c r="K237" s="233" t="str">
        <f t="shared" si="53"/>
        <v>-</v>
      </c>
      <c r="L237" s="233" t="str">
        <f>IF(F237="","-",IF(K237&lt;&gt;"",VLOOKUP(K237,T100Pts!CH$4:CI$59,(2))))</f>
        <v>-</v>
      </c>
      <c r="M237" s="155"/>
      <c r="N237" s="233" t="str">
        <f>IF($L237="X","-",IF(M237="","-",IF(J237="M",VLOOKUP(M237,T100Pts!U$5:AC$86,(L237+1)),IF(J237="F",VLOOKUP(M237,T100Pts!AE$5:AM$86,(L237+1)),""))))</f>
        <v>-</v>
      </c>
      <c r="O237" s="155"/>
      <c r="P237" s="246" t="str">
        <f>IF($L237="X","-",IF(O237="","-",IF(J237="M",VLOOKUP(O237,T100Pts!AO$5:AW$126,(L237+1)),IF(J237="F",VLOOKUP(O237,T100Pts!AY$5:BG$126,(L237+1)),""))))</f>
        <v>-</v>
      </c>
      <c r="Q237" s="157"/>
      <c r="R237" s="246" t="str">
        <f>IF(OR($L237="X",$L237=6,$L237=7),"-",IF(Q237="","-",IF(J237="M",VLOOKUP(Q237,T100Pts!BI$5:BN$44,(L237+1)),IF(J237="F",VLOOKUP(Q237,T100Pts!BU$5:BZ$44,(L237+1)),""))))</f>
        <v>-</v>
      </c>
      <c r="S237" s="155"/>
      <c r="T237" s="246" t="str">
        <f>IF($L237="X","-",IF(S237="","-",IF(J237="M",VLOOKUP(S237,T100Pts!A$5:I$1146,(L237+1)),IF(J237="F",VLOOKUP(S237,T100Pts!K$5:S$1147,(L237+1)),""))))</f>
        <v>-</v>
      </c>
      <c r="U237" s="247" t="str">
        <f t="shared" si="54"/>
        <v>-</v>
      </c>
      <c r="V237" s="79" t="str">
        <f t="shared" si="51"/>
        <v>-</v>
      </c>
      <c r="W237" s="155"/>
      <c r="X237" s="116" t="str">
        <f>IF($L237="X","-",IF(W237="","-",IF(J237="M",VLOOKUP(W237,T100Pts!U$5:AC$86,(L237+1)),IF(J237="F",VLOOKUP(W237,T100Pts!AE$5:AM$86,(L237+1)),""))))</f>
        <v>-</v>
      </c>
      <c r="Y237" s="163"/>
      <c r="Z237" s="116" t="str">
        <f>IF($L237="X","-",IF(Y237="","-",IF(J237="M",VLOOKUP(Y237,T100Pts!AO$5:AW$126,(L237+1)),IF(J237="F",VLOOKUP(Y237,T100Pts!AY$5:BG$126,(L237+1)),""))))</f>
        <v>-</v>
      </c>
      <c r="AA237" s="165"/>
      <c r="AB237" s="116" t="str">
        <f>IF(OR($L237="X",$L237=6,$L237=7),"-",IF(AA237="","-",IF(J237="M",VLOOKUP(AA237,T100Pts!BI$5:BN$44,(L237+1)),IF(J237="F",VLOOKUP(AA237,T100Pts!BU$5:BZ$44,(L237+1)),""))))</f>
        <v>-</v>
      </c>
      <c r="AC237" s="228"/>
      <c r="AD237" s="116" t="str">
        <f>IF($L237="X","-",IF(AC237="","-",IF(J237="M",VLOOKUP(AC237,T100Pts!A$5:I$1146,(L237+1)),IF(J237="F",VLOOKUP(AC237,T100Pts!K$5:S$1146,(L237+1)),""))))</f>
        <v>-</v>
      </c>
      <c r="AE237" s="117" t="str">
        <f t="shared" si="44"/>
        <v>-</v>
      </c>
      <c r="AF237" s="114" t="str">
        <f t="shared" si="45"/>
        <v>-</v>
      </c>
      <c r="AG237" s="115" t="e">
        <f t="shared" si="47"/>
        <v>#DIV/0!</v>
      </c>
      <c r="AH237" s="114" t="str">
        <f t="shared" si="46"/>
        <v>-</v>
      </c>
      <c r="AI237" s="161"/>
      <c r="AJ237" s="77" t="str">
        <f t="shared" ref="AJ237:AJ240" si="55">IF(OR(B237="TG",B237="GD",B237="GB",B237="CY",B237="CR",B237="TC",B237="MY",B237="CT",B237="TP",B237="TP EC",B237="TT",B237="TT EC",B237="ST",B237="ST EC"),"Oficial",IF(OR(B237="VP",B237="VS",B237="VS EC"),"Vol",IF(B237="","","Subof")))</f>
        <v/>
      </c>
    </row>
    <row r="238" spans="1:36" ht="16.5" customHeight="1" x14ac:dyDescent="0.2">
      <c r="A238" s="138">
        <v>225</v>
      </c>
      <c r="B238" s="196"/>
      <c r="C238" s="159"/>
      <c r="D238" s="251"/>
      <c r="E238" s="254"/>
      <c r="F238" s="171"/>
      <c r="G238" s="248"/>
      <c r="H238" s="249"/>
      <c r="I238" s="245" t="str">
        <f t="shared" si="52"/>
        <v>-</v>
      </c>
      <c r="J238" s="155" t="s">
        <v>139</v>
      </c>
      <c r="K238" s="233" t="str">
        <f t="shared" si="53"/>
        <v>-</v>
      </c>
      <c r="L238" s="233" t="str">
        <f>IF(F238="","-",IF(K238&lt;&gt;"",VLOOKUP(K238,T100Pts!CH$4:CI$59,(2))))</f>
        <v>-</v>
      </c>
      <c r="M238" s="155"/>
      <c r="N238" s="233" t="str">
        <f>IF($L238="X","-",IF(M238="","-",IF(J238="M",VLOOKUP(M238,T100Pts!U$5:AC$86,(L238+1)),IF(J238="F",VLOOKUP(M238,T100Pts!AE$5:AM$86,(L238+1)),""))))</f>
        <v>-</v>
      </c>
      <c r="O238" s="155"/>
      <c r="P238" s="246" t="str">
        <f>IF($L238="X","-",IF(O238="","-",IF(J238="M",VLOOKUP(O238,T100Pts!AO$5:AW$126,(L238+1)),IF(J238="F",VLOOKUP(O238,T100Pts!AY$5:BG$126,(L238+1)),""))))</f>
        <v>-</v>
      </c>
      <c r="Q238" s="157"/>
      <c r="R238" s="246" t="str">
        <f>IF(OR($L238="X",$L238=6,$L238=7),"-",IF(Q238="","-",IF(J238="M",VLOOKUP(Q238,T100Pts!BI$5:BN$44,(L238+1)),IF(J238="F",VLOOKUP(Q238,T100Pts!BU$5:BZ$44,(L238+1)),""))))</f>
        <v>-</v>
      </c>
      <c r="S238" s="155"/>
      <c r="T238" s="246" t="str">
        <f>IF($L238="X","-",IF(S238="","-",IF(J238="M",VLOOKUP(S238,T100Pts!A$5:I$1146,(L238+1)),IF(J238="F",VLOOKUP(S238,T100Pts!K$5:S$1147,(L238+1)),""))))</f>
        <v>-</v>
      </c>
      <c r="U238" s="247" t="str">
        <f t="shared" si="54"/>
        <v>-</v>
      </c>
      <c r="V238" s="79" t="str">
        <f t="shared" si="51"/>
        <v>-</v>
      </c>
      <c r="W238" s="155"/>
      <c r="X238" s="116" t="str">
        <f>IF($L238="X","-",IF(W238="","-",IF(J238="M",VLOOKUP(W238,T100Pts!U$5:AC$86,(L238+1)),IF(J238="F",VLOOKUP(W238,T100Pts!AE$5:AM$86,(L238+1)),""))))</f>
        <v>-</v>
      </c>
      <c r="Y238" s="163"/>
      <c r="Z238" s="116" t="str">
        <f>IF($L238="X","-",IF(Y238="","-",IF(J238="M",VLOOKUP(Y238,T100Pts!AO$5:AW$126,(L238+1)),IF(J238="F",VLOOKUP(Y238,T100Pts!AY$5:BG$126,(L238+1)),""))))</f>
        <v>-</v>
      </c>
      <c r="AA238" s="165"/>
      <c r="AB238" s="116" t="str">
        <f>IF(OR($L238="X",$L238=6,$L238=7),"-",IF(AA238="","-",IF(J238="M",VLOOKUP(AA238,T100Pts!BI$5:BN$44,(L238+1)),IF(J238="F",VLOOKUP(AA238,T100Pts!BU$5:BZ$44,(L238+1)),""))))</f>
        <v>-</v>
      </c>
      <c r="AC238" s="228"/>
      <c r="AD238" s="116" t="str">
        <f>IF($L238="X","-",IF(AC238="","-",IF(J238="M",VLOOKUP(AC238,T100Pts!A$5:I$1146,(L238+1)),IF(J238="F",VLOOKUP(AC238,T100Pts!K$5:S$1146,(L238+1)),""))))</f>
        <v>-</v>
      </c>
      <c r="AE238" s="117" t="str">
        <f t="shared" si="44"/>
        <v>-</v>
      </c>
      <c r="AF238" s="114" t="str">
        <f t="shared" si="45"/>
        <v>-</v>
      </c>
      <c r="AG238" s="115" t="e">
        <f t="shared" si="47"/>
        <v>#DIV/0!</v>
      </c>
      <c r="AH238" s="114" t="str">
        <f t="shared" si="46"/>
        <v>-</v>
      </c>
      <c r="AI238" s="161"/>
      <c r="AJ238" s="77" t="str">
        <f t="shared" si="55"/>
        <v/>
      </c>
    </row>
    <row r="239" spans="1:36" ht="16.5" customHeight="1" x14ac:dyDescent="0.25">
      <c r="A239" s="138">
        <v>226</v>
      </c>
      <c r="B239" s="196"/>
      <c r="C239" s="159"/>
      <c r="D239" s="250"/>
      <c r="E239" s="255"/>
      <c r="F239" s="176"/>
      <c r="G239" s="248"/>
      <c r="H239" s="249"/>
      <c r="I239" s="245" t="str">
        <f t="shared" si="52"/>
        <v>-</v>
      </c>
      <c r="J239" s="155" t="s">
        <v>140</v>
      </c>
      <c r="K239" s="233" t="str">
        <f t="shared" si="53"/>
        <v>-</v>
      </c>
      <c r="L239" s="233" t="str">
        <f>IF(F239="","-",IF(K239&lt;&gt;"",VLOOKUP(K239,T100Pts!CH$4:CI$59,(2))))</f>
        <v>-</v>
      </c>
      <c r="M239" s="155"/>
      <c r="N239" s="233" t="str">
        <f>IF($L239="X","-",IF(M239="","-",IF(J239="M",VLOOKUP(M239,T100Pts!U$5:AC$86,(L239+1)),IF(J239="F",VLOOKUP(M239,T100Pts!AE$5:AM$86,(L239+1)),""))))</f>
        <v>-</v>
      </c>
      <c r="O239" s="155"/>
      <c r="P239" s="246" t="str">
        <f>IF($L239="X","-",IF(O239="","-",IF(J239="M",VLOOKUP(O239,T100Pts!AO$5:AW$126,(L239+1)),IF(J239="F",VLOOKUP(O239,T100Pts!AY$5:BG$126,(L239+1)),""))))</f>
        <v>-</v>
      </c>
      <c r="Q239" s="157"/>
      <c r="R239" s="246" t="str">
        <f>IF(OR($L239="X",$L239=6,$L239=7),"-",IF(Q239="","-",IF(J239="M",VLOOKUP(Q239,T100Pts!BI$5:BN$44,(L239+1)),IF(J239="F",VLOOKUP(Q239,T100Pts!BU$5:BZ$44,(L239+1)),""))))</f>
        <v>-</v>
      </c>
      <c r="S239" s="155"/>
      <c r="T239" s="246" t="str">
        <f>IF($L239="X","-",IF(S239="","-",IF(J239="M",VLOOKUP(S239,T100Pts!A$5:I$1146,(L239+1)),IF(J239="F",VLOOKUP(S239,T100Pts!K$5:S$1147,(L239+1)),""))))</f>
        <v>-</v>
      </c>
      <c r="U239" s="247" t="str">
        <f t="shared" si="54"/>
        <v>-</v>
      </c>
      <c r="V239" s="79" t="str">
        <f t="shared" si="51"/>
        <v>-</v>
      </c>
      <c r="W239" s="155"/>
      <c r="X239" s="116" t="str">
        <f>IF($L239="X","-",IF(W239="","-",IF(J239="M",VLOOKUP(W239,T100Pts!U$5:AC$86,(L239+1)),IF(J239="F",VLOOKUP(W239,T100Pts!AE$5:AM$86,(L239+1)),""))))</f>
        <v>-</v>
      </c>
      <c r="Y239" s="163"/>
      <c r="Z239" s="116" t="str">
        <f>IF($L239="X","-",IF(Y239="","-",IF(J239="M",VLOOKUP(Y239,T100Pts!AO$5:AW$126,(L239+1)),IF(J239="F",VLOOKUP(Y239,T100Pts!AY$5:BG$126,(L239+1)),""))))</f>
        <v>-</v>
      </c>
      <c r="AA239" s="165"/>
      <c r="AB239" s="116" t="str">
        <f>IF(OR($L239="X",$L239=6,$L239=7),"-",IF(AA239="","-",IF(J239="M",VLOOKUP(AA239,T100Pts!BI$5:BN$44,(L239+1)),IF(J239="F",VLOOKUP(AA239,T100Pts!BU$5:BZ$44,(L239+1)),""))))</f>
        <v>-</v>
      </c>
      <c r="AC239" s="228"/>
      <c r="AD239" s="116" t="str">
        <f>IF($L239="X","-",IF(AC239="","-",IF(J239="M",VLOOKUP(AC239,T100Pts!A$5:I$1146,(L239+1)),IF(J239="F",VLOOKUP(AC239,T100Pts!K$5:S$1146,(L239+1)),""))))</f>
        <v>-</v>
      </c>
      <c r="AE239" s="117" t="str">
        <f t="shared" si="44"/>
        <v>-</v>
      </c>
      <c r="AF239" s="114" t="str">
        <f t="shared" si="45"/>
        <v>-</v>
      </c>
      <c r="AG239" s="115" t="e">
        <f t="shared" si="47"/>
        <v>#DIV/0!</v>
      </c>
      <c r="AH239" s="114" t="str">
        <f t="shared" si="46"/>
        <v>-</v>
      </c>
      <c r="AI239" s="161"/>
      <c r="AJ239" s="77" t="str">
        <f t="shared" si="55"/>
        <v/>
      </c>
    </row>
    <row r="240" spans="1:36" s="266" customFormat="1" ht="16.5" customHeight="1" x14ac:dyDescent="0.25">
      <c r="A240" s="138">
        <v>227</v>
      </c>
      <c r="B240" s="256"/>
      <c r="C240" s="257"/>
      <c r="D240" s="250"/>
      <c r="E240" s="255"/>
      <c r="F240" s="258"/>
      <c r="G240" s="259"/>
      <c r="H240" s="260"/>
      <c r="I240" s="245" t="str">
        <f t="shared" si="52"/>
        <v>-</v>
      </c>
      <c r="J240" s="261" t="s">
        <v>140</v>
      </c>
      <c r="K240" s="233" t="str">
        <f t="shared" si="53"/>
        <v>-</v>
      </c>
      <c r="L240" s="233" t="str">
        <f>IF(F240="","-",IF(K240&lt;&gt;"",VLOOKUP(K240,T100Pts!CH$4:CI$59,(2))))</f>
        <v>-</v>
      </c>
      <c r="M240" s="261"/>
      <c r="N240" s="233" t="str">
        <f>IF($L240="X","-",IF(M240="","-",IF(J240="M",VLOOKUP(M240,T100Pts!U$5:AC$86,(L240+1)),IF(J240="F",VLOOKUP(M240,T100Pts!AE$5:AM$86,(L240+1)),""))))</f>
        <v>-</v>
      </c>
      <c r="O240" s="261"/>
      <c r="P240" s="246" t="str">
        <f>IF($L240="X","-",IF(O240="","-",IF(J240="M",VLOOKUP(O240,T100Pts!AO$5:AW$126,(L240+1)),IF(J240="F",VLOOKUP(O240,T100Pts!AY$5:BG$126,(L240+1)),""))))</f>
        <v>-</v>
      </c>
      <c r="Q240" s="262"/>
      <c r="R240" s="246" t="str">
        <f>IF(OR($L240="X",$L240=6,$L240=7),"-",IF(Q240="","-",IF(J240="M",VLOOKUP(Q240,T100Pts!BI$5:BN$44,(L240+1)),IF(J240="F",VLOOKUP(Q240,T100Pts!BU$5:BZ$44,(L240+1)),""))))</f>
        <v>-</v>
      </c>
      <c r="S240" s="261"/>
      <c r="T240" s="246" t="str">
        <f>IF($L240="X","-",IF(S240="","-",IF(J240="M",VLOOKUP(S240,T100Pts!A$5:I$1146,(L240+1)),IF(J240="F",VLOOKUP(S240,T100Pts!K$5:S$1147,(L240+1)),""))))</f>
        <v>-</v>
      </c>
      <c r="U240" s="247" t="str">
        <f t="shared" si="54"/>
        <v>-</v>
      </c>
      <c r="V240" s="247" t="str">
        <f t="shared" si="51"/>
        <v>-</v>
      </c>
      <c r="W240" s="261"/>
      <c r="X240" s="116" t="str">
        <f>IF($L240="X","-",IF(W240="","-",IF(J240="M",VLOOKUP(W240,T100Pts!U$5:AC$86,(L240+1)),IF(J240="F",VLOOKUP(W240,T100Pts!AE$5:AM$86,(L240+1)),""))))</f>
        <v>-</v>
      </c>
      <c r="Y240" s="263"/>
      <c r="Z240" s="116" t="str">
        <f>IF($L240="X","-",IF(Y240="","-",IF(J240="M",VLOOKUP(Y240,T100Pts!AO$5:AW$126,(L240+1)),IF(J240="F",VLOOKUP(Y240,T100Pts!AY$5:BG$126,(L240+1)),""))))</f>
        <v>-</v>
      </c>
      <c r="AA240" s="264"/>
      <c r="AB240" s="116" t="str">
        <f>IF(OR($L240="X",$L240=6,$L240=7),"-",IF(AA240="","-",IF(J240="M",VLOOKUP(AA240,T100Pts!BI$5:BN$44,(L240+1)),IF(J240="F",VLOOKUP(AA240,T100Pts!BU$5:BZ$44,(L240+1)),""))))</f>
        <v>-</v>
      </c>
      <c r="AC240" s="263"/>
      <c r="AD240" s="116" t="str">
        <f>IF($L240="X","-",IF(AC240="","-",IF(J240="M",VLOOKUP(AC240,T100Pts!A$5:I$1146,(L240+1)),IF(J240="F",VLOOKUP(AC240,T100Pts!K$5:S$1146,(L240+1)),""))))</f>
        <v>-</v>
      </c>
      <c r="AE240" s="117" t="str">
        <f t="shared" si="44"/>
        <v>-</v>
      </c>
      <c r="AF240" s="114" t="str">
        <f t="shared" si="45"/>
        <v>-</v>
      </c>
      <c r="AG240" s="115" t="e">
        <f t="shared" si="47"/>
        <v>#DIV/0!</v>
      </c>
      <c r="AH240" s="114" t="str">
        <f t="shared" si="46"/>
        <v>-</v>
      </c>
      <c r="AI240" s="265" t="s">
        <v>229</v>
      </c>
      <c r="AJ240" s="77" t="str">
        <f t="shared" si="55"/>
        <v/>
      </c>
    </row>
    <row r="242" spans="19:21" ht="16.5" customHeight="1" x14ac:dyDescent="0.2">
      <c r="S242" s="225"/>
      <c r="U242" s="67" t="s">
        <v>230</v>
      </c>
    </row>
  </sheetData>
  <sheetProtection formatRows="0"/>
  <dataConsolidate link="1"/>
  <mergeCells count="18">
    <mergeCell ref="A11:L11"/>
    <mergeCell ref="Q3:V3"/>
    <mergeCell ref="A7:AI7"/>
    <mergeCell ref="A8:AI8"/>
    <mergeCell ref="AG11:AG12"/>
    <mergeCell ref="AH11:AH12"/>
    <mergeCell ref="AI11:AI12"/>
    <mergeCell ref="W12:X12"/>
    <mergeCell ref="Y12:Z12"/>
    <mergeCell ref="AC12:AD12"/>
    <mergeCell ref="W11:AF11"/>
    <mergeCell ref="A9:W9"/>
    <mergeCell ref="AA12:AB12"/>
    <mergeCell ref="M12:N12"/>
    <mergeCell ref="O12:P12"/>
    <mergeCell ref="Q12:R12"/>
    <mergeCell ref="S12:T12"/>
    <mergeCell ref="M11:V11"/>
  </mergeCells>
  <phoneticPr fontId="0" type="noConversion"/>
  <conditionalFormatting sqref="I14:I240">
    <cfRule type="cellIs" dxfId="56" priority="695" stopIfTrue="1" operator="greaterThanOrEqual">
      <formula>30</formula>
    </cfRule>
    <cfRule type="cellIs" dxfId="55" priority="696" stopIfTrue="1" operator="greaterThan">
      <formula>29.9</formula>
    </cfRule>
    <cfRule type="cellIs" dxfId="54" priority="697" stopIfTrue="1" operator="greaterThan">
      <formula>29.9</formula>
    </cfRule>
  </conditionalFormatting>
  <conditionalFormatting sqref="L1:L1048576">
    <cfRule type="beginsWith" dxfId="53" priority="10" operator="beginsWith" text="x">
      <formula>LEFT(L1,LEN("x"))="x"</formula>
    </cfRule>
  </conditionalFormatting>
  <conditionalFormatting sqref="N14:N15">
    <cfRule type="cellIs" dxfId="52" priority="380" operator="lessThan">
      <formula>70</formula>
    </cfRule>
    <cfRule type="cellIs" dxfId="51" priority="381" operator="lessThan">
      <formula>70</formula>
    </cfRule>
    <cfRule type="cellIs" dxfId="50" priority="382" operator="lessThan">
      <formula>70</formula>
    </cfRule>
    <cfRule type="cellIs" dxfId="49" priority="383" operator="lessThan">
      <formula>70</formula>
    </cfRule>
    <cfRule type="cellIs" dxfId="48" priority="384" operator="lessThan">
      <formula>40</formula>
    </cfRule>
    <cfRule type="cellIs" dxfId="47" priority="385" operator="lessThan">
      <formula>40</formula>
    </cfRule>
  </conditionalFormatting>
  <conditionalFormatting sqref="Z229:Z230 Z175 AD175:AE175 Z185 N14:N240 P14:P240 R14:R240 T14:U240 X16:X240 AB14:AB240 AG14:AG240">
    <cfRule type="cellIs" dxfId="46" priority="673" operator="lessThan">
      <formula>70</formula>
    </cfRule>
  </conditionalFormatting>
  <conditionalFormatting sqref="N14:N240">
    <cfRule type="cellIs" dxfId="45" priority="379" operator="lessThan">
      <formula>70</formula>
    </cfRule>
    <cfRule type="cellIs" dxfId="44" priority="694" stopIfTrue="1" operator="lessThan">
      <formula>40</formula>
    </cfRule>
  </conditionalFormatting>
  <conditionalFormatting sqref="N16:N240 T14:U240 P14:P240 R14:R240 X16:X240 Z14:Z240 AB14:AB240 AD14:AE240 AG14:AG240">
    <cfRule type="cellIs" dxfId="43" priority="799" operator="lessThan">
      <formula>70</formula>
    </cfRule>
  </conditionalFormatting>
  <conditionalFormatting sqref="Z229:Z230 X229:X230 Z175 AD175 X175 Z185 X185 P14:P240 R14:R240 T14:T240 N16:N240 AB14:AB240">
    <cfRule type="cellIs" dxfId="42" priority="805" operator="lessThan">
      <formula>70</formula>
    </cfRule>
  </conditionalFormatting>
  <conditionalFormatting sqref="U14:U240 Z14:Z240 AB14:AB240 AD14:AE240 AG14:AG240">
    <cfRule type="cellIs" dxfId="41" priority="357" operator="lessThan">
      <formula>70</formula>
    </cfRule>
  </conditionalFormatting>
  <conditionalFormatting sqref="V1:V1048576">
    <cfRule type="cellIs" dxfId="40" priority="9" operator="equal">
      <formula>"-"</formula>
    </cfRule>
  </conditionalFormatting>
  <conditionalFormatting sqref="X14:X240">
    <cfRule type="cellIs" dxfId="39" priority="311" operator="lessThan">
      <formula>70</formula>
    </cfRule>
    <cfRule type="cellIs" dxfId="38" priority="313" operator="lessThan">
      <formula>70</formula>
    </cfRule>
    <cfRule type="cellIs" dxfId="37" priority="316" stopIfTrue="1" operator="lessThan">
      <formula>40</formula>
    </cfRule>
  </conditionalFormatting>
  <conditionalFormatting sqref="Z14:Z240 AD14:AD240">
    <cfRule type="cellIs" dxfId="36" priority="367" operator="lessThan">
      <formula>40</formula>
    </cfRule>
  </conditionalFormatting>
  <conditionalFormatting sqref="AE176:AE240 AE14:AE174">
    <cfRule type="cellIs" dxfId="35" priority="309" operator="lessThan">
      <formula>70</formula>
    </cfRule>
    <cfRule type="cellIs" dxfId="34" priority="310" operator="lessThan">
      <formula>70</formula>
    </cfRule>
  </conditionalFormatting>
  <conditionalFormatting sqref="X229:X230">
    <cfRule type="cellIs" dxfId="33" priority="5" operator="lessThan">
      <formula>70</formula>
    </cfRule>
    <cfRule type="cellIs" dxfId="32" priority="6" stopIfTrue="1" operator="lessThan">
      <formula>40</formula>
    </cfRule>
  </conditionalFormatting>
  <conditionalFormatting sqref="X175">
    <cfRule type="cellIs" dxfId="31" priority="3" operator="lessThan">
      <formula>70</formula>
    </cfRule>
    <cfRule type="cellIs" dxfId="30" priority="4" stopIfTrue="1" operator="lessThan">
      <formula>40</formula>
    </cfRule>
  </conditionalFormatting>
  <conditionalFormatting sqref="X185">
    <cfRule type="cellIs" dxfId="29" priority="1" operator="lessThan">
      <formula>70</formula>
    </cfRule>
    <cfRule type="cellIs" dxfId="28" priority="2" stopIfTrue="1" operator="lessThan">
      <formula>40</formula>
    </cfRule>
  </conditionalFormatting>
  <printOptions horizontalCentered="1"/>
  <pageMargins left="0.19685039370078741" right="0.19685039370078741" top="0.59055118110236227" bottom="0.39370078740157483" header="0.39370078740157483" footer="0.19685039370078741"/>
  <pageSetup paperSize="5" scale="37" fitToHeight="0" orientation="landscape" horizontalDpi="4294967293" r:id="rId1"/>
  <headerFooter alignWithMargins="0">
    <oddFooter>&amp;C&amp;P -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92D050"/>
  </sheetPr>
  <dimension ref="A1:AE86"/>
  <sheetViews>
    <sheetView topLeftCell="A44" zoomScale="37" zoomScaleNormal="37" workbookViewId="0">
      <selection activeCell="K4" sqref="K4"/>
    </sheetView>
  </sheetViews>
  <sheetFormatPr baseColWidth="10" defaultRowHeight="22.5" customHeight="1" x14ac:dyDescent="0.2"/>
  <cols>
    <col min="2" max="2" width="8" customWidth="1"/>
    <col min="3" max="3" width="8.7109375" customWidth="1"/>
    <col min="4" max="4" width="8" customWidth="1"/>
    <col min="5" max="5" width="3.7109375" customWidth="1"/>
    <col min="6" max="13" width="8.28515625" customWidth="1"/>
    <col min="14" max="14" width="12.42578125" customWidth="1"/>
    <col min="15" max="19" width="8.28515625" customWidth="1"/>
    <col min="20" max="20" width="8.42578125" customWidth="1"/>
    <col min="21" max="22" width="7.42578125" customWidth="1"/>
    <col min="23" max="23" width="9.7109375" customWidth="1"/>
    <col min="24" max="26" width="8.42578125" customWidth="1"/>
  </cols>
  <sheetData>
    <row r="1" spans="1:31" s="49" customFormat="1" ht="22.5" customHeight="1" x14ac:dyDescent="0.3">
      <c r="A1" s="64" t="s">
        <v>145</v>
      </c>
      <c r="B1" s="132"/>
      <c r="C1" s="132"/>
      <c r="D1" s="132"/>
      <c r="E1" s="132"/>
      <c r="F1" s="133"/>
      <c r="G1" s="132"/>
      <c r="H1" s="134"/>
      <c r="I1" s="132"/>
      <c r="J1" s="135"/>
      <c r="K1" s="133"/>
      <c r="L1" s="136"/>
      <c r="M1" s="136"/>
      <c r="N1" s="136"/>
      <c r="O1" s="132"/>
      <c r="P1" s="136"/>
      <c r="Q1" s="275"/>
      <c r="R1" s="275"/>
      <c r="S1" s="275"/>
      <c r="T1" s="275"/>
      <c r="U1" s="275"/>
      <c r="V1" s="275"/>
      <c r="W1" s="275"/>
      <c r="X1" s="275"/>
      <c r="Y1" s="48"/>
    </row>
    <row r="2" spans="1:31" s="49" customFormat="1" ht="22.5" customHeight="1" x14ac:dyDescent="0.3">
      <c r="A2" s="64" t="s">
        <v>200</v>
      </c>
      <c r="B2" s="136"/>
      <c r="C2" s="132"/>
      <c r="D2" s="132"/>
      <c r="E2" s="132"/>
      <c r="F2" s="135"/>
      <c r="G2" s="132"/>
      <c r="H2" s="134"/>
      <c r="I2" s="132"/>
      <c r="J2" s="135"/>
      <c r="K2" s="133"/>
      <c r="L2" s="136"/>
      <c r="M2" s="135"/>
      <c r="N2" s="136"/>
      <c r="O2" s="132"/>
      <c r="P2" s="132"/>
      <c r="Q2" s="136"/>
      <c r="R2" s="136"/>
      <c r="S2" s="136"/>
      <c r="T2" s="62"/>
      <c r="U2" s="136"/>
      <c r="V2" s="132"/>
      <c r="W2" s="136"/>
      <c r="X2" s="136"/>
      <c r="Y2" s="48" t="s">
        <v>199</v>
      </c>
    </row>
    <row r="3" spans="1:31" s="49" customFormat="1" ht="22.5" customHeight="1" x14ac:dyDescent="0.3">
      <c r="A3" s="64"/>
      <c r="B3" s="50"/>
      <c r="C3" s="50"/>
      <c r="D3" s="50"/>
      <c r="E3" s="46"/>
      <c r="F3" s="47"/>
      <c r="G3" s="48"/>
      <c r="O3" s="46"/>
      <c r="S3" s="39"/>
      <c r="T3" s="46"/>
      <c r="U3" s="62"/>
      <c r="Y3" s="48"/>
    </row>
    <row r="4" spans="1:31" s="6" customFormat="1" ht="22.5" customHeight="1" x14ac:dyDescent="0.25">
      <c r="A4" s="38"/>
      <c r="B4" s="37"/>
      <c r="C4" s="37"/>
      <c r="D4" s="37"/>
      <c r="E4" s="9"/>
      <c r="F4" s="7"/>
      <c r="G4" s="36"/>
      <c r="I4" s="7"/>
      <c r="K4" s="9"/>
      <c r="O4" s="9"/>
      <c r="S4" s="39"/>
      <c r="T4" s="9"/>
      <c r="Y4" s="36"/>
    </row>
    <row r="5" spans="1:31" s="34" customFormat="1" ht="28.5" customHeight="1" x14ac:dyDescent="0.2">
      <c r="A5" s="300" t="s">
        <v>181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</row>
    <row r="6" spans="1:31" s="34" customFormat="1" ht="28.5" customHeight="1" x14ac:dyDescent="0.2">
      <c r="A6" s="300"/>
      <c r="B6" s="300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</row>
    <row r="7" spans="1:31" s="34" customFormat="1" ht="28.5" customHeight="1" x14ac:dyDescent="0.2">
      <c r="A7" s="300" t="s">
        <v>180</v>
      </c>
      <c r="B7" s="300"/>
      <c r="C7" s="300"/>
      <c r="D7" s="300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</row>
    <row r="8" spans="1:31" s="34" customFormat="1" ht="28.5" customHeight="1" x14ac:dyDescent="0.2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</row>
    <row r="9" spans="1:31" s="61" customFormat="1" ht="22.5" customHeight="1" x14ac:dyDescent="0.2">
      <c r="A9" s="61" t="s">
        <v>116</v>
      </c>
    </row>
    <row r="10" spans="1:31" s="61" customFormat="1" ht="22.5" customHeight="1" x14ac:dyDescent="0.2">
      <c r="A10" s="287" t="s">
        <v>110</v>
      </c>
      <c r="B10" s="287"/>
      <c r="C10" s="287" t="s">
        <v>96</v>
      </c>
      <c r="D10" s="287"/>
      <c r="E10" s="287"/>
      <c r="F10" s="287" t="s">
        <v>97</v>
      </c>
      <c r="G10" s="287"/>
      <c r="H10" s="287"/>
      <c r="I10" s="287" t="s">
        <v>98</v>
      </c>
      <c r="J10" s="287"/>
      <c r="K10" s="287"/>
      <c r="L10" s="287" t="s">
        <v>99</v>
      </c>
      <c r="M10" s="287"/>
      <c r="N10" s="287"/>
      <c r="O10" s="287" t="s">
        <v>100</v>
      </c>
      <c r="P10" s="287"/>
      <c r="Q10" s="287"/>
      <c r="R10" s="287" t="s">
        <v>101</v>
      </c>
      <c r="S10" s="287"/>
      <c r="T10" s="287"/>
      <c r="U10" s="287" t="s">
        <v>102</v>
      </c>
      <c r="V10" s="287"/>
      <c r="W10" s="287"/>
    </row>
    <row r="11" spans="1:31" s="61" customFormat="1" ht="22.5" customHeight="1" x14ac:dyDescent="0.2">
      <c r="A11" s="287"/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</row>
    <row r="12" spans="1:31" s="61" customFormat="1" ht="22.5" customHeight="1" x14ac:dyDescent="0.2">
      <c r="A12" s="288" t="s">
        <v>114</v>
      </c>
      <c r="B12" s="289"/>
      <c r="C12" s="285" t="s">
        <v>103</v>
      </c>
      <c r="D12" s="285"/>
      <c r="E12" s="285"/>
      <c r="F12" s="286">
        <f>COUNTIFS('APENDICE 4 REGISTRO DE RESULTAD'!$AJ$14:$AJ$1001,"Oficial",'APENDICE 4 REGISTRO DE RESULTAD'!$J$14:$J$1001,"M")</f>
        <v>0</v>
      </c>
      <c r="G12" s="286"/>
      <c r="H12" s="286"/>
      <c r="I12" s="286">
        <f t="shared" ref="I12:I17" si="0">F12-L12</f>
        <v>0</v>
      </c>
      <c r="J12" s="286"/>
      <c r="K12" s="286"/>
      <c r="L12" s="286">
        <f>COUNTIFS('APENDICE 4 REGISTRO DE RESULTAD'!$AJ$14:$AJ$1001,"Oficial",'APENDICE 4 REGISTRO DE RESULTAD'!$J$14:$J$1001,"M",'APENDICE 4 REGISTRO DE RESULTAD'!$N$14:$N$1001,"-")</f>
        <v>0</v>
      </c>
      <c r="M12" s="286"/>
      <c r="N12" s="286"/>
      <c r="O12" s="286">
        <f>COUNTIFS('APENDICE 4 REGISTRO DE RESULTAD'!$AJ$14:$AJ$1001,"Oficial",'APENDICE 4 REGISTRO DE RESULTAD'!$J$14:$J$1001,"M",'APENDICE 4 REGISTRO DE RESULTAD'!$N$14:$N$1001,"&gt;=70")+COUNTIFS('APENDICE 4 REGISTRO DE RESULTAD'!$AJ$14:$AJ$1001,"Oficial",'APENDICE 4 REGISTRO DE RESULTAD'!$J$14:$J$1001,"M",'APENDICE 4 REGISTRO DE RESULTAD'!$N$14:$N$1001,"A")</f>
        <v>0</v>
      </c>
      <c r="P12" s="286"/>
      <c r="Q12" s="286"/>
      <c r="R12" s="294">
        <f t="shared" ref="R12:R17" si="1">I12-O12</f>
        <v>0</v>
      </c>
      <c r="S12" s="295"/>
      <c r="T12" s="296"/>
      <c r="U12" s="286"/>
      <c r="V12" s="286"/>
      <c r="W12" s="286"/>
    </row>
    <row r="13" spans="1:31" s="61" customFormat="1" ht="22.5" customHeight="1" x14ac:dyDescent="0.2">
      <c r="A13" s="290"/>
      <c r="B13" s="291"/>
      <c r="C13" s="285" t="s">
        <v>104</v>
      </c>
      <c r="D13" s="285"/>
      <c r="E13" s="285"/>
      <c r="F13" s="294">
        <f>COUNTIFS('APENDICE 4 REGISTRO DE RESULTAD'!$AJ$14:$AJ$1001,"Oficial",'APENDICE 4 REGISTRO DE RESULTAD'!$J$14:$J$1001,"F")</f>
        <v>0</v>
      </c>
      <c r="G13" s="295"/>
      <c r="H13" s="296"/>
      <c r="I13" s="294">
        <f t="shared" si="0"/>
        <v>0</v>
      </c>
      <c r="J13" s="295"/>
      <c r="K13" s="296"/>
      <c r="L13" s="294">
        <f>COUNTIFS('APENDICE 4 REGISTRO DE RESULTAD'!$AJ$14:$AJ$1001,"Oficial",'APENDICE 4 REGISTRO DE RESULTAD'!$J$14:$J$1001,"F",'APENDICE 4 REGISTRO DE RESULTAD'!$N$14:$N$1001,"-")</f>
        <v>0</v>
      </c>
      <c r="M13" s="295"/>
      <c r="N13" s="296"/>
      <c r="O13" s="294">
        <f>COUNTIFS('APENDICE 4 REGISTRO DE RESULTAD'!$AJ$14:$AJ$1001,"Oficial",'APENDICE 4 REGISTRO DE RESULTAD'!$J$14:$J$1001,"F",'APENDICE 4 REGISTRO DE RESULTAD'!$N$14:$N$1001,"&gt;=70")+COUNTIFS('APENDICE 4 REGISTRO DE RESULTAD'!$AJ$14:$AJ$1001,"Oficial",'APENDICE 4 REGISTRO DE RESULTAD'!$J$14:$J$1001,"F",'APENDICE 4 REGISTRO DE RESULTAD'!$N$14:$N$1001,"A")</f>
        <v>0</v>
      </c>
      <c r="P13" s="295"/>
      <c r="Q13" s="296"/>
      <c r="R13" s="294">
        <f t="shared" si="1"/>
        <v>0</v>
      </c>
      <c r="S13" s="295"/>
      <c r="T13" s="296"/>
      <c r="U13" s="286"/>
      <c r="V13" s="286"/>
      <c r="W13" s="286"/>
    </row>
    <row r="14" spans="1:31" s="61" customFormat="1" ht="22.5" customHeight="1" x14ac:dyDescent="0.2">
      <c r="A14" s="290"/>
      <c r="B14" s="291"/>
      <c r="C14" s="285" t="s">
        <v>105</v>
      </c>
      <c r="D14" s="285"/>
      <c r="E14" s="285"/>
      <c r="F14" s="294">
        <f>COUNTIFS('APENDICE 4 REGISTRO DE RESULTAD'!$AJ$14:$AJ$1001,"Subof",'APENDICE 4 REGISTRO DE RESULTAD'!$J$14:$J$1001,"M")</f>
        <v>0</v>
      </c>
      <c r="G14" s="295"/>
      <c r="H14" s="296"/>
      <c r="I14" s="286">
        <f t="shared" si="0"/>
        <v>0</v>
      </c>
      <c r="J14" s="286"/>
      <c r="K14" s="286"/>
      <c r="L14" s="286">
        <f>COUNTIFS('APENDICE 4 REGISTRO DE RESULTAD'!$AJ$14:$AJ$1001,"Subof",'APENDICE 4 REGISTRO DE RESULTAD'!$J$14:$J$1001,"M",'APENDICE 4 REGISTRO DE RESULTAD'!$N$14:$N$1001,"-")</f>
        <v>0</v>
      </c>
      <c r="M14" s="286"/>
      <c r="N14" s="286"/>
      <c r="O14" s="294">
        <f>COUNTIFS('APENDICE 4 REGISTRO DE RESULTAD'!$AJ$14:$AJ$1001,"Subof",'APENDICE 4 REGISTRO DE RESULTAD'!$J$14:$J$1001,"M",'APENDICE 4 REGISTRO DE RESULTAD'!$N$14:$N$1001,"&gt;=70")+COUNTIFS('APENDICE 4 REGISTRO DE RESULTAD'!$AJ$14:$AJ$1001,"Subof",'APENDICE 4 REGISTRO DE RESULTAD'!$J$14:$J$1001,"M",'APENDICE 4 REGISTRO DE RESULTAD'!$N$14:$N$1001,"A")</f>
        <v>0</v>
      </c>
      <c r="P14" s="295"/>
      <c r="Q14" s="296"/>
      <c r="R14" s="294">
        <f t="shared" si="1"/>
        <v>0</v>
      </c>
      <c r="S14" s="295"/>
      <c r="T14" s="296"/>
      <c r="U14" s="286"/>
      <c r="V14" s="286"/>
      <c r="W14" s="286"/>
    </row>
    <row r="15" spans="1:31" s="61" customFormat="1" ht="22.5" customHeight="1" x14ac:dyDescent="0.2">
      <c r="A15" s="290"/>
      <c r="B15" s="291"/>
      <c r="C15" s="285" t="s">
        <v>106</v>
      </c>
      <c r="D15" s="285"/>
      <c r="E15" s="285"/>
      <c r="F15" s="294">
        <f>COUNTIFS('APENDICE 4 REGISTRO DE RESULTAD'!$AJ$14:$AJ$1001,"Subof",'APENDICE 4 REGISTRO DE RESULTAD'!$J$14:$J$1001,"F")</f>
        <v>0</v>
      </c>
      <c r="G15" s="295"/>
      <c r="H15" s="296"/>
      <c r="I15" s="286">
        <f t="shared" si="0"/>
        <v>0</v>
      </c>
      <c r="J15" s="286"/>
      <c r="K15" s="286"/>
      <c r="L15" s="286">
        <f>COUNTIFS('APENDICE 4 REGISTRO DE RESULTAD'!$AJ$14:$AJ$1001,"Subof",'APENDICE 4 REGISTRO DE RESULTAD'!$J$14:$J$1001,"F",'APENDICE 4 REGISTRO DE RESULTAD'!$N$14:$N$1001,"-")</f>
        <v>0</v>
      </c>
      <c r="M15" s="286"/>
      <c r="N15" s="286"/>
      <c r="O15" s="294">
        <f>COUNTIFS('APENDICE 4 REGISTRO DE RESULTAD'!$AJ$14:$AJ$1001,"Subof",'APENDICE 4 REGISTRO DE RESULTAD'!$J$14:$J$1001,"F",'APENDICE 4 REGISTRO DE RESULTAD'!$N$14:$N$1001,"&gt;=70")+COUNTIFS('APENDICE 4 REGISTRO DE RESULTAD'!$AJ$14:$AJ$1001,"Subof",'APENDICE 4 REGISTRO DE RESULTAD'!$J$14:$J$1001,"F",'APENDICE 4 REGISTRO DE RESULTAD'!$N$14:$N$1001,"A")</f>
        <v>0</v>
      </c>
      <c r="P15" s="295"/>
      <c r="Q15" s="296"/>
      <c r="R15" s="294">
        <f t="shared" si="1"/>
        <v>0</v>
      </c>
      <c r="S15" s="295"/>
      <c r="T15" s="296"/>
      <c r="U15" s="286"/>
      <c r="V15" s="286"/>
      <c r="W15" s="286"/>
    </row>
    <row r="16" spans="1:31" s="61" customFormat="1" ht="22.5" customHeight="1" x14ac:dyDescent="0.2">
      <c r="A16" s="290"/>
      <c r="B16" s="291"/>
      <c r="C16" s="285" t="s">
        <v>107</v>
      </c>
      <c r="D16" s="285"/>
      <c r="E16" s="285"/>
      <c r="F16" s="294">
        <f>COUNTIFS('APENDICE 4 REGISTRO DE RESULTAD'!$AJ$14:$AJ$1001,"Vol",'APENDICE 4 REGISTRO DE RESULTAD'!$J$14:$J$1001,"M")</f>
        <v>0</v>
      </c>
      <c r="G16" s="295"/>
      <c r="H16" s="296"/>
      <c r="I16" s="286">
        <f t="shared" si="0"/>
        <v>0</v>
      </c>
      <c r="J16" s="286"/>
      <c r="K16" s="286"/>
      <c r="L16" s="286">
        <f>COUNTIFS('APENDICE 4 REGISTRO DE RESULTAD'!$AJ$14:$AJ$1001,"Vol",'APENDICE 4 REGISTRO DE RESULTAD'!$J$14:$J$1001,"M",'APENDICE 4 REGISTRO DE RESULTAD'!$N$14:$N$1001,"-")</f>
        <v>0</v>
      </c>
      <c r="M16" s="286"/>
      <c r="N16" s="286"/>
      <c r="O16" s="294">
        <f>COUNTIFS('APENDICE 4 REGISTRO DE RESULTAD'!$AJ$14:$AJ$1001,"Vol",'APENDICE 4 REGISTRO DE RESULTAD'!$J$14:$J$1001,"M",'APENDICE 4 REGISTRO DE RESULTAD'!$N$14:$N$1001,"&gt;=70")+COUNTIFS('APENDICE 4 REGISTRO DE RESULTAD'!$AJ$14:$AJ$1001,"Vol",'APENDICE 4 REGISTRO DE RESULTAD'!$J$14:$J$1001,"M",'APENDICE 4 REGISTRO DE RESULTAD'!$N$14:$N$1001,"A")</f>
        <v>0</v>
      </c>
      <c r="P16" s="295"/>
      <c r="Q16" s="296"/>
      <c r="R16" s="294">
        <f t="shared" si="1"/>
        <v>0</v>
      </c>
      <c r="S16" s="295"/>
      <c r="T16" s="296"/>
      <c r="U16" s="286"/>
      <c r="V16" s="286"/>
      <c r="W16" s="286"/>
    </row>
    <row r="17" spans="1:23" s="61" customFormat="1" ht="22.5" customHeight="1" x14ac:dyDescent="0.2">
      <c r="A17" s="292"/>
      <c r="B17" s="293"/>
      <c r="C17" s="285" t="s">
        <v>108</v>
      </c>
      <c r="D17" s="285"/>
      <c r="E17" s="285"/>
      <c r="F17" s="294">
        <f>COUNTIFS('APENDICE 4 REGISTRO DE RESULTAD'!$AJ$14:$AJ$1001,"Vol",'APENDICE 4 REGISTRO DE RESULTAD'!$J$14:$J$1001,"F")</f>
        <v>0</v>
      </c>
      <c r="G17" s="295"/>
      <c r="H17" s="296"/>
      <c r="I17" s="286">
        <f t="shared" si="0"/>
        <v>0</v>
      </c>
      <c r="J17" s="286"/>
      <c r="K17" s="286"/>
      <c r="L17" s="286">
        <f>COUNTIFS('APENDICE 4 REGISTRO DE RESULTAD'!$AJ$14:$AJ$1001,"Vol",'APENDICE 4 REGISTRO DE RESULTAD'!$J$14:$J$1001,"F",'APENDICE 4 REGISTRO DE RESULTAD'!$N$14:$N$1001,"-")</f>
        <v>0</v>
      </c>
      <c r="M17" s="286"/>
      <c r="N17" s="286"/>
      <c r="O17" s="294">
        <f>COUNTIFS('APENDICE 4 REGISTRO DE RESULTAD'!$AJ$14:$AJ$1001,"Vol",'APENDICE 4 REGISTRO DE RESULTAD'!$J$14:$J$1001,"F",'APENDICE 4 REGISTRO DE RESULTAD'!$N$14:$N$1001,"&gt;=70")+COUNTIFS('APENDICE 4 REGISTRO DE RESULTAD'!$AJ$14:$AJ$1001,"Vol",'APENDICE 4 REGISTRO DE RESULTAD'!$J$14:$J$1001,"F",'APENDICE 4 REGISTRO DE RESULTAD'!$N$14:$N$1001,"A")</f>
        <v>0</v>
      </c>
      <c r="P17" s="295"/>
      <c r="Q17" s="296"/>
      <c r="R17" s="294">
        <f t="shared" si="1"/>
        <v>0</v>
      </c>
      <c r="S17" s="295"/>
      <c r="T17" s="296"/>
      <c r="U17" s="286"/>
      <c r="V17" s="286"/>
      <c r="W17" s="286"/>
    </row>
    <row r="18" spans="1:23" s="61" customFormat="1" ht="22.5" customHeight="1" x14ac:dyDescent="0.2">
      <c r="A18" s="287" t="s">
        <v>109</v>
      </c>
      <c r="B18" s="287"/>
      <c r="C18" s="287"/>
      <c r="D18" s="287"/>
      <c r="E18" s="287"/>
      <c r="F18" s="297">
        <f>SUM(F12:H17)</f>
        <v>0</v>
      </c>
      <c r="G18" s="298"/>
      <c r="H18" s="299"/>
      <c r="I18" s="287">
        <f>SUM(I12:K17)</f>
        <v>0</v>
      </c>
      <c r="J18" s="287"/>
      <c r="K18" s="287"/>
      <c r="L18" s="287">
        <f>SUM(L12:N17)</f>
        <v>0</v>
      </c>
      <c r="M18" s="287"/>
      <c r="N18" s="287"/>
      <c r="O18" s="297">
        <f>SUM(O12:Q17)</f>
        <v>0</v>
      </c>
      <c r="P18" s="298"/>
      <c r="Q18" s="299"/>
      <c r="R18" s="287">
        <f>SUM(R12:T17)</f>
        <v>0</v>
      </c>
      <c r="S18" s="287"/>
      <c r="T18" s="287"/>
      <c r="U18" s="287"/>
      <c r="V18" s="287"/>
      <c r="W18" s="287"/>
    </row>
    <row r="19" spans="1:23" s="65" customFormat="1" ht="22.5" customHeight="1" x14ac:dyDescent="0.2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 spans="1:23" s="61" customFormat="1" ht="22.5" customHeight="1" x14ac:dyDescent="0.2"/>
    <row r="21" spans="1:23" s="61" customFormat="1" ht="22.5" customHeight="1" x14ac:dyDescent="0.2">
      <c r="A21" s="287" t="s">
        <v>110</v>
      </c>
      <c r="B21" s="287"/>
      <c r="C21" s="287" t="s">
        <v>96</v>
      </c>
      <c r="D21" s="287"/>
      <c r="E21" s="287"/>
      <c r="F21" s="287" t="s">
        <v>97</v>
      </c>
      <c r="G21" s="287"/>
      <c r="H21" s="287"/>
      <c r="I21" s="287" t="s">
        <v>98</v>
      </c>
      <c r="J21" s="287"/>
      <c r="K21" s="287"/>
      <c r="L21" s="287" t="s">
        <v>99</v>
      </c>
      <c r="M21" s="287"/>
      <c r="N21" s="287"/>
      <c r="O21" s="287" t="s">
        <v>100</v>
      </c>
      <c r="P21" s="287"/>
      <c r="Q21" s="287"/>
      <c r="R21" s="287" t="s">
        <v>101</v>
      </c>
      <c r="S21" s="287"/>
      <c r="T21" s="287"/>
      <c r="U21" s="287" t="s">
        <v>102</v>
      </c>
      <c r="V21" s="287"/>
      <c r="W21" s="287"/>
    </row>
    <row r="22" spans="1:23" s="61" customFormat="1" ht="22.5" customHeight="1" x14ac:dyDescent="0.2">
      <c r="A22" s="287"/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</row>
    <row r="23" spans="1:23" s="61" customFormat="1" ht="22.5" customHeight="1" x14ac:dyDescent="0.2">
      <c r="A23" s="288" t="s">
        <v>117</v>
      </c>
      <c r="B23" s="289"/>
      <c r="C23" s="285" t="s">
        <v>103</v>
      </c>
      <c r="D23" s="285"/>
      <c r="E23" s="285"/>
      <c r="F23" s="286">
        <f>COUNTIFS('APENDICE 4 REGISTRO DE RESULTAD'!$AJ$14:$AJ$1001,"Oficial",'APENDICE 4 REGISTRO DE RESULTAD'!$J$14:$J$1001,"M")</f>
        <v>0</v>
      </c>
      <c r="G23" s="286"/>
      <c r="H23" s="286"/>
      <c r="I23" s="286">
        <f t="shared" ref="I23:I28" si="2">F23-L23</f>
        <v>0</v>
      </c>
      <c r="J23" s="286"/>
      <c r="K23" s="286"/>
      <c r="L23" s="286">
        <f>COUNTIFS('APENDICE 4 REGISTRO DE RESULTAD'!$AJ$14:$AJ$1001,"Oficial",'APENDICE 4 REGISTRO DE RESULTAD'!$J$14:$J$1001,"M",'APENDICE 4 REGISTRO DE RESULTAD'!$P$14:$P$1001,"-")</f>
        <v>0</v>
      </c>
      <c r="M23" s="286"/>
      <c r="N23" s="286"/>
      <c r="O23" s="286">
        <f>COUNTIFS('APENDICE 4 REGISTRO DE RESULTAD'!$AJ$14:$AJ$1001,"Oficial",'APENDICE 4 REGISTRO DE RESULTAD'!$J$14:$J$1001,"M",'APENDICE 4 REGISTRO DE RESULTAD'!$P$14:$P$1001,"&gt;=70")+COUNTIFS('APENDICE 4 REGISTRO DE RESULTAD'!$AJ$14:$AJ$1001,"Oficial",'APENDICE 4 REGISTRO DE RESULTAD'!$J$14:$J$1001,"M",'APENDICE 4 REGISTRO DE RESULTAD'!$P$14:$P$1001,"A")</f>
        <v>0</v>
      </c>
      <c r="P23" s="286"/>
      <c r="Q23" s="286"/>
      <c r="R23" s="286">
        <f t="shared" ref="R23:R28" si="3">I23-O23</f>
        <v>0</v>
      </c>
      <c r="S23" s="286"/>
      <c r="T23" s="286"/>
      <c r="U23" s="286"/>
      <c r="V23" s="286"/>
      <c r="W23" s="286"/>
    </row>
    <row r="24" spans="1:23" s="61" customFormat="1" ht="22.5" customHeight="1" x14ac:dyDescent="0.2">
      <c r="A24" s="290"/>
      <c r="B24" s="291"/>
      <c r="C24" s="285" t="s">
        <v>104</v>
      </c>
      <c r="D24" s="285"/>
      <c r="E24" s="285"/>
      <c r="F24" s="286">
        <f>COUNTIFS('APENDICE 4 REGISTRO DE RESULTAD'!$AJ$14:$AJ$1001,"Oficial",'APENDICE 4 REGISTRO DE RESULTAD'!$J$14:$J$1001,"F")</f>
        <v>0</v>
      </c>
      <c r="G24" s="286"/>
      <c r="H24" s="286"/>
      <c r="I24" s="286">
        <f t="shared" si="2"/>
        <v>0</v>
      </c>
      <c r="J24" s="286"/>
      <c r="K24" s="286"/>
      <c r="L24" s="286">
        <f>COUNTIFS('APENDICE 4 REGISTRO DE RESULTAD'!$AJ$14:$AJ$1001,"Oficial",'APENDICE 4 REGISTRO DE RESULTAD'!$J$14:$J$1001,"F",'APENDICE 4 REGISTRO DE RESULTAD'!$P$14:$P$1001,"-")</f>
        <v>0</v>
      </c>
      <c r="M24" s="286"/>
      <c r="N24" s="286"/>
      <c r="O24" s="286">
        <f>COUNTIFS('APENDICE 4 REGISTRO DE RESULTAD'!$AJ$14:$AJ$1001,"Oficial",'APENDICE 4 REGISTRO DE RESULTAD'!$J$14:$J$1001,"F",'APENDICE 4 REGISTRO DE RESULTAD'!$P$14:$P$1001,"&gt;=70")+COUNTIFS('APENDICE 4 REGISTRO DE RESULTAD'!$AJ$14:$AJ$1001,"Oficial",'APENDICE 4 REGISTRO DE RESULTAD'!$J$14:$J$1001,"F",'APENDICE 4 REGISTRO DE RESULTAD'!$P$14:$P$1001,"A")</f>
        <v>0</v>
      </c>
      <c r="P24" s="286"/>
      <c r="Q24" s="286"/>
      <c r="R24" s="286">
        <f t="shared" si="3"/>
        <v>0</v>
      </c>
      <c r="S24" s="286"/>
      <c r="T24" s="286"/>
      <c r="U24" s="286"/>
      <c r="V24" s="286"/>
      <c r="W24" s="286"/>
    </row>
    <row r="25" spans="1:23" s="61" customFormat="1" ht="22.5" customHeight="1" x14ac:dyDescent="0.2">
      <c r="A25" s="290" t="s">
        <v>112</v>
      </c>
      <c r="B25" s="291"/>
      <c r="C25" s="285" t="s">
        <v>105</v>
      </c>
      <c r="D25" s="285"/>
      <c r="E25" s="285"/>
      <c r="F25" s="286">
        <f>COUNTIFS('APENDICE 4 REGISTRO DE RESULTAD'!$AJ$14:$AJ$1001,"Subof",'APENDICE 4 REGISTRO DE RESULTAD'!$J$14:$J$1001,"M")</f>
        <v>0</v>
      </c>
      <c r="G25" s="286"/>
      <c r="H25" s="286"/>
      <c r="I25" s="286">
        <f t="shared" si="2"/>
        <v>0</v>
      </c>
      <c r="J25" s="286"/>
      <c r="K25" s="286"/>
      <c r="L25" s="286">
        <f>COUNTIFS('APENDICE 4 REGISTRO DE RESULTAD'!$AJ$14:$AJ$1001,"Subof",'APENDICE 4 REGISTRO DE RESULTAD'!$J$14:$J$1001,"M",'APENDICE 4 REGISTRO DE RESULTAD'!$P$14:$P$1001,"-")</f>
        <v>0</v>
      </c>
      <c r="M25" s="286"/>
      <c r="N25" s="286"/>
      <c r="O25" s="286">
        <f>COUNTIFS('APENDICE 4 REGISTRO DE RESULTAD'!$AJ$14:$AJ$1001,"Subof",'APENDICE 4 REGISTRO DE RESULTAD'!$J$14:$J$1001,"M",'APENDICE 4 REGISTRO DE RESULTAD'!$P$14:$P$1001,"&gt;=70")+COUNTIFS('APENDICE 4 REGISTRO DE RESULTAD'!$AJ$14:$AJ$1001,"Subof",'APENDICE 4 REGISTRO DE RESULTAD'!$J$14:$J$1001,"M",'APENDICE 4 REGISTRO DE RESULTAD'!$P$14:$P$1001,"A")</f>
        <v>0</v>
      </c>
      <c r="P25" s="286"/>
      <c r="Q25" s="286"/>
      <c r="R25" s="286">
        <f t="shared" si="3"/>
        <v>0</v>
      </c>
      <c r="S25" s="286"/>
      <c r="T25" s="286"/>
      <c r="U25" s="286"/>
      <c r="V25" s="286"/>
      <c r="W25" s="286"/>
    </row>
    <row r="26" spans="1:23" s="61" customFormat="1" ht="22.5" customHeight="1" x14ac:dyDescent="0.2">
      <c r="A26" s="290"/>
      <c r="B26" s="291"/>
      <c r="C26" s="285" t="s">
        <v>106</v>
      </c>
      <c r="D26" s="285"/>
      <c r="E26" s="285"/>
      <c r="F26" s="286">
        <f>COUNTIFS('APENDICE 4 REGISTRO DE RESULTAD'!$AJ$14:$AJ$1001,"Subof",'APENDICE 4 REGISTRO DE RESULTAD'!$J$14:$J$1001,"F")</f>
        <v>0</v>
      </c>
      <c r="G26" s="286"/>
      <c r="H26" s="286"/>
      <c r="I26" s="286">
        <f t="shared" si="2"/>
        <v>0</v>
      </c>
      <c r="J26" s="286"/>
      <c r="K26" s="286"/>
      <c r="L26" s="286">
        <f>COUNTIFS('APENDICE 4 REGISTRO DE RESULTAD'!$AJ$14:$AJ$1001,"Subof",'APENDICE 4 REGISTRO DE RESULTAD'!$J$14:$J$1001,"F",'APENDICE 4 REGISTRO DE RESULTAD'!$P$14:$P$1001,"-")</f>
        <v>0</v>
      </c>
      <c r="M26" s="286"/>
      <c r="N26" s="286"/>
      <c r="O26" s="286">
        <f>COUNTIFS('APENDICE 4 REGISTRO DE RESULTAD'!$AJ$14:$AJ$1001,"Subof",'APENDICE 4 REGISTRO DE RESULTAD'!$J$14:$J$1001,"F",'APENDICE 4 REGISTRO DE RESULTAD'!$P$14:$P$1001,"&gt;=70")+COUNTIFS('APENDICE 4 REGISTRO DE RESULTAD'!$AJ$14:$AJ$1001,"Subof",'APENDICE 4 REGISTRO DE RESULTAD'!$J$14:$J$1001,"F",'APENDICE 4 REGISTRO DE RESULTAD'!$P$14:$P$1001,"A")</f>
        <v>0</v>
      </c>
      <c r="P26" s="286"/>
      <c r="Q26" s="286"/>
      <c r="R26" s="286">
        <f t="shared" si="3"/>
        <v>0</v>
      </c>
      <c r="S26" s="286"/>
      <c r="T26" s="286"/>
      <c r="U26" s="286"/>
      <c r="V26" s="286"/>
      <c r="W26" s="286"/>
    </row>
    <row r="27" spans="1:23" s="61" customFormat="1" ht="22.5" customHeight="1" x14ac:dyDescent="0.2">
      <c r="A27" s="290"/>
      <c r="B27" s="291"/>
      <c r="C27" s="285" t="s">
        <v>107</v>
      </c>
      <c r="D27" s="285"/>
      <c r="E27" s="285"/>
      <c r="F27" s="286">
        <f>COUNTIFS('APENDICE 4 REGISTRO DE RESULTAD'!$AJ$14:$AJ$1001,"Vol",'APENDICE 4 REGISTRO DE RESULTAD'!$J$14:$J$1001,"M")</f>
        <v>0</v>
      </c>
      <c r="G27" s="286"/>
      <c r="H27" s="286"/>
      <c r="I27" s="286">
        <f t="shared" si="2"/>
        <v>0</v>
      </c>
      <c r="J27" s="286"/>
      <c r="K27" s="286"/>
      <c r="L27" s="286">
        <f>COUNTIFS('APENDICE 4 REGISTRO DE RESULTAD'!$AJ$14:$AJ$1001,"Vol",'APENDICE 4 REGISTRO DE RESULTAD'!$J$14:$J$1001,"M",'APENDICE 4 REGISTRO DE RESULTAD'!$P$14:$P$1001,"-")</f>
        <v>0</v>
      </c>
      <c r="M27" s="286"/>
      <c r="N27" s="286"/>
      <c r="O27" s="286">
        <f>COUNTIFS('APENDICE 4 REGISTRO DE RESULTAD'!$AJ$14:$AJ$1001,"Vol",'APENDICE 4 REGISTRO DE RESULTAD'!$J$14:$J$1001,"M",'APENDICE 4 REGISTRO DE RESULTAD'!$P$14:$P$1001,"&gt;=70")+COUNTIFS('APENDICE 4 REGISTRO DE RESULTAD'!$AJ$14:$AJ$1001,"Vol",'APENDICE 4 REGISTRO DE RESULTAD'!$J$14:$J$1001,"M",'APENDICE 4 REGISTRO DE RESULTAD'!$P$14:$P$1001,"A")</f>
        <v>0</v>
      </c>
      <c r="P27" s="286"/>
      <c r="Q27" s="286"/>
      <c r="R27" s="286">
        <f t="shared" si="3"/>
        <v>0</v>
      </c>
      <c r="S27" s="286"/>
      <c r="T27" s="286"/>
      <c r="U27" s="286"/>
      <c r="V27" s="286"/>
      <c r="W27" s="286"/>
    </row>
    <row r="28" spans="1:23" s="61" customFormat="1" ht="22.5" customHeight="1" x14ac:dyDescent="0.2">
      <c r="A28" s="292"/>
      <c r="B28" s="293"/>
      <c r="C28" s="285" t="s">
        <v>108</v>
      </c>
      <c r="D28" s="285"/>
      <c r="E28" s="285"/>
      <c r="F28" s="286">
        <f>COUNTIFS('APENDICE 4 REGISTRO DE RESULTAD'!$AJ$14:$AJ$1001,"Vol",'APENDICE 4 REGISTRO DE RESULTAD'!$J$14:$J$1001,"F")</f>
        <v>0</v>
      </c>
      <c r="G28" s="286"/>
      <c r="H28" s="286"/>
      <c r="I28" s="286">
        <f t="shared" si="2"/>
        <v>0</v>
      </c>
      <c r="J28" s="286"/>
      <c r="K28" s="286"/>
      <c r="L28" s="286">
        <f>COUNTIFS('APENDICE 4 REGISTRO DE RESULTAD'!$AJ$14:$AJ$1001,"Vol",'APENDICE 4 REGISTRO DE RESULTAD'!$J$14:$J$1001,"F",'APENDICE 4 REGISTRO DE RESULTAD'!$P$14:$P$1001,"-")</f>
        <v>0</v>
      </c>
      <c r="M28" s="286"/>
      <c r="N28" s="286"/>
      <c r="O28" s="286">
        <f>COUNTIFS('APENDICE 4 REGISTRO DE RESULTAD'!$AJ$14:$AJ$1001,"Vol",'APENDICE 4 REGISTRO DE RESULTAD'!$J$14:$J$1001,"F",'APENDICE 4 REGISTRO DE RESULTAD'!$P$14:$P$1001,"&gt;=70")+COUNTIFS('APENDICE 4 REGISTRO DE RESULTAD'!$AJ$14:$AJ$1001,"Vol",'APENDICE 4 REGISTRO DE RESULTAD'!$J$14:$J$1001,"F",'APENDICE 4 REGISTRO DE RESULTAD'!$P$14:$P$1001,"A")</f>
        <v>0</v>
      </c>
      <c r="P28" s="286"/>
      <c r="Q28" s="286"/>
      <c r="R28" s="286">
        <f t="shared" si="3"/>
        <v>0</v>
      </c>
      <c r="S28" s="286"/>
      <c r="T28" s="286"/>
      <c r="U28" s="286"/>
      <c r="V28" s="286"/>
      <c r="W28" s="286"/>
    </row>
    <row r="29" spans="1:23" s="61" customFormat="1" ht="22.5" customHeight="1" x14ac:dyDescent="0.2">
      <c r="A29" s="287" t="s">
        <v>109</v>
      </c>
      <c r="B29" s="287"/>
      <c r="C29" s="287"/>
      <c r="D29" s="287"/>
      <c r="E29" s="287"/>
      <c r="F29" s="287">
        <f>SUM(F23:H28)</f>
        <v>0</v>
      </c>
      <c r="G29" s="287"/>
      <c r="H29" s="287"/>
      <c r="I29" s="287">
        <f>SUM(I23:K28)</f>
        <v>0</v>
      </c>
      <c r="J29" s="287"/>
      <c r="K29" s="287"/>
      <c r="L29" s="287">
        <f>SUM(L23:N28)</f>
        <v>0</v>
      </c>
      <c r="M29" s="287"/>
      <c r="N29" s="287"/>
      <c r="O29" s="287">
        <f>SUM(O23:Q28)</f>
        <v>0</v>
      </c>
      <c r="P29" s="287"/>
      <c r="Q29" s="287"/>
      <c r="R29" s="287">
        <f>SUM(R23:T28)</f>
        <v>0</v>
      </c>
      <c r="S29" s="287"/>
      <c r="T29" s="287"/>
      <c r="U29" s="287"/>
      <c r="V29" s="287"/>
      <c r="W29" s="287"/>
    </row>
    <row r="30" spans="1:23" s="65" customFormat="1" ht="22.5" customHeight="1" x14ac:dyDescent="0.2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 spans="1:23" s="61" customFormat="1" ht="22.5" customHeight="1" x14ac:dyDescent="0.2"/>
    <row r="32" spans="1:23" s="61" customFormat="1" ht="22.5" customHeight="1" x14ac:dyDescent="0.2">
      <c r="A32" s="287" t="s">
        <v>110</v>
      </c>
      <c r="B32" s="287"/>
      <c r="C32" s="287" t="s">
        <v>96</v>
      </c>
      <c r="D32" s="287"/>
      <c r="E32" s="287"/>
      <c r="F32" s="287" t="s">
        <v>97</v>
      </c>
      <c r="G32" s="287"/>
      <c r="H32" s="287"/>
      <c r="I32" s="287" t="s">
        <v>98</v>
      </c>
      <c r="J32" s="287"/>
      <c r="K32" s="287"/>
      <c r="L32" s="287" t="s">
        <v>99</v>
      </c>
      <c r="M32" s="287"/>
      <c r="N32" s="287"/>
      <c r="O32" s="287" t="s">
        <v>100</v>
      </c>
      <c r="P32" s="287"/>
      <c r="Q32" s="287"/>
      <c r="R32" s="287" t="s">
        <v>101</v>
      </c>
      <c r="S32" s="287"/>
      <c r="T32" s="287"/>
      <c r="U32" s="287" t="s">
        <v>102</v>
      </c>
      <c r="V32" s="287"/>
      <c r="W32" s="287"/>
    </row>
    <row r="33" spans="1:23" s="61" customFormat="1" ht="22.5" customHeight="1" x14ac:dyDescent="0.2">
      <c r="A33" s="287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</row>
    <row r="34" spans="1:23" s="61" customFormat="1" ht="22.5" customHeight="1" x14ac:dyDescent="0.2">
      <c r="A34" s="288" t="s">
        <v>115</v>
      </c>
      <c r="B34" s="289"/>
      <c r="C34" s="285" t="s">
        <v>103</v>
      </c>
      <c r="D34" s="285"/>
      <c r="E34" s="285"/>
      <c r="F34" s="286">
        <f>COUNTIFS('APENDICE 4 REGISTRO DE RESULTAD'!$AJ$14:$AJ$1001,"Oficial",'APENDICE 4 REGISTRO DE RESULTAD'!$J$14:$J$1001,"M")</f>
        <v>0</v>
      </c>
      <c r="G34" s="286"/>
      <c r="H34" s="286"/>
      <c r="I34" s="286">
        <f t="shared" ref="I34:I39" si="4">F34-L34</f>
        <v>0</v>
      </c>
      <c r="J34" s="286"/>
      <c r="K34" s="286"/>
      <c r="L34" s="286">
        <f>COUNTIFS('APENDICE 4 REGISTRO DE RESULTAD'!$AJ$14:$AJ$1001,"Oficial",'APENDICE 4 REGISTRO DE RESULTAD'!$J$14:$J$1001,"M",'APENDICE 4 REGISTRO DE RESULTAD'!$R$14:$R$1001,"-",'APENDICE 4 REGISTRO DE RESULTAD'!$R$14:$R$1001,"-")</f>
        <v>0</v>
      </c>
      <c r="M34" s="286"/>
      <c r="N34" s="286"/>
      <c r="O34" s="286">
        <f>COUNTIFS('APENDICE 4 REGISTRO DE RESULTAD'!$AJ$14:$AJ$1001,"Oficial",'APENDICE 4 REGISTRO DE RESULTAD'!$J$14:$J$1001,"M",'APENDICE 4 REGISTRO DE RESULTAD'!$R$14:$R$1001,"&gt;=70")+COUNTIFS('APENDICE 4 REGISTRO DE RESULTAD'!$AJ$14:$AJ$1001,"Oficial",'APENDICE 4 REGISTRO DE RESULTAD'!$J$14:$J$1001,"M",'APENDICE 4 REGISTRO DE RESULTAD'!$R$14:$R$1001,"A")</f>
        <v>0</v>
      </c>
      <c r="P34" s="286"/>
      <c r="Q34" s="286"/>
      <c r="R34" s="286">
        <f t="shared" ref="R34:R39" si="5">I34-O34</f>
        <v>0</v>
      </c>
      <c r="S34" s="286"/>
      <c r="T34" s="286"/>
      <c r="U34" s="286"/>
      <c r="V34" s="286"/>
      <c r="W34" s="286"/>
    </row>
    <row r="35" spans="1:23" s="61" customFormat="1" ht="22.5" customHeight="1" x14ac:dyDescent="0.2">
      <c r="A35" s="290"/>
      <c r="B35" s="291"/>
      <c r="C35" s="285" t="s">
        <v>104</v>
      </c>
      <c r="D35" s="285"/>
      <c r="E35" s="285"/>
      <c r="F35" s="286">
        <f>COUNTIFS('APENDICE 4 REGISTRO DE RESULTAD'!$AJ$14:$AJ$1001,"Oficial",'APENDICE 4 REGISTRO DE RESULTAD'!$J$14:$J$1001,"F")</f>
        <v>0</v>
      </c>
      <c r="G35" s="286"/>
      <c r="H35" s="286"/>
      <c r="I35" s="286">
        <f t="shared" si="4"/>
        <v>0</v>
      </c>
      <c r="J35" s="286"/>
      <c r="K35" s="286"/>
      <c r="L35" s="286">
        <f>COUNTIFS('APENDICE 4 REGISTRO DE RESULTAD'!$AJ$14:$AJ$1001,"Oficial",'APENDICE 4 REGISTRO DE RESULTAD'!$J$14:$J$1001,"F",'APENDICE 4 REGISTRO DE RESULTAD'!$R$14:$R$1001,"-",'APENDICE 4 REGISTRO DE RESULTAD'!$R$14:$R$1001,"-")</f>
        <v>0</v>
      </c>
      <c r="M35" s="286"/>
      <c r="N35" s="286"/>
      <c r="O35" s="286">
        <f>COUNTIFS('APENDICE 4 REGISTRO DE RESULTAD'!$AJ$14:$AJ$1001,"Oficial",'APENDICE 4 REGISTRO DE RESULTAD'!$J$14:$J$1001,"F",'APENDICE 4 REGISTRO DE RESULTAD'!$R$14:$R$1001,"&gt;=70")+COUNTIFS('APENDICE 4 REGISTRO DE RESULTAD'!$AJ$14:$AJ$1001,"Oficial",'APENDICE 4 REGISTRO DE RESULTAD'!$J$14:$J$1001,"F",'APENDICE 4 REGISTRO DE RESULTAD'!$R$14:$R$1001,"A")</f>
        <v>0</v>
      </c>
      <c r="P35" s="286"/>
      <c r="Q35" s="286"/>
      <c r="R35" s="286">
        <f t="shared" si="5"/>
        <v>0</v>
      </c>
      <c r="S35" s="286"/>
      <c r="T35" s="286"/>
      <c r="U35" s="286"/>
      <c r="V35" s="286"/>
      <c r="W35" s="286"/>
    </row>
    <row r="36" spans="1:23" s="61" customFormat="1" ht="22.5" customHeight="1" x14ac:dyDescent="0.2">
      <c r="A36" s="290" t="s">
        <v>111</v>
      </c>
      <c r="B36" s="291"/>
      <c r="C36" s="285" t="s">
        <v>105</v>
      </c>
      <c r="D36" s="285"/>
      <c r="E36" s="285"/>
      <c r="F36" s="286">
        <f>COUNTIFS('APENDICE 4 REGISTRO DE RESULTAD'!$AJ$14:$AJ$1001,"Subof",'APENDICE 4 REGISTRO DE RESULTAD'!$J$14:$J$1001,"M")</f>
        <v>0</v>
      </c>
      <c r="G36" s="286"/>
      <c r="H36" s="286"/>
      <c r="I36" s="286">
        <f t="shared" si="4"/>
        <v>0</v>
      </c>
      <c r="J36" s="286"/>
      <c r="K36" s="286"/>
      <c r="L36" s="286">
        <f>COUNTIFS('APENDICE 4 REGISTRO DE RESULTAD'!$AJ$14:$AJ$1001,"Subof",'APENDICE 4 REGISTRO DE RESULTAD'!$J$14:$J$1001,"M",'APENDICE 4 REGISTRO DE RESULTAD'!$R$14:$R$1001,"-",'APENDICE 4 REGISTRO DE RESULTAD'!$R$14:$R$1001,"-")</f>
        <v>0</v>
      </c>
      <c r="M36" s="286"/>
      <c r="N36" s="286"/>
      <c r="O36" s="286">
        <f>COUNTIFS('APENDICE 4 REGISTRO DE RESULTAD'!$AJ$14:$AJ$1001,"Subof",'APENDICE 4 REGISTRO DE RESULTAD'!$J$14:$J$1001,"M",'APENDICE 4 REGISTRO DE RESULTAD'!$R$14:$R$1001,"&gt;=70")+COUNTIFS('APENDICE 4 REGISTRO DE RESULTAD'!$AJ$14:$AJ$1001,"Subof",'APENDICE 4 REGISTRO DE RESULTAD'!$J$14:$J$1001,"M",'APENDICE 4 REGISTRO DE RESULTAD'!$R$14:$R$1001,"A")</f>
        <v>0</v>
      </c>
      <c r="P36" s="286"/>
      <c r="Q36" s="286"/>
      <c r="R36" s="286">
        <f t="shared" si="5"/>
        <v>0</v>
      </c>
      <c r="S36" s="286"/>
      <c r="T36" s="286"/>
      <c r="U36" s="286"/>
      <c r="V36" s="286"/>
      <c r="W36" s="286"/>
    </row>
    <row r="37" spans="1:23" s="61" customFormat="1" ht="22.5" customHeight="1" x14ac:dyDescent="0.2">
      <c r="A37" s="290"/>
      <c r="B37" s="291"/>
      <c r="C37" s="285" t="s">
        <v>106</v>
      </c>
      <c r="D37" s="285"/>
      <c r="E37" s="285"/>
      <c r="F37" s="286">
        <f>COUNTIFS('APENDICE 4 REGISTRO DE RESULTAD'!$AJ$14:$AJ$1001,"Subof",'APENDICE 4 REGISTRO DE RESULTAD'!$J$14:$J$1001,"F")</f>
        <v>0</v>
      </c>
      <c r="G37" s="286"/>
      <c r="H37" s="286"/>
      <c r="I37" s="286">
        <f t="shared" si="4"/>
        <v>0</v>
      </c>
      <c r="J37" s="286"/>
      <c r="K37" s="286"/>
      <c r="L37" s="286">
        <f>COUNTIFS('APENDICE 4 REGISTRO DE RESULTAD'!$AJ$14:$AJ$1001,"Subof",'APENDICE 4 REGISTRO DE RESULTAD'!$J$14:$J$1001,"F",'APENDICE 4 REGISTRO DE RESULTAD'!$R$14:$R$1001,"-",'APENDICE 4 REGISTRO DE RESULTAD'!$R$14:$R$1001,"-")</f>
        <v>0</v>
      </c>
      <c r="M37" s="286"/>
      <c r="N37" s="286"/>
      <c r="O37" s="286">
        <f>COUNTIFS('APENDICE 4 REGISTRO DE RESULTAD'!$AJ$14:$AJ$1001,"Subof",'APENDICE 4 REGISTRO DE RESULTAD'!$J$14:$J$1001,"F",'APENDICE 4 REGISTRO DE RESULTAD'!$R$14:$R$1001,"&gt;=70")+COUNTIFS('APENDICE 4 REGISTRO DE RESULTAD'!$AJ$14:$AJ$1001,"Subof",'APENDICE 4 REGISTRO DE RESULTAD'!$J$14:$J$1001,"F",'APENDICE 4 REGISTRO DE RESULTAD'!$R$14:$R$1001,"A")</f>
        <v>0</v>
      </c>
      <c r="P37" s="286"/>
      <c r="Q37" s="286"/>
      <c r="R37" s="286">
        <f t="shared" si="5"/>
        <v>0</v>
      </c>
      <c r="S37" s="286"/>
      <c r="T37" s="286"/>
      <c r="U37" s="286"/>
      <c r="V37" s="286"/>
      <c r="W37" s="286"/>
    </row>
    <row r="38" spans="1:23" s="61" customFormat="1" ht="22.5" customHeight="1" x14ac:dyDescent="0.2">
      <c r="A38" s="290"/>
      <c r="B38" s="291"/>
      <c r="C38" s="285" t="s">
        <v>107</v>
      </c>
      <c r="D38" s="285"/>
      <c r="E38" s="285"/>
      <c r="F38" s="286">
        <f>COUNTIFS('APENDICE 4 REGISTRO DE RESULTAD'!$AJ$14:$AJ$1001,"Vol",'APENDICE 4 REGISTRO DE RESULTAD'!$J$14:$J$1001,"M")</f>
        <v>0</v>
      </c>
      <c r="G38" s="286"/>
      <c r="H38" s="286"/>
      <c r="I38" s="286">
        <f t="shared" si="4"/>
        <v>0</v>
      </c>
      <c r="J38" s="286"/>
      <c r="K38" s="286"/>
      <c r="L38" s="286">
        <f>COUNTIFS('APENDICE 4 REGISTRO DE RESULTAD'!$AJ$14:$AJ$1001,"Vol",'APENDICE 4 REGISTRO DE RESULTAD'!$J$14:$J$1001,"M",'APENDICE 4 REGISTRO DE RESULTAD'!$R$14:$R$1001,"-",'APENDICE 4 REGISTRO DE RESULTAD'!$R$14:$R$1001,"-")</f>
        <v>0</v>
      </c>
      <c r="M38" s="286"/>
      <c r="N38" s="286"/>
      <c r="O38" s="286">
        <f>COUNTIFS('APENDICE 4 REGISTRO DE RESULTAD'!$AJ$14:$AJ$1001,"Vol",'APENDICE 4 REGISTRO DE RESULTAD'!$J$14:$J$1001,"M",'APENDICE 4 REGISTRO DE RESULTAD'!$R$14:$R$1001,"&gt;=70")+COUNTIFS('APENDICE 4 REGISTRO DE RESULTAD'!$AJ$14:$AJ$1001,"Vol",'APENDICE 4 REGISTRO DE RESULTAD'!$J$14:$J$1001,"M",'APENDICE 4 REGISTRO DE RESULTAD'!$R$14:$R$1001,"A")</f>
        <v>0</v>
      </c>
      <c r="P38" s="286"/>
      <c r="Q38" s="286"/>
      <c r="R38" s="286">
        <f t="shared" si="5"/>
        <v>0</v>
      </c>
      <c r="S38" s="286"/>
      <c r="T38" s="286"/>
      <c r="U38" s="286"/>
      <c r="V38" s="286"/>
      <c r="W38" s="286"/>
    </row>
    <row r="39" spans="1:23" s="61" customFormat="1" ht="22.5" customHeight="1" x14ac:dyDescent="0.2">
      <c r="A39" s="292"/>
      <c r="B39" s="293"/>
      <c r="C39" s="285" t="s">
        <v>108</v>
      </c>
      <c r="D39" s="285"/>
      <c r="E39" s="285"/>
      <c r="F39" s="286">
        <f>COUNTIFS('APENDICE 4 REGISTRO DE RESULTAD'!$AJ$14:$AJ$1001,"Vol",'APENDICE 4 REGISTRO DE RESULTAD'!$J$14:$J$1001,"F")</f>
        <v>0</v>
      </c>
      <c r="G39" s="286"/>
      <c r="H39" s="286"/>
      <c r="I39" s="286">
        <f t="shared" si="4"/>
        <v>0</v>
      </c>
      <c r="J39" s="286"/>
      <c r="K39" s="286"/>
      <c r="L39" s="286">
        <f>COUNTIFS('APENDICE 4 REGISTRO DE RESULTAD'!$AJ$14:$AJ$1001,"Vol",'APENDICE 4 REGISTRO DE RESULTAD'!$J$14:$J$1001,"F",'APENDICE 4 REGISTRO DE RESULTAD'!$R$14:$R$1001,"-",'APENDICE 4 REGISTRO DE RESULTAD'!$R$14:$R$1001,"-")</f>
        <v>0</v>
      </c>
      <c r="M39" s="286"/>
      <c r="N39" s="286"/>
      <c r="O39" s="286">
        <f>COUNTIFS('APENDICE 4 REGISTRO DE RESULTAD'!$AJ$14:$AJ$1001,"Vol",'APENDICE 4 REGISTRO DE RESULTAD'!$J$14:$J$1001,"F",'APENDICE 4 REGISTRO DE RESULTAD'!$R$14:$R$1001,"&gt;=70")+COUNTIFS('APENDICE 4 REGISTRO DE RESULTAD'!$AJ$14:$AJ$1001,"Vol",'APENDICE 4 REGISTRO DE RESULTAD'!$J$14:$J$1001,"F",'APENDICE 4 REGISTRO DE RESULTAD'!$R$14:$R$1001,"A")</f>
        <v>0</v>
      </c>
      <c r="P39" s="286"/>
      <c r="Q39" s="286"/>
      <c r="R39" s="286">
        <f t="shared" si="5"/>
        <v>0</v>
      </c>
      <c r="S39" s="286"/>
      <c r="T39" s="286"/>
      <c r="U39" s="286"/>
      <c r="V39" s="286"/>
      <c r="W39" s="286"/>
    </row>
    <row r="40" spans="1:23" s="61" customFormat="1" ht="22.5" customHeight="1" x14ac:dyDescent="0.2">
      <c r="A40" s="287" t="s">
        <v>109</v>
      </c>
      <c r="B40" s="287"/>
      <c r="C40" s="287"/>
      <c r="D40" s="287"/>
      <c r="E40" s="287"/>
      <c r="F40" s="287">
        <f>SUM(F34:H39)</f>
        <v>0</v>
      </c>
      <c r="G40" s="287"/>
      <c r="H40" s="287"/>
      <c r="I40" s="287">
        <f>SUM(I34:K39)</f>
        <v>0</v>
      </c>
      <c r="J40" s="287"/>
      <c r="K40" s="287"/>
      <c r="L40" s="287">
        <f>SUM(L34:N39)</f>
        <v>0</v>
      </c>
      <c r="M40" s="287"/>
      <c r="N40" s="287"/>
      <c r="O40" s="287">
        <f>SUM(O34:Q39)</f>
        <v>0</v>
      </c>
      <c r="P40" s="287"/>
      <c r="Q40" s="287"/>
      <c r="R40" s="287">
        <f>SUM(R34:T39)</f>
        <v>0</v>
      </c>
      <c r="S40" s="287"/>
      <c r="T40" s="287"/>
      <c r="U40" s="287"/>
      <c r="V40" s="287"/>
      <c r="W40" s="287"/>
    </row>
    <row r="41" spans="1:23" s="65" customFormat="1" ht="22.5" customHeight="1" x14ac:dyDescent="0.2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 spans="1:23" s="65" customFormat="1" ht="22.5" customHeight="1" x14ac:dyDescent="0.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 spans="1:23" s="61" customFormat="1" ht="22.5" customHeight="1" x14ac:dyDescent="0.2"/>
    <row r="44" spans="1:23" s="61" customFormat="1" ht="22.5" customHeight="1" x14ac:dyDescent="0.2"/>
    <row r="45" spans="1:23" s="61" customFormat="1" ht="22.5" customHeight="1" x14ac:dyDescent="0.2">
      <c r="A45" s="287" t="s">
        <v>110</v>
      </c>
      <c r="B45" s="287"/>
      <c r="C45" s="287" t="s">
        <v>96</v>
      </c>
      <c r="D45" s="287"/>
      <c r="E45" s="287"/>
      <c r="F45" s="287" t="s">
        <v>97</v>
      </c>
      <c r="G45" s="287"/>
      <c r="H45" s="287"/>
      <c r="I45" s="287" t="s">
        <v>98</v>
      </c>
      <c r="J45" s="287"/>
      <c r="K45" s="287"/>
      <c r="L45" s="287" t="s">
        <v>99</v>
      </c>
      <c r="M45" s="287"/>
      <c r="N45" s="287"/>
      <c r="O45" s="287" t="s">
        <v>100</v>
      </c>
      <c r="P45" s="287"/>
      <c r="Q45" s="287"/>
      <c r="R45" s="287" t="s">
        <v>101</v>
      </c>
      <c r="S45" s="287"/>
      <c r="T45" s="287"/>
      <c r="U45" s="287" t="s">
        <v>102</v>
      </c>
      <c r="V45" s="287"/>
      <c r="W45" s="287"/>
    </row>
    <row r="46" spans="1:23" s="61" customFormat="1" ht="22.5" customHeight="1" x14ac:dyDescent="0.2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</row>
    <row r="47" spans="1:23" s="61" customFormat="1" ht="22.5" customHeight="1" x14ac:dyDescent="0.2">
      <c r="A47" s="288" t="s">
        <v>52</v>
      </c>
      <c r="B47" s="289"/>
      <c r="C47" s="285" t="s">
        <v>103</v>
      </c>
      <c r="D47" s="285"/>
      <c r="E47" s="285"/>
      <c r="F47" s="286">
        <f>COUNTIFS('APENDICE 4 REGISTRO DE RESULTAD'!$AJ$14:$AJ$502,"Oficial",'APENDICE 4 REGISTRO DE RESULTAD'!$J$14:$J$502,"M")</f>
        <v>0</v>
      </c>
      <c r="G47" s="286"/>
      <c r="H47" s="286"/>
      <c r="I47" s="286">
        <f t="shared" ref="I47:I52" si="6">F47-L47</f>
        <v>0</v>
      </c>
      <c r="J47" s="286"/>
      <c r="K47" s="286"/>
      <c r="L47" s="286">
        <f>COUNTIFS('APENDICE 4 REGISTRO DE RESULTAD'!$AJ$14:$AJ$502,"Oficial",'APENDICE 4 REGISTRO DE RESULTAD'!$J$14:$J$502,"M",'APENDICE 4 REGISTRO DE RESULTAD'!$T$14:$T$502,"-")</f>
        <v>0</v>
      </c>
      <c r="M47" s="286"/>
      <c r="N47" s="286"/>
      <c r="O47" s="286">
        <f>COUNTIFS('APENDICE 4 REGISTRO DE RESULTAD'!$AJ$14:$AJ$1001,"Oficial",'APENDICE 4 REGISTRO DE RESULTAD'!$J$14:$J$1001,"M",'APENDICE 4 REGISTRO DE RESULTAD'!$T$14:$T$1001,"&gt;=70")+COUNTIFS('APENDICE 4 REGISTRO DE RESULTAD'!$AJ$14:$AJ$1001,"Oficial",'APENDICE 4 REGISTRO DE RESULTAD'!$J$14:$J$1001,"M",'APENDICE 4 REGISTRO DE RESULTAD'!$T$14:$T$1001,"A")</f>
        <v>0</v>
      </c>
      <c r="P47" s="286"/>
      <c r="Q47" s="286"/>
      <c r="R47" s="286">
        <f t="shared" ref="R47:R52" si="7">I47-O47</f>
        <v>0</v>
      </c>
      <c r="S47" s="286"/>
      <c r="T47" s="286"/>
      <c r="U47" s="286"/>
      <c r="V47" s="286"/>
      <c r="W47" s="286"/>
    </row>
    <row r="48" spans="1:23" s="61" customFormat="1" ht="22.5" customHeight="1" x14ac:dyDescent="0.2">
      <c r="A48" s="290"/>
      <c r="B48" s="291"/>
      <c r="C48" s="285" t="s">
        <v>104</v>
      </c>
      <c r="D48" s="285"/>
      <c r="E48" s="285"/>
      <c r="F48" s="286">
        <f>COUNTIFS('APENDICE 4 REGISTRO DE RESULTAD'!$AJ$14:$AJ$502,"Oficial",'APENDICE 4 REGISTRO DE RESULTAD'!$J$14:$J$502,"F")</f>
        <v>0</v>
      </c>
      <c r="G48" s="286"/>
      <c r="H48" s="286"/>
      <c r="I48" s="286">
        <f t="shared" si="6"/>
        <v>0</v>
      </c>
      <c r="J48" s="286"/>
      <c r="K48" s="286"/>
      <c r="L48" s="286">
        <f>COUNTIFS('APENDICE 4 REGISTRO DE RESULTAD'!$AJ$14:$AJ$502,"Oficial",'APENDICE 4 REGISTRO DE RESULTAD'!$J$14:$J$502,"F",'APENDICE 4 REGISTRO DE RESULTAD'!$T$14:$T$502,"-")</f>
        <v>0</v>
      </c>
      <c r="M48" s="286"/>
      <c r="N48" s="286"/>
      <c r="O48" s="286">
        <f>COUNTIFS('APENDICE 4 REGISTRO DE RESULTAD'!$AJ$14:$AJ$1001,"Oficial",'APENDICE 4 REGISTRO DE RESULTAD'!$J$14:$J$1001,"F",'APENDICE 4 REGISTRO DE RESULTAD'!$T$14:$T$1001,"&gt;=70")+COUNTIFS('APENDICE 4 REGISTRO DE RESULTAD'!$AJ$14:$AJ$1001,"Oficial",'APENDICE 4 REGISTRO DE RESULTAD'!$J$14:$J$1001,"F",'APENDICE 4 REGISTRO DE RESULTAD'!$T$14:$T$1001,"A")</f>
        <v>0</v>
      </c>
      <c r="P48" s="286"/>
      <c r="Q48" s="286"/>
      <c r="R48" s="286">
        <f t="shared" si="7"/>
        <v>0</v>
      </c>
      <c r="S48" s="286"/>
      <c r="T48" s="286"/>
      <c r="U48" s="286"/>
      <c r="V48" s="286"/>
      <c r="W48" s="286"/>
    </row>
    <row r="49" spans="1:26" s="61" customFormat="1" ht="22.5" customHeight="1" x14ac:dyDescent="0.2">
      <c r="A49" s="290" t="s">
        <v>52</v>
      </c>
      <c r="B49" s="291"/>
      <c r="C49" s="285" t="s">
        <v>105</v>
      </c>
      <c r="D49" s="285"/>
      <c r="E49" s="285"/>
      <c r="F49" s="286">
        <f>COUNTIFS('APENDICE 4 REGISTRO DE RESULTAD'!$AJ$14:$AJ$502,"Subof",'APENDICE 4 REGISTRO DE RESULTAD'!$J$14:$J$502,"M")</f>
        <v>0</v>
      </c>
      <c r="G49" s="286"/>
      <c r="H49" s="286"/>
      <c r="I49" s="286">
        <f t="shared" si="6"/>
        <v>0</v>
      </c>
      <c r="J49" s="286"/>
      <c r="K49" s="286"/>
      <c r="L49" s="286">
        <f>COUNTIFS('APENDICE 4 REGISTRO DE RESULTAD'!$AJ$14:$AJ$502,"Subof",'APENDICE 4 REGISTRO DE RESULTAD'!$J$14:$J$502,"M",'APENDICE 4 REGISTRO DE RESULTAD'!$T$14:$T$502,"-")</f>
        <v>0</v>
      </c>
      <c r="M49" s="286"/>
      <c r="N49" s="286"/>
      <c r="O49" s="286">
        <f>COUNTIFS('APENDICE 4 REGISTRO DE RESULTAD'!$AJ$14:$AJ$1001,"Subof",'APENDICE 4 REGISTRO DE RESULTAD'!$J$14:$J$1001,"M",'APENDICE 4 REGISTRO DE RESULTAD'!$T$14:$T$1001,"&gt;=70")+COUNTIFS('APENDICE 4 REGISTRO DE RESULTAD'!$AJ$14:$AJ$1001,"Subof",'APENDICE 4 REGISTRO DE RESULTAD'!$J$14:$J$1001,"M",'APENDICE 4 REGISTRO DE RESULTAD'!$T$14:$T$1001,"A")</f>
        <v>0</v>
      </c>
      <c r="P49" s="286"/>
      <c r="Q49" s="286"/>
      <c r="R49" s="286">
        <f t="shared" si="7"/>
        <v>0</v>
      </c>
      <c r="S49" s="286"/>
      <c r="T49" s="286"/>
      <c r="U49" s="286"/>
      <c r="V49" s="286"/>
      <c r="W49" s="286"/>
    </row>
    <row r="50" spans="1:26" s="61" customFormat="1" ht="22.5" customHeight="1" x14ac:dyDescent="0.2">
      <c r="A50" s="290"/>
      <c r="B50" s="291"/>
      <c r="C50" s="285" t="s">
        <v>106</v>
      </c>
      <c r="D50" s="285"/>
      <c r="E50" s="285"/>
      <c r="F50" s="286">
        <f>COUNTIFS('APENDICE 4 REGISTRO DE RESULTAD'!$AJ$14:$AJ$502,"Subof",'APENDICE 4 REGISTRO DE RESULTAD'!$J$14:$J$502,"F")</f>
        <v>0</v>
      </c>
      <c r="G50" s="286"/>
      <c r="H50" s="286"/>
      <c r="I50" s="286">
        <f t="shared" si="6"/>
        <v>0</v>
      </c>
      <c r="J50" s="286"/>
      <c r="K50" s="286"/>
      <c r="L50" s="286">
        <f>COUNTIFS('APENDICE 4 REGISTRO DE RESULTAD'!$AJ$14:$AJ$502,"Subof",'APENDICE 4 REGISTRO DE RESULTAD'!$J$14:$J$502,"F",'APENDICE 4 REGISTRO DE RESULTAD'!$T$14:$T$502,"-")</f>
        <v>0</v>
      </c>
      <c r="M50" s="286"/>
      <c r="N50" s="286"/>
      <c r="O50" s="286">
        <f>COUNTIFS('APENDICE 4 REGISTRO DE RESULTAD'!$AJ$14:$AJ$1001,"Subof",'APENDICE 4 REGISTRO DE RESULTAD'!$J$14:$J$1001,"F",'APENDICE 4 REGISTRO DE RESULTAD'!$T$14:$T$1001,"&gt;=70")+COUNTIFS('APENDICE 4 REGISTRO DE RESULTAD'!$AJ$14:$AJ$1001,"Subof",'APENDICE 4 REGISTRO DE RESULTAD'!$J$14:$J$1001,"F",'APENDICE 4 REGISTRO DE RESULTAD'!$T$14:$T$1001,"A")</f>
        <v>0</v>
      </c>
      <c r="P50" s="286"/>
      <c r="Q50" s="286"/>
      <c r="R50" s="286">
        <f t="shared" si="7"/>
        <v>0</v>
      </c>
      <c r="S50" s="286"/>
      <c r="T50" s="286"/>
      <c r="U50" s="286"/>
      <c r="V50" s="286"/>
      <c r="W50" s="286"/>
    </row>
    <row r="51" spans="1:26" s="61" customFormat="1" ht="22.5" customHeight="1" x14ac:dyDescent="0.2">
      <c r="A51" s="290"/>
      <c r="B51" s="291"/>
      <c r="C51" s="285" t="s">
        <v>107</v>
      </c>
      <c r="D51" s="285"/>
      <c r="E51" s="285"/>
      <c r="F51" s="286">
        <f>COUNTIFS('APENDICE 4 REGISTRO DE RESULTAD'!$AJ$14:$AJ$502,"Vol",'APENDICE 4 REGISTRO DE RESULTAD'!$J$14:$J$502,"M")</f>
        <v>0</v>
      </c>
      <c r="G51" s="286"/>
      <c r="H51" s="286"/>
      <c r="I51" s="286">
        <f t="shared" si="6"/>
        <v>0</v>
      </c>
      <c r="J51" s="286"/>
      <c r="K51" s="286"/>
      <c r="L51" s="286">
        <f>COUNTIFS('APENDICE 4 REGISTRO DE RESULTAD'!$AJ$14:$AJ$502,"Vol",'APENDICE 4 REGISTRO DE RESULTAD'!$J$14:$J$502,"M",'APENDICE 4 REGISTRO DE RESULTAD'!$T$14:$T$502,"-")</f>
        <v>0</v>
      </c>
      <c r="M51" s="286"/>
      <c r="N51" s="286"/>
      <c r="O51" s="286">
        <f>COUNTIFS('APENDICE 4 REGISTRO DE RESULTAD'!$AJ$14:$AJ$1001,"Vol",'APENDICE 4 REGISTRO DE RESULTAD'!$J$14:$J$1001,"M",'APENDICE 4 REGISTRO DE RESULTAD'!$T$14:$T$1001,"&gt;=70")+COUNTIFS('APENDICE 4 REGISTRO DE RESULTAD'!$AJ$14:$AJ$1001,"Vol",'APENDICE 4 REGISTRO DE RESULTAD'!$J$14:$J$1001,"M",'APENDICE 4 REGISTRO DE RESULTAD'!$T$14:$T$1001,"A")</f>
        <v>0</v>
      </c>
      <c r="P51" s="286"/>
      <c r="Q51" s="286"/>
      <c r="R51" s="286">
        <f t="shared" si="7"/>
        <v>0</v>
      </c>
      <c r="S51" s="286"/>
      <c r="T51" s="286"/>
      <c r="U51" s="286"/>
      <c r="V51" s="286"/>
      <c r="W51" s="286"/>
    </row>
    <row r="52" spans="1:26" s="61" customFormat="1" ht="22.5" customHeight="1" x14ac:dyDescent="0.2">
      <c r="A52" s="292"/>
      <c r="B52" s="293"/>
      <c r="C52" s="285" t="s">
        <v>108</v>
      </c>
      <c r="D52" s="285"/>
      <c r="E52" s="285"/>
      <c r="F52" s="286">
        <f>COUNTIFS('APENDICE 4 REGISTRO DE RESULTAD'!$AJ$14:$AJ$502,"Vol",'APENDICE 4 REGISTRO DE RESULTAD'!$J$14:$J$502,"F")</f>
        <v>0</v>
      </c>
      <c r="G52" s="286"/>
      <c r="H52" s="286"/>
      <c r="I52" s="286">
        <f t="shared" si="6"/>
        <v>0</v>
      </c>
      <c r="J52" s="286"/>
      <c r="K52" s="286"/>
      <c r="L52" s="286">
        <f>COUNTIFS('APENDICE 4 REGISTRO DE RESULTAD'!$AJ$14:$AJ$502,"Vol",'APENDICE 4 REGISTRO DE RESULTAD'!$J$14:$J$502,"F",'APENDICE 4 REGISTRO DE RESULTAD'!$T$14:$T$502,"-")</f>
        <v>0</v>
      </c>
      <c r="M52" s="286"/>
      <c r="N52" s="286"/>
      <c r="O52" s="286">
        <f>COUNTIFS('APENDICE 4 REGISTRO DE RESULTAD'!$AJ$14:$AJ$1001,"Vol",'APENDICE 4 REGISTRO DE RESULTAD'!$J$14:$J$1001,"F",'APENDICE 4 REGISTRO DE RESULTAD'!$T$14:$T$1001,"&gt;=70")+COUNTIFS('APENDICE 4 REGISTRO DE RESULTAD'!$AJ$14:$AJ$1001,"Vol",'APENDICE 4 REGISTRO DE RESULTAD'!$J$14:$J$1001,"F",'APENDICE 4 REGISTRO DE RESULTAD'!$T$14:$T$1001,"A")</f>
        <v>0</v>
      </c>
      <c r="P52" s="286"/>
      <c r="Q52" s="286"/>
      <c r="R52" s="286">
        <f t="shared" si="7"/>
        <v>0</v>
      </c>
      <c r="S52" s="286"/>
      <c r="T52" s="286"/>
      <c r="U52" s="286"/>
      <c r="V52" s="286"/>
      <c r="W52" s="286"/>
    </row>
    <row r="53" spans="1:26" s="61" customFormat="1" ht="22.5" customHeight="1" x14ac:dyDescent="0.2">
      <c r="A53" s="287" t="s">
        <v>109</v>
      </c>
      <c r="B53" s="287"/>
      <c r="C53" s="287"/>
      <c r="D53" s="287"/>
      <c r="E53" s="287"/>
      <c r="F53" s="287">
        <f>SUM(F47:H52)</f>
        <v>0</v>
      </c>
      <c r="G53" s="287"/>
      <c r="H53" s="287"/>
      <c r="I53" s="287">
        <f>SUM(I47:K52)</f>
        <v>0</v>
      </c>
      <c r="J53" s="287"/>
      <c r="K53" s="287"/>
      <c r="L53" s="287">
        <f>SUM(L47:N52)</f>
        <v>0</v>
      </c>
      <c r="M53" s="287"/>
      <c r="N53" s="287"/>
      <c r="O53" s="287">
        <f>SUM(O47:Q52)</f>
        <v>0</v>
      </c>
      <c r="P53" s="287"/>
      <c r="Q53" s="287"/>
      <c r="R53" s="287">
        <f>SUM(R47:T52)</f>
        <v>0</v>
      </c>
      <c r="S53" s="287"/>
      <c r="T53" s="287"/>
      <c r="U53" s="287"/>
      <c r="V53" s="287"/>
      <c r="W53" s="287"/>
    </row>
    <row r="54" spans="1:26" s="65" customFormat="1" ht="22.5" customHeight="1" x14ac:dyDescent="0.2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 spans="1:26" s="61" customFormat="1" ht="22.5" customHeight="1" x14ac:dyDescent="0.2"/>
    <row r="56" spans="1:26" s="61" customFormat="1" ht="22.5" customHeight="1" x14ac:dyDescent="0.2">
      <c r="A56" s="61" t="s">
        <v>119</v>
      </c>
    </row>
    <row r="57" spans="1:26" s="61" customFormat="1" ht="22.5" customHeight="1" x14ac:dyDescent="0.2">
      <c r="A57" s="287"/>
      <c r="B57" s="287"/>
      <c r="C57" s="287" t="s">
        <v>96</v>
      </c>
      <c r="D57" s="287"/>
      <c r="E57" s="287"/>
      <c r="F57" s="287" t="s">
        <v>97</v>
      </c>
      <c r="G57" s="287"/>
      <c r="H57" s="287"/>
      <c r="I57" s="287" t="s">
        <v>98</v>
      </c>
      <c r="J57" s="287"/>
      <c r="K57" s="287"/>
      <c r="L57" s="287" t="s">
        <v>99</v>
      </c>
      <c r="M57" s="287"/>
      <c r="N57" s="287"/>
      <c r="O57" s="287" t="s">
        <v>100</v>
      </c>
      <c r="P57" s="287"/>
      <c r="Q57" s="287"/>
      <c r="R57" s="287" t="s">
        <v>101</v>
      </c>
      <c r="S57" s="287"/>
      <c r="T57" s="287"/>
      <c r="U57" s="287" t="s">
        <v>102</v>
      </c>
      <c r="V57" s="287"/>
      <c r="W57" s="287"/>
      <c r="X57" s="65"/>
      <c r="Y57" s="65"/>
      <c r="Z57" s="65"/>
    </row>
    <row r="58" spans="1:26" s="61" customFormat="1" ht="22.5" customHeight="1" x14ac:dyDescent="0.2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65"/>
      <c r="Y58" s="65"/>
      <c r="Z58" s="65"/>
    </row>
    <row r="59" spans="1:26" s="61" customFormat="1" ht="22.5" customHeight="1" x14ac:dyDescent="0.2">
      <c r="A59" s="288" t="s">
        <v>113</v>
      </c>
      <c r="B59" s="289"/>
      <c r="C59" s="285" t="s">
        <v>103</v>
      </c>
      <c r="D59" s="285"/>
      <c r="E59" s="285"/>
      <c r="F59" s="286">
        <f>COUNTIFS('APENDICE 4 REGISTRO DE RESULTAD'!$AJ$14:$AJ$1001,"Oficial",'APENDICE 4 REGISTRO DE RESULTAD'!$J$14:$J$1001,"M")</f>
        <v>0</v>
      </c>
      <c r="G59" s="286"/>
      <c r="H59" s="286"/>
      <c r="I59" s="286">
        <f t="shared" ref="I59:I64" si="8">F59-L59</f>
        <v>0</v>
      </c>
      <c r="J59" s="286"/>
      <c r="K59" s="286"/>
      <c r="L59" s="286">
        <f>COUNTIFS('APENDICE 4 REGISTRO DE RESULTAD'!$AJ$14:$AJ$1001,"Oficial",'APENDICE 4 REGISTRO DE RESULTAD'!$J$14:$J$1001,"M",'APENDICE 4 REGISTRO DE RESULTAD'!$U$14:$U$1001,"-")</f>
        <v>0</v>
      </c>
      <c r="M59" s="286"/>
      <c r="N59" s="286"/>
      <c r="O59" s="286">
        <f>COUNTIFS('APENDICE 4 REGISTRO DE RESULTAD'!$AJ$14:$AJ$1001,"Oficial",'APENDICE 4 REGISTRO DE RESULTAD'!$J$14:$J$1001,"M",'APENDICE 4 REGISTRO DE RESULTAD'!$U$14:$U$1001,"&gt;=70")+COUNTIFS('APENDICE 4 REGISTRO DE RESULTAD'!$AJ$14:$AJ$1001,"Oficial",'APENDICE 4 REGISTRO DE RESULTAD'!$J$14:$J$1001,"M",'APENDICE 4 REGISTRO DE RESULTAD'!$U$14:$U$1001,"A")</f>
        <v>0</v>
      </c>
      <c r="P59" s="286"/>
      <c r="Q59" s="286"/>
      <c r="R59" s="286">
        <f t="shared" ref="R59:R64" si="9">I59-O59</f>
        <v>0</v>
      </c>
      <c r="S59" s="286"/>
      <c r="T59" s="286"/>
      <c r="U59" s="286"/>
      <c r="V59" s="286"/>
      <c r="W59" s="286"/>
      <c r="X59" s="65"/>
      <c r="Y59" s="65"/>
      <c r="Z59" s="65"/>
    </row>
    <row r="60" spans="1:26" s="61" customFormat="1" ht="22.5" customHeight="1" x14ac:dyDescent="0.2">
      <c r="A60" s="290"/>
      <c r="B60" s="291"/>
      <c r="C60" s="285" t="s">
        <v>104</v>
      </c>
      <c r="D60" s="285"/>
      <c r="E60" s="285"/>
      <c r="F60" s="286">
        <f>COUNTIFS('APENDICE 4 REGISTRO DE RESULTAD'!$AJ$14:$AJ$1001,"Oficial",'APENDICE 4 REGISTRO DE RESULTAD'!$J$14:$J$1001,"F")</f>
        <v>0</v>
      </c>
      <c r="G60" s="286"/>
      <c r="H60" s="286"/>
      <c r="I60" s="286">
        <f t="shared" si="8"/>
        <v>0</v>
      </c>
      <c r="J60" s="286"/>
      <c r="K60" s="286"/>
      <c r="L60" s="286">
        <f>COUNTIFS('APENDICE 4 REGISTRO DE RESULTAD'!$AJ$14:$AJ$1001,"Oficial",'APENDICE 4 REGISTRO DE RESULTAD'!$J$14:$J$1001,"F",'APENDICE 4 REGISTRO DE RESULTAD'!$U$14:$U$1001,"-")</f>
        <v>0</v>
      </c>
      <c r="M60" s="286"/>
      <c r="N60" s="286"/>
      <c r="O60" s="286">
        <f>COUNTIFS('APENDICE 4 REGISTRO DE RESULTAD'!$AJ$14:$AJ$1001,"Oficial",'APENDICE 4 REGISTRO DE RESULTAD'!$J$14:$J$1001,"F",'APENDICE 4 REGISTRO DE RESULTAD'!$U$14:$U$1001,"&gt;=70")+COUNTIFS('APENDICE 4 REGISTRO DE RESULTAD'!$AJ$14:$AJ$1001,"Oficial",'APENDICE 4 REGISTRO DE RESULTAD'!$J$14:$J$1001,"F",'APENDICE 4 REGISTRO DE RESULTAD'!$U$14:$U$1001,"A")</f>
        <v>0</v>
      </c>
      <c r="P60" s="286"/>
      <c r="Q60" s="286"/>
      <c r="R60" s="286">
        <f t="shared" si="9"/>
        <v>0</v>
      </c>
      <c r="S60" s="286"/>
      <c r="T60" s="286"/>
      <c r="U60" s="286"/>
      <c r="V60" s="286"/>
      <c r="W60" s="286"/>
      <c r="X60" s="65"/>
      <c r="Y60" s="65"/>
      <c r="Z60" s="65"/>
    </row>
    <row r="61" spans="1:26" s="61" customFormat="1" ht="22.5" customHeight="1" x14ac:dyDescent="0.2">
      <c r="A61" s="290"/>
      <c r="B61" s="291"/>
      <c r="C61" s="285" t="s">
        <v>105</v>
      </c>
      <c r="D61" s="285"/>
      <c r="E61" s="285"/>
      <c r="F61" s="286">
        <f>COUNTIFS('APENDICE 4 REGISTRO DE RESULTAD'!$AJ$14:$AJ$1001,"Subof",'APENDICE 4 REGISTRO DE RESULTAD'!$J$14:$J$1001,"M")</f>
        <v>0</v>
      </c>
      <c r="G61" s="286"/>
      <c r="H61" s="286"/>
      <c r="I61" s="286">
        <f t="shared" si="8"/>
        <v>0</v>
      </c>
      <c r="J61" s="286"/>
      <c r="K61" s="286"/>
      <c r="L61" s="286">
        <f>COUNTIFS('APENDICE 4 REGISTRO DE RESULTAD'!$AJ$14:$AJ$1001,"Subof",'APENDICE 4 REGISTRO DE RESULTAD'!$J$14:$J$1001,"M",'APENDICE 4 REGISTRO DE RESULTAD'!$U$14:$U$1001,"-")</f>
        <v>0</v>
      </c>
      <c r="M61" s="286"/>
      <c r="N61" s="286"/>
      <c r="O61" s="286">
        <f>COUNTIFS('APENDICE 4 REGISTRO DE RESULTAD'!$AJ$14:$AJ$1001,"Subof",'APENDICE 4 REGISTRO DE RESULTAD'!$J$14:$J$1001,"M",'APENDICE 4 REGISTRO DE RESULTAD'!$U$14:$U$1001,"&gt;=70")+COUNTIFS('APENDICE 4 REGISTRO DE RESULTAD'!$AJ$14:$AJ$1001,"Subof",'APENDICE 4 REGISTRO DE RESULTAD'!$J$14:$J$1001,"M",'APENDICE 4 REGISTRO DE RESULTAD'!$U$14:$U$1001,"A")</f>
        <v>0</v>
      </c>
      <c r="P61" s="286"/>
      <c r="Q61" s="286"/>
      <c r="R61" s="286">
        <f t="shared" si="9"/>
        <v>0</v>
      </c>
      <c r="S61" s="286"/>
      <c r="T61" s="286"/>
      <c r="U61" s="286"/>
      <c r="V61" s="286"/>
      <c r="W61" s="286"/>
      <c r="X61" s="65"/>
      <c r="Y61" s="65"/>
      <c r="Z61" s="65"/>
    </row>
    <row r="62" spans="1:26" s="61" customFormat="1" ht="22.5" customHeight="1" x14ac:dyDescent="0.2">
      <c r="A62" s="290"/>
      <c r="B62" s="291"/>
      <c r="C62" s="285" t="s">
        <v>106</v>
      </c>
      <c r="D62" s="285"/>
      <c r="E62" s="285"/>
      <c r="F62" s="286">
        <f>COUNTIFS('APENDICE 4 REGISTRO DE RESULTAD'!$AJ$14:$AJ$1001,"Subof",'APENDICE 4 REGISTRO DE RESULTAD'!$J$14:$J$1001,"F")</f>
        <v>0</v>
      </c>
      <c r="G62" s="286"/>
      <c r="H62" s="286"/>
      <c r="I62" s="286">
        <f t="shared" si="8"/>
        <v>0</v>
      </c>
      <c r="J62" s="286"/>
      <c r="K62" s="286"/>
      <c r="L62" s="286">
        <f>COUNTIFS('APENDICE 4 REGISTRO DE RESULTAD'!$AJ$14:$AJ$1001,"Subof",'APENDICE 4 REGISTRO DE RESULTAD'!$J$14:$J$1001,"F",'APENDICE 4 REGISTRO DE RESULTAD'!$U$14:$U$1001,"-")</f>
        <v>0</v>
      </c>
      <c r="M62" s="286"/>
      <c r="N62" s="286"/>
      <c r="O62" s="286">
        <f>COUNTIFS('APENDICE 4 REGISTRO DE RESULTAD'!$AJ$14:$AJ$1001,"Subof",'APENDICE 4 REGISTRO DE RESULTAD'!$J$14:$J$1001,"F",'APENDICE 4 REGISTRO DE RESULTAD'!$U$14:$U$1001,"&gt;=70")+COUNTIFS('APENDICE 4 REGISTRO DE RESULTAD'!$AJ$14:$AJ$1001,"Subof",'APENDICE 4 REGISTRO DE RESULTAD'!$J$14:$J$1001,"F",'APENDICE 4 REGISTRO DE RESULTAD'!$U$14:$U$1001,"A")</f>
        <v>0</v>
      </c>
      <c r="P62" s="286"/>
      <c r="Q62" s="286"/>
      <c r="R62" s="286">
        <f t="shared" si="9"/>
        <v>0</v>
      </c>
      <c r="S62" s="286"/>
      <c r="T62" s="286"/>
      <c r="U62" s="286"/>
      <c r="V62" s="286"/>
      <c r="W62" s="286"/>
      <c r="X62" s="65"/>
      <c r="Y62" s="65"/>
      <c r="Z62" s="65"/>
    </row>
    <row r="63" spans="1:26" s="61" customFormat="1" ht="22.5" customHeight="1" x14ac:dyDescent="0.2">
      <c r="A63" s="290"/>
      <c r="B63" s="291"/>
      <c r="C63" s="285" t="s">
        <v>107</v>
      </c>
      <c r="D63" s="285"/>
      <c r="E63" s="285"/>
      <c r="F63" s="286">
        <f>COUNTIFS('APENDICE 4 REGISTRO DE RESULTAD'!$AJ$14:$AJ$1001,"Vol",'APENDICE 4 REGISTRO DE RESULTAD'!$J$14:$J$1001,"M")</f>
        <v>0</v>
      </c>
      <c r="G63" s="286"/>
      <c r="H63" s="286"/>
      <c r="I63" s="286">
        <f t="shared" si="8"/>
        <v>0</v>
      </c>
      <c r="J63" s="286"/>
      <c r="K63" s="286"/>
      <c r="L63" s="286">
        <f>COUNTIFS('APENDICE 4 REGISTRO DE RESULTAD'!$AJ$14:$AJ$1001,"Vol",'APENDICE 4 REGISTRO DE RESULTAD'!$J$14:$J$1001,"M",'APENDICE 4 REGISTRO DE RESULTAD'!$U$14:$U$1001,"-")</f>
        <v>0</v>
      </c>
      <c r="M63" s="286"/>
      <c r="N63" s="286"/>
      <c r="O63" s="286">
        <f>COUNTIFS('APENDICE 4 REGISTRO DE RESULTAD'!$AJ$14:$AJ$1001,"Vol",'APENDICE 4 REGISTRO DE RESULTAD'!$J$14:$J$1001,"M",'APENDICE 4 REGISTRO DE RESULTAD'!$U$14:$U$1001,"&gt;=70")</f>
        <v>0</v>
      </c>
      <c r="P63" s="286"/>
      <c r="Q63" s="286"/>
      <c r="R63" s="286">
        <f t="shared" si="9"/>
        <v>0</v>
      </c>
      <c r="S63" s="286"/>
      <c r="T63" s="286"/>
      <c r="U63" s="286"/>
      <c r="V63" s="286"/>
      <c r="W63" s="286"/>
      <c r="X63" s="65"/>
      <c r="Y63" s="65"/>
      <c r="Z63" s="65"/>
    </row>
    <row r="64" spans="1:26" s="61" customFormat="1" ht="22.5" customHeight="1" x14ac:dyDescent="0.2">
      <c r="A64" s="292"/>
      <c r="B64" s="293"/>
      <c r="C64" s="285" t="s">
        <v>108</v>
      </c>
      <c r="D64" s="285"/>
      <c r="E64" s="285"/>
      <c r="F64" s="286">
        <f>COUNTIFS('APENDICE 4 REGISTRO DE RESULTAD'!$AJ$14:$AJ$1001,"Vol",'APENDICE 4 REGISTRO DE RESULTAD'!$J$14:$J$1001,"F")</f>
        <v>0</v>
      </c>
      <c r="G64" s="286"/>
      <c r="H64" s="286"/>
      <c r="I64" s="286">
        <f t="shared" si="8"/>
        <v>0</v>
      </c>
      <c r="J64" s="286"/>
      <c r="K64" s="286"/>
      <c r="L64" s="286">
        <f>COUNTIFS('APENDICE 4 REGISTRO DE RESULTAD'!$AJ$14:$AJ$1001,"Vol",'APENDICE 4 REGISTRO DE RESULTAD'!$J$14:$J$1001,"F",'APENDICE 4 REGISTRO DE RESULTAD'!$U$14:$U$1001,"-")</f>
        <v>0</v>
      </c>
      <c r="M64" s="286"/>
      <c r="N64" s="286"/>
      <c r="O64" s="286">
        <f>COUNTIFS('APENDICE 4 REGISTRO DE RESULTAD'!$AJ$14:$AJ$1001,"Vol",'APENDICE 4 REGISTRO DE RESULTAD'!$J$14:$J$1001,"F",'APENDICE 4 REGISTRO DE RESULTAD'!$U$14:$U$1001,"&gt;=70")</f>
        <v>0</v>
      </c>
      <c r="P64" s="286"/>
      <c r="Q64" s="286"/>
      <c r="R64" s="286">
        <f t="shared" si="9"/>
        <v>0</v>
      </c>
      <c r="S64" s="286"/>
      <c r="T64" s="286"/>
      <c r="U64" s="286"/>
      <c r="V64" s="286"/>
      <c r="W64" s="286"/>
      <c r="X64" s="65"/>
      <c r="Y64" s="65"/>
      <c r="Z64" s="65"/>
    </row>
    <row r="65" spans="1:26" s="61" customFormat="1" ht="22.5" customHeight="1" x14ac:dyDescent="0.2">
      <c r="A65" s="287" t="s">
        <v>109</v>
      </c>
      <c r="B65" s="287"/>
      <c r="C65" s="287"/>
      <c r="D65" s="287"/>
      <c r="E65" s="287"/>
      <c r="F65" s="287">
        <f>SUM(F59:H64)</f>
        <v>0</v>
      </c>
      <c r="G65" s="287"/>
      <c r="H65" s="287"/>
      <c r="I65" s="287">
        <f>SUM(I59:K64)</f>
        <v>0</v>
      </c>
      <c r="J65" s="287"/>
      <c r="K65" s="287"/>
      <c r="L65" s="287">
        <f>SUM(L59:N64)</f>
        <v>0</v>
      </c>
      <c r="M65" s="287"/>
      <c r="N65" s="287"/>
      <c r="O65" s="287">
        <f>SUM(O59:Q64)</f>
        <v>0</v>
      </c>
      <c r="P65" s="287"/>
      <c r="Q65" s="287"/>
      <c r="R65" s="287">
        <f>SUM(R59:T64)</f>
        <v>0</v>
      </c>
      <c r="S65" s="287"/>
      <c r="T65" s="287"/>
      <c r="U65" s="287"/>
      <c r="V65" s="287"/>
      <c r="W65" s="287"/>
      <c r="X65" s="65"/>
      <c r="Y65" s="65"/>
      <c r="Z65" s="65"/>
    </row>
    <row r="66" spans="1:26" s="65" customFormat="1" ht="22.5" customHeight="1" x14ac:dyDescent="0.2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 t="s">
        <v>198</v>
      </c>
      <c r="W66" s="66"/>
    </row>
    <row r="67" spans="1:26" s="61" customFormat="1" ht="22.5" customHeigh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5"/>
      <c r="Y67" s="65"/>
      <c r="Z67" s="65"/>
    </row>
    <row r="68" spans="1:26" s="65" customFormat="1" ht="22.5" customHeigh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 spans="1:26" s="35" customFormat="1" ht="22.5" customHeight="1" x14ac:dyDescent="0.2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4"/>
      <c r="P69" s="52"/>
      <c r="R69" s="52"/>
      <c r="S69" s="52"/>
      <c r="T69" s="52"/>
      <c r="U69" s="52"/>
      <c r="V69" s="52"/>
      <c r="W69" s="52"/>
      <c r="X69" s="53"/>
      <c r="Y69" s="53"/>
      <c r="Z69" s="53"/>
    </row>
    <row r="70" spans="1:26" s="35" customFormat="1" ht="22.5" customHeight="1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R70" s="55"/>
      <c r="S70" s="52"/>
      <c r="T70" s="52"/>
      <c r="U70" s="52"/>
      <c r="V70" s="52"/>
      <c r="W70" s="52"/>
      <c r="X70" s="53"/>
      <c r="Y70" s="53"/>
      <c r="Z70" s="53"/>
    </row>
    <row r="71" spans="1:26" s="35" customFormat="1" ht="22.5" customHeight="1" x14ac:dyDescent="0.2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3"/>
      <c r="Y71" s="53"/>
      <c r="Z71" s="53"/>
    </row>
    <row r="72" spans="1:26" s="35" customFormat="1" ht="22.5" customHeight="1" x14ac:dyDescent="0.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53"/>
      <c r="Z72" s="53"/>
    </row>
    <row r="73" spans="1:26" s="55" customFormat="1" ht="15.75" x14ac:dyDescent="0.25">
      <c r="F73" s="56"/>
      <c r="G73" s="57"/>
      <c r="H73" s="58"/>
      <c r="I73" s="59"/>
      <c r="J73" s="56"/>
      <c r="K73" s="56"/>
      <c r="M73" s="56"/>
    </row>
    <row r="74" spans="1:26" s="55" customFormat="1" ht="15.75" x14ac:dyDescent="0.25">
      <c r="F74" s="56"/>
      <c r="G74" s="57"/>
      <c r="H74" s="58"/>
      <c r="I74" s="59"/>
      <c r="J74" s="56"/>
      <c r="K74" s="56"/>
      <c r="M74" s="56"/>
    </row>
    <row r="75" spans="1:26" s="55" customFormat="1" ht="15.75" x14ac:dyDescent="0.25">
      <c r="F75" s="56"/>
      <c r="G75" s="57"/>
      <c r="H75" s="58"/>
      <c r="I75" s="59"/>
      <c r="J75" s="56"/>
      <c r="K75" s="56"/>
      <c r="M75" s="56"/>
    </row>
    <row r="76" spans="1:26" s="55" customFormat="1" ht="15.75" x14ac:dyDescent="0.25">
      <c r="F76" s="56"/>
      <c r="G76" s="57"/>
      <c r="H76" s="58"/>
      <c r="I76" s="59"/>
      <c r="J76" s="56"/>
      <c r="K76" s="56"/>
      <c r="M76" s="56"/>
    </row>
    <row r="77" spans="1:26" s="55" customFormat="1" ht="15.75" x14ac:dyDescent="0.25">
      <c r="F77" s="56"/>
      <c r="G77" s="57"/>
      <c r="H77" s="58"/>
      <c r="I77" s="59"/>
      <c r="J77" s="56"/>
      <c r="K77" s="56"/>
      <c r="M77" s="56"/>
    </row>
    <row r="78" spans="1:26" s="55" customFormat="1" ht="15.75" x14ac:dyDescent="0.25">
      <c r="E78" s="45"/>
      <c r="F78" s="56"/>
      <c r="G78" s="57"/>
      <c r="H78" s="58"/>
      <c r="I78" s="59"/>
      <c r="J78" s="56"/>
      <c r="K78" s="56"/>
      <c r="M78" s="56"/>
    </row>
    <row r="79" spans="1:26" s="55" customFormat="1" ht="15.75" x14ac:dyDescent="0.25">
      <c r="E79" s="49"/>
      <c r="F79" s="56"/>
      <c r="G79" s="57"/>
      <c r="H79" s="58"/>
      <c r="I79" s="59"/>
      <c r="J79" s="56"/>
      <c r="K79" s="56"/>
      <c r="M79" s="56"/>
    </row>
    <row r="80" spans="1:26" s="55" customFormat="1" ht="15.75" x14ac:dyDescent="0.25">
      <c r="E80" s="49"/>
      <c r="F80" s="56"/>
      <c r="G80" s="57"/>
      <c r="H80" s="58"/>
      <c r="I80" s="59"/>
      <c r="J80" s="56"/>
      <c r="K80" s="56"/>
      <c r="M80" s="56"/>
    </row>
    <row r="81" spans="5:13" s="55" customFormat="1" ht="15.75" x14ac:dyDescent="0.25">
      <c r="E81" s="60"/>
      <c r="F81" s="56"/>
      <c r="G81" s="57"/>
      <c r="H81" s="58"/>
      <c r="I81" s="59"/>
      <c r="J81" s="56"/>
      <c r="K81" s="56"/>
      <c r="M81" s="56"/>
    </row>
    <row r="82" spans="5:13" s="55" customFormat="1" ht="15.75" x14ac:dyDescent="0.25">
      <c r="E82" s="45"/>
      <c r="F82" s="56"/>
      <c r="G82" s="57"/>
      <c r="H82" s="58"/>
      <c r="I82" s="59"/>
      <c r="J82" s="56"/>
      <c r="K82" s="56"/>
      <c r="M82" s="56"/>
    </row>
    <row r="83" spans="5:13" s="55" customFormat="1" ht="15.75" x14ac:dyDescent="0.25">
      <c r="E83" s="45"/>
      <c r="F83" s="56"/>
      <c r="G83" s="57"/>
      <c r="H83" s="58"/>
      <c r="I83" s="59"/>
      <c r="J83" s="56"/>
      <c r="K83" s="56"/>
      <c r="M83" s="56"/>
    </row>
    <row r="84" spans="5:13" s="40" customFormat="1" ht="15.75" x14ac:dyDescent="0.2">
      <c r="E84" s="45"/>
      <c r="F84" s="41"/>
      <c r="G84" s="42"/>
      <c r="H84" s="43"/>
      <c r="I84" s="44"/>
      <c r="J84" s="41"/>
      <c r="K84" s="41"/>
      <c r="M84" s="41"/>
    </row>
    <row r="85" spans="5:13" s="40" customFormat="1" ht="15.75" x14ac:dyDescent="0.2">
      <c r="E85" s="45"/>
      <c r="F85" s="41"/>
      <c r="G85" s="42"/>
      <c r="H85" s="43"/>
      <c r="I85" s="44"/>
      <c r="J85" s="41"/>
      <c r="K85" s="41"/>
      <c r="M85" s="41"/>
    </row>
    <row r="86" spans="5:13" s="40" customFormat="1" ht="15.75" x14ac:dyDescent="0.2">
      <c r="E86" s="45"/>
      <c r="F86" s="41"/>
      <c r="G86" s="42"/>
      <c r="H86" s="43"/>
      <c r="I86" s="44"/>
      <c r="J86" s="41"/>
      <c r="K86" s="41"/>
      <c r="M86" s="41"/>
    </row>
  </sheetData>
  <mergeCells count="293">
    <mergeCell ref="A5:AE6"/>
    <mergeCell ref="A7:AE7"/>
    <mergeCell ref="U60:W60"/>
    <mergeCell ref="U25:W25"/>
    <mergeCell ref="U26:W26"/>
    <mergeCell ref="U21:W22"/>
    <mergeCell ref="U23:W23"/>
    <mergeCell ref="U35:W35"/>
    <mergeCell ref="U47:W47"/>
    <mergeCell ref="U48:W48"/>
    <mergeCell ref="U49:W49"/>
    <mergeCell ref="U57:W58"/>
    <mergeCell ref="U17:W17"/>
    <mergeCell ref="U18:W18"/>
    <mergeCell ref="U45:W46"/>
    <mergeCell ref="U24:W24"/>
    <mergeCell ref="U40:W40"/>
    <mergeCell ref="U50:W50"/>
    <mergeCell ref="U51:W51"/>
    <mergeCell ref="U52:W52"/>
    <mergeCell ref="U53:W53"/>
    <mergeCell ref="U10:W11"/>
    <mergeCell ref="U12:W12"/>
    <mergeCell ref="U13:W13"/>
    <mergeCell ref="U14:W14"/>
    <mergeCell ref="U15:W15"/>
    <mergeCell ref="F12:H12"/>
    <mergeCell ref="F14:H14"/>
    <mergeCell ref="R10:T11"/>
    <mergeCell ref="U16:W16"/>
    <mergeCell ref="I16:K16"/>
    <mergeCell ref="L16:N16"/>
    <mergeCell ref="O16:Q16"/>
    <mergeCell ref="R16:T16"/>
    <mergeCell ref="R17:T17"/>
    <mergeCell ref="F16:H16"/>
    <mergeCell ref="C12:E12"/>
    <mergeCell ref="C13:E13"/>
    <mergeCell ref="C14:E14"/>
    <mergeCell ref="C15:E15"/>
    <mergeCell ref="I12:K12"/>
    <mergeCell ref="L12:N12"/>
    <mergeCell ref="O12:Q12"/>
    <mergeCell ref="R12:T12"/>
    <mergeCell ref="C16:E16"/>
    <mergeCell ref="R15:T15"/>
    <mergeCell ref="F13:H13"/>
    <mergeCell ref="I13:K13"/>
    <mergeCell ref="L13:N13"/>
    <mergeCell ref="R13:T13"/>
    <mergeCell ref="O13:Q13"/>
    <mergeCell ref="I14:K14"/>
    <mergeCell ref="L14:N14"/>
    <mergeCell ref="O14:Q14"/>
    <mergeCell ref="R14:T14"/>
    <mergeCell ref="F15:H15"/>
    <mergeCell ref="I15:K15"/>
    <mergeCell ref="O21:Q22"/>
    <mergeCell ref="C10:E11"/>
    <mergeCell ref="F10:H11"/>
    <mergeCell ref="I10:K11"/>
    <mergeCell ref="L10:N11"/>
    <mergeCell ref="O10:Q11"/>
    <mergeCell ref="L15:N15"/>
    <mergeCell ref="O15:Q15"/>
    <mergeCell ref="F17:H17"/>
    <mergeCell ref="I17:K17"/>
    <mergeCell ref="L17:N17"/>
    <mergeCell ref="O17:Q17"/>
    <mergeCell ref="F18:H18"/>
    <mergeCell ref="I18:K18"/>
    <mergeCell ref="L18:N18"/>
    <mergeCell ref="O18:Q18"/>
    <mergeCell ref="R18:T18"/>
    <mergeCell ref="O24:Q24"/>
    <mergeCell ref="R24:T24"/>
    <mergeCell ref="C25:E25"/>
    <mergeCell ref="F25:H25"/>
    <mergeCell ref="I25:K25"/>
    <mergeCell ref="L25:N25"/>
    <mergeCell ref="O25:Q25"/>
    <mergeCell ref="R25:T25"/>
    <mergeCell ref="C24:E24"/>
    <mergeCell ref="F24:H24"/>
    <mergeCell ref="I24:K24"/>
    <mergeCell ref="L24:N24"/>
    <mergeCell ref="R21:T22"/>
    <mergeCell ref="C23:E23"/>
    <mergeCell ref="F23:H23"/>
    <mergeCell ref="I23:K23"/>
    <mergeCell ref="L23:N23"/>
    <mergeCell ref="O23:Q23"/>
    <mergeCell ref="R23:T23"/>
    <mergeCell ref="C21:E22"/>
    <mergeCell ref="F21:H22"/>
    <mergeCell ref="I21:K22"/>
    <mergeCell ref="L21:N22"/>
    <mergeCell ref="F27:H27"/>
    <mergeCell ref="I27:K27"/>
    <mergeCell ref="L27:N27"/>
    <mergeCell ref="O27:Q27"/>
    <mergeCell ref="R27:T27"/>
    <mergeCell ref="U27:W27"/>
    <mergeCell ref="U28:W28"/>
    <mergeCell ref="C26:E26"/>
    <mergeCell ref="F26:H26"/>
    <mergeCell ref="I26:K26"/>
    <mergeCell ref="L26:N26"/>
    <mergeCell ref="O26:Q26"/>
    <mergeCell ref="R26:T26"/>
    <mergeCell ref="F29:H29"/>
    <mergeCell ref="I29:K29"/>
    <mergeCell ref="L29:N29"/>
    <mergeCell ref="O29:Q29"/>
    <mergeCell ref="R29:T29"/>
    <mergeCell ref="U29:W29"/>
    <mergeCell ref="U32:W33"/>
    <mergeCell ref="U34:W34"/>
    <mergeCell ref="C28:E28"/>
    <mergeCell ref="F28:H28"/>
    <mergeCell ref="I28:K28"/>
    <mergeCell ref="L28:N28"/>
    <mergeCell ref="O28:Q28"/>
    <mergeCell ref="R28:T28"/>
    <mergeCell ref="C32:E33"/>
    <mergeCell ref="F32:H33"/>
    <mergeCell ref="I32:K33"/>
    <mergeCell ref="L32:N33"/>
    <mergeCell ref="O32:Q33"/>
    <mergeCell ref="R32:T33"/>
    <mergeCell ref="C34:E34"/>
    <mergeCell ref="F34:H34"/>
    <mergeCell ref="I34:K34"/>
    <mergeCell ref="L34:N34"/>
    <mergeCell ref="O34:Q34"/>
    <mergeCell ref="R34:T34"/>
    <mergeCell ref="F36:H36"/>
    <mergeCell ref="I36:K36"/>
    <mergeCell ref="L36:N36"/>
    <mergeCell ref="O36:Q36"/>
    <mergeCell ref="R36:T36"/>
    <mergeCell ref="F35:H35"/>
    <mergeCell ref="I35:K35"/>
    <mergeCell ref="L35:N35"/>
    <mergeCell ref="F38:H38"/>
    <mergeCell ref="I38:K38"/>
    <mergeCell ref="L38:N38"/>
    <mergeCell ref="O38:Q38"/>
    <mergeCell ref="O35:Q35"/>
    <mergeCell ref="R35:T35"/>
    <mergeCell ref="R38:T38"/>
    <mergeCell ref="U38:W38"/>
    <mergeCell ref="U39:W39"/>
    <mergeCell ref="F37:H37"/>
    <mergeCell ref="I37:K37"/>
    <mergeCell ref="L37:N37"/>
    <mergeCell ref="O37:Q37"/>
    <mergeCell ref="R37:T37"/>
    <mergeCell ref="U36:W36"/>
    <mergeCell ref="U37:W37"/>
    <mergeCell ref="F39:H39"/>
    <mergeCell ref="I39:K39"/>
    <mergeCell ref="L39:N39"/>
    <mergeCell ref="O39:Q39"/>
    <mergeCell ref="R39:T39"/>
    <mergeCell ref="F45:H46"/>
    <mergeCell ref="I45:K46"/>
    <mergeCell ref="L45:N46"/>
    <mergeCell ref="O45:Q46"/>
    <mergeCell ref="R45:T46"/>
    <mergeCell ref="F40:H40"/>
    <mergeCell ref="I40:K40"/>
    <mergeCell ref="L40:N40"/>
    <mergeCell ref="O40:Q40"/>
    <mergeCell ref="R40:T40"/>
    <mergeCell ref="F48:H48"/>
    <mergeCell ref="I48:K48"/>
    <mergeCell ref="L48:N48"/>
    <mergeCell ref="O48:Q48"/>
    <mergeCell ref="R48:T48"/>
    <mergeCell ref="F47:H47"/>
    <mergeCell ref="I47:K47"/>
    <mergeCell ref="L47:N47"/>
    <mergeCell ref="O47:Q47"/>
    <mergeCell ref="R47:T47"/>
    <mergeCell ref="F50:H50"/>
    <mergeCell ref="I50:K50"/>
    <mergeCell ref="L50:N50"/>
    <mergeCell ref="O50:Q50"/>
    <mergeCell ref="R50:T50"/>
    <mergeCell ref="C49:E49"/>
    <mergeCell ref="F49:H49"/>
    <mergeCell ref="I49:K49"/>
    <mergeCell ref="L49:N49"/>
    <mergeCell ref="O49:Q49"/>
    <mergeCell ref="R49:T49"/>
    <mergeCell ref="C50:E50"/>
    <mergeCell ref="A10:B11"/>
    <mergeCell ref="A12:B17"/>
    <mergeCell ref="A21:B22"/>
    <mergeCell ref="A23:B28"/>
    <mergeCell ref="A32:B33"/>
    <mergeCell ref="A34:B39"/>
    <mergeCell ref="A45:B46"/>
    <mergeCell ref="A47:B52"/>
    <mergeCell ref="A53:E53"/>
    <mergeCell ref="C52:E52"/>
    <mergeCell ref="C51:E51"/>
    <mergeCell ref="C48:E48"/>
    <mergeCell ref="C45:E46"/>
    <mergeCell ref="C38:E38"/>
    <mergeCell ref="C36:E36"/>
    <mergeCell ref="A29:E29"/>
    <mergeCell ref="C27:E27"/>
    <mergeCell ref="C47:E47"/>
    <mergeCell ref="A40:E40"/>
    <mergeCell ref="C39:E39"/>
    <mergeCell ref="C37:E37"/>
    <mergeCell ref="C35:E35"/>
    <mergeCell ref="C17:E17"/>
    <mergeCell ref="A18:E18"/>
    <mergeCell ref="O51:Q51"/>
    <mergeCell ref="R51:T51"/>
    <mergeCell ref="F52:H52"/>
    <mergeCell ref="R53:T53"/>
    <mergeCell ref="R57:T58"/>
    <mergeCell ref="A57:B58"/>
    <mergeCell ref="C57:E58"/>
    <mergeCell ref="F57:H58"/>
    <mergeCell ref="I57:K58"/>
    <mergeCell ref="L57:N58"/>
    <mergeCell ref="F53:H53"/>
    <mergeCell ref="I53:K53"/>
    <mergeCell ref="L53:N53"/>
    <mergeCell ref="O53:Q53"/>
    <mergeCell ref="O57:Q58"/>
    <mergeCell ref="A65:E65"/>
    <mergeCell ref="F65:H65"/>
    <mergeCell ref="I65:K65"/>
    <mergeCell ref="L65:N65"/>
    <mergeCell ref="O65:Q65"/>
    <mergeCell ref="R65:T65"/>
    <mergeCell ref="U65:W65"/>
    <mergeCell ref="A59:B64"/>
    <mergeCell ref="C59:E59"/>
    <mergeCell ref="F59:H59"/>
    <mergeCell ref="I59:K59"/>
    <mergeCell ref="L59:N59"/>
    <mergeCell ref="O59:Q59"/>
    <mergeCell ref="R59:T59"/>
    <mergeCell ref="U59:W59"/>
    <mergeCell ref="C60:E60"/>
    <mergeCell ref="F60:H60"/>
    <mergeCell ref="C63:E63"/>
    <mergeCell ref="F63:H63"/>
    <mergeCell ref="I63:K63"/>
    <mergeCell ref="L63:N63"/>
    <mergeCell ref="O63:Q63"/>
    <mergeCell ref="R63:T63"/>
    <mergeCell ref="U63:W63"/>
    <mergeCell ref="C64:E64"/>
    <mergeCell ref="F64:H64"/>
    <mergeCell ref="I64:K64"/>
    <mergeCell ref="L64:N64"/>
    <mergeCell ref="O64:Q64"/>
    <mergeCell ref="R64:T64"/>
    <mergeCell ref="U64:W64"/>
    <mergeCell ref="C62:E62"/>
    <mergeCell ref="F62:H62"/>
    <mergeCell ref="Q1:X1"/>
    <mergeCell ref="C61:E61"/>
    <mergeCell ref="F61:H61"/>
    <mergeCell ref="I61:K61"/>
    <mergeCell ref="L61:N61"/>
    <mergeCell ref="O61:Q61"/>
    <mergeCell ref="R61:T61"/>
    <mergeCell ref="U61:W61"/>
    <mergeCell ref="I62:K62"/>
    <mergeCell ref="L62:N62"/>
    <mergeCell ref="O62:Q62"/>
    <mergeCell ref="R62:T62"/>
    <mergeCell ref="U62:W62"/>
    <mergeCell ref="I52:K52"/>
    <mergeCell ref="L52:N52"/>
    <mergeCell ref="O52:Q52"/>
    <mergeCell ref="R52:T52"/>
    <mergeCell ref="F51:H51"/>
    <mergeCell ref="I51:K51"/>
    <mergeCell ref="L51:N51"/>
    <mergeCell ref="I60:K60"/>
    <mergeCell ref="L60:N60"/>
    <mergeCell ref="O60:Q60"/>
    <mergeCell ref="R60:T60"/>
  </mergeCells>
  <printOptions horizontalCentered="1"/>
  <pageMargins left="0.19685039370078741" right="0.19685039370078741" top="0.59055118110236227" bottom="0.39370078740157483" header="0.39370078740157483" footer="0.39370078740157483"/>
  <pageSetup paperSize="5" scale="55" orientation="landscape" r:id="rId1"/>
  <headerFooter>
    <oddFooter>&amp;C&amp;P -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CCFFFF"/>
  </sheetPr>
  <dimension ref="A1:AE87"/>
  <sheetViews>
    <sheetView topLeftCell="A52" zoomScale="60" zoomScaleNormal="60" workbookViewId="0">
      <selection activeCell="O35" sqref="O35:Q35"/>
    </sheetView>
  </sheetViews>
  <sheetFormatPr baseColWidth="10" defaultRowHeight="22.5" customHeight="1" x14ac:dyDescent="0.2"/>
  <cols>
    <col min="2" max="2" width="8" customWidth="1"/>
    <col min="3" max="3" width="8.7109375" customWidth="1"/>
    <col min="4" max="4" width="8" customWidth="1"/>
    <col min="5" max="5" width="3.7109375" customWidth="1"/>
    <col min="6" max="13" width="8.28515625" customWidth="1"/>
    <col min="14" max="14" width="12.42578125" customWidth="1"/>
    <col min="15" max="19" width="8.28515625" customWidth="1"/>
    <col min="20" max="20" width="8.42578125" customWidth="1"/>
    <col min="21" max="22" width="7.42578125" customWidth="1"/>
    <col min="23" max="23" width="9.7109375" customWidth="1"/>
    <col min="24" max="26" width="8.42578125" customWidth="1"/>
  </cols>
  <sheetData>
    <row r="1" spans="1:31" s="49" customFormat="1" ht="22.5" customHeight="1" x14ac:dyDescent="0.3">
      <c r="A1" s="64" t="s">
        <v>145</v>
      </c>
      <c r="B1" s="132"/>
      <c r="C1" s="132"/>
      <c r="D1" s="132"/>
      <c r="E1" s="132"/>
      <c r="F1" s="133"/>
      <c r="G1" s="132"/>
      <c r="H1" s="134"/>
      <c r="I1" s="132"/>
      <c r="J1" s="135"/>
      <c r="K1" s="133"/>
      <c r="L1" s="136"/>
      <c r="M1" s="136"/>
      <c r="N1" s="136"/>
      <c r="O1" s="132"/>
      <c r="P1" s="136"/>
      <c r="Q1" s="275"/>
      <c r="R1" s="275"/>
      <c r="S1" s="275"/>
      <c r="T1" s="275"/>
      <c r="U1" s="275"/>
      <c r="V1" s="275"/>
      <c r="W1" s="275"/>
      <c r="X1" s="275"/>
      <c r="Y1" s="48"/>
    </row>
    <row r="2" spans="1:31" s="49" customFormat="1" ht="22.5" customHeight="1" x14ac:dyDescent="0.3">
      <c r="A2" s="64" t="s">
        <v>144</v>
      </c>
      <c r="B2" s="136"/>
      <c r="C2" s="132"/>
      <c r="D2" s="132"/>
      <c r="E2" s="132"/>
      <c r="F2" s="135"/>
      <c r="G2" s="132"/>
      <c r="H2" s="134"/>
      <c r="I2" s="132"/>
      <c r="J2" s="135"/>
      <c r="K2" s="133"/>
      <c r="L2" s="136"/>
      <c r="M2" s="135"/>
      <c r="N2" s="136"/>
      <c r="O2" s="132"/>
      <c r="P2" s="132"/>
      <c r="Q2" s="136"/>
      <c r="R2" s="136"/>
      <c r="S2" s="136"/>
      <c r="T2" s="62"/>
      <c r="U2" s="136"/>
      <c r="V2" s="132"/>
      <c r="W2" s="136"/>
      <c r="X2" s="136"/>
      <c r="Y2" s="48"/>
    </row>
    <row r="3" spans="1:31" s="6" customFormat="1" ht="22.5" customHeight="1" x14ac:dyDescent="0.25">
      <c r="A3" s="38"/>
      <c r="B3" s="37"/>
      <c r="C3" s="37"/>
      <c r="D3" s="37"/>
      <c r="E3" s="9"/>
      <c r="F3" s="7"/>
      <c r="G3" s="36"/>
      <c r="I3" s="7"/>
      <c r="K3" s="9"/>
      <c r="O3" s="9"/>
      <c r="S3" s="39"/>
      <c r="T3" s="9"/>
      <c r="Y3" s="36"/>
    </row>
    <row r="4" spans="1:31" s="6" customFormat="1" ht="19.5" customHeight="1" x14ac:dyDescent="0.25">
      <c r="A4" s="38"/>
      <c r="B4" s="37"/>
      <c r="C4" s="37"/>
      <c r="D4" s="37"/>
      <c r="E4" s="9"/>
      <c r="F4" s="7"/>
      <c r="G4" s="36"/>
      <c r="I4" s="7"/>
      <c r="K4" s="9"/>
      <c r="O4" s="9"/>
      <c r="R4" s="39"/>
      <c r="T4" s="9"/>
      <c r="Y4" s="36"/>
    </row>
    <row r="5" spans="1:31" s="34" customFormat="1" ht="28.5" customHeight="1" x14ac:dyDescent="0.2">
      <c r="A5" s="300" t="s">
        <v>181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</row>
    <row r="6" spans="1:31" s="34" customFormat="1" ht="28.5" customHeight="1" x14ac:dyDescent="0.2">
      <c r="A6" s="300"/>
      <c r="B6" s="300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</row>
    <row r="7" spans="1:31" s="34" customFormat="1" ht="28.5" customHeight="1" x14ac:dyDescent="0.2">
      <c r="A7" s="300" t="s">
        <v>180</v>
      </c>
      <c r="B7" s="300"/>
      <c r="C7" s="300"/>
      <c r="D7" s="300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00"/>
    </row>
    <row r="8" spans="1:31" s="34" customFormat="1" ht="28.5" customHeight="1" x14ac:dyDescent="0.2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Y8" s="63"/>
    </row>
    <row r="9" spans="1:31" s="61" customFormat="1" ht="22.5" customHeight="1" x14ac:dyDescent="0.2">
      <c r="A9" s="61" t="s">
        <v>116</v>
      </c>
    </row>
    <row r="10" spans="1:31" s="61" customFormat="1" ht="22.5" customHeight="1" x14ac:dyDescent="0.2">
      <c r="A10" s="307" t="s">
        <v>110</v>
      </c>
      <c r="B10" s="307"/>
      <c r="C10" s="307" t="s">
        <v>96</v>
      </c>
      <c r="D10" s="307"/>
      <c r="E10" s="307"/>
      <c r="F10" s="307" t="s">
        <v>97</v>
      </c>
      <c r="G10" s="307"/>
      <c r="H10" s="307"/>
      <c r="I10" s="307" t="s">
        <v>98</v>
      </c>
      <c r="J10" s="307"/>
      <c r="K10" s="307"/>
      <c r="L10" s="307" t="s">
        <v>99</v>
      </c>
      <c r="M10" s="307"/>
      <c r="N10" s="307"/>
      <c r="O10" s="307" t="s">
        <v>100</v>
      </c>
      <c r="P10" s="307"/>
      <c r="Q10" s="307"/>
      <c r="R10" s="307" t="s">
        <v>101</v>
      </c>
      <c r="S10" s="307"/>
      <c r="T10" s="307"/>
      <c r="U10" s="307" t="s">
        <v>102</v>
      </c>
      <c r="V10" s="307"/>
      <c r="W10" s="307"/>
    </row>
    <row r="11" spans="1:31" s="61" customFormat="1" ht="22.5" customHeight="1" x14ac:dyDescent="0.2">
      <c r="A11" s="307"/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</row>
    <row r="12" spans="1:31" s="61" customFormat="1" ht="22.5" customHeight="1" x14ac:dyDescent="0.2">
      <c r="A12" s="301" t="s">
        <v>114</v>
      </c>
      <c r="B12" s="302"/>
      <c r="C12" s="285" t="s">
        <v>103</v>
      </c>
      <c r="D12" s="285"/>
      <c r="E12" s="285"/>
      <c r="F12" s="294">
        <f>COUNTIFS('APENDICE 4 REGISTRO DE RESULTAD'!$AJ$14:$AJ$240,"Oficial",'APENDICE 4 REGISTRO DE RESULTAD'!$J$14:$J$240,"M")</f>
        <v>0</v>
      </c>
      <c r="G12" s="295"/>
      <c r="H12" s="296"/>
      <c r="I12" s="294">
        <f t="shared" ref="I12:I17" si="0">F12-L12</f>
        <v>0</v>
      </c>
      <c r="J12" s="295"/>
      <c r="K12" s="296"/>
      <c r="L12" s="294">
        <f>COUNTIFS('APENDICE 4 REGISTRO DE RESULTAD'!$AJ$14:$AJ$240,"Oficial",'APENDICE 4 REGISTRO DE RESULTAD'!$J$14:$J$240,"M",'APENDICE 4 REGISTRO DE RESULTAD'!$X$14:$X$240,"-")</f>
        <v>0</v>
      </c>
      <c r="M12" s="295"/>
      <c r="N12" s="296"/>
      <c r="O12" s="294">
        <f>COUNTIFS('APENDICE 4 REGISTRO DE RESULTAD'!$AJ$14:$AJ$240,"Oficial",'APENDICE 4 REGISTRO DE RESULTAD'!$J$14:$J$240,"M",'APENDICE 4 REGISTRO DE RESULTAD'!$X$14:$X$240,"&gt;=70")+COUNTIFS('APENDICE 4 REGISTRO DE RESULTAD'!$AJ$14:$AJ$240,"Oficial",'APENDICE 4 REGISTRO DE RESULTAD'!$J$14:$J$240,"M",'APENDICE 4 REGISTRO DE RESULTAD'!$X$14:$X$240,"A")</f>
        <v>0</v>
      </c>
      <c r="P12" s="295"/>
      <c r="Q12" s="296"/>
      <c r="R12" s="294">
        <f t="shared" ref="R12:R17" si="1">I12-O12</f>
        <v>0</v>
      </c>
      <c r="S12" s="295"/>
      <c r="T12" s="296"/>
      <c r="U12" s="286"/>
      <c r="V12" s="286"/>
      <c r="W12" s="286"/>
    </row>
    <row r="13" spans="1:31" s="61" customFormat="1" ht="22.5" customHeight="1" x14ac:dyDescent="0.2">
      <c r="A13" s="303"/>
      <c r="B13" s="304"/>
      <c r="C13" s="285" t="s">
        <v>104</v>
      </c>
      <c r="D13" s="285"/>
      <c r="E13" s="285"/>
      <c r="F13" s="294">
        <f>COUNTIFS('APENDICE 4 REGISTRO DE RESULTAD'!$AJ$14:$AJ$240,"Oficial",'APENDICE 4 REGISTRO DE RESULTAD'!$J$14:$J$240,"F")</f>
        <v>0</v>
      </c>
      <c r="G13" s="295"/>
      <c r="H13" s="296"/>
      <c r="I13" s="294">
        <f t="shared" si="0"/>
        <v>0</v>
      </c>
      <c r="J13" s="295"/>
      <c r="K13" s="296"/>
      <c r="L13" s="294">
        <f>COUNTIFS('APENDICE 4 REGISTRO DE RESULTAD'!$AJ$14:$AJ$240,"Oficial",'APENDICE 4 REGISTRO DE RESULTAD'!$J$14:$J$240,"F",'APENDICE 4 REGISTRO DE RESULTAD'!$X$14:$X$240,"-")</f>
        <v>0</v>
      </c>
      <c r="M13" s="295"/>
      <c r="N13" s="296"/>
      <c r="O13" s="294">
        <f>COUNTIFS('APENDICE 4 REGISTRO DE RESULTAD'!$AJ$14:$AJ$240,"Oficial",'APENDICE 4 REGISTRO DE RESULTAD'!$J$14:$J$240,"F",'APENDICE 4 REGISTRO DE RESULTAD'!$X$14:$X$240,"&gt;=70")+COUNTIFS('APENDICE 4 REGISTRO DE RESULTAD'!$AJ$14:$AJ$240,"Oficial",'APENDICE 4 REGISTRO DE RESULTAD'!$J$14:$J$240,"F",'APENDICE 4 REGISTRO DE RESULTAD'!$X$14:$X$240,"A")</f>
        <v>0</v>
      </c>
      <c r="P13" s="295"/>
      <c r="Q13" s="296"/>
      <c r="R13" s="294">
        <f t="shared" si="1"/>
        <v>0</v>
      </c>
      <c r="S13" s="295"/>
      <c r="T13" s="296"/>
      <c r="U13" s="286"/>
      <c r="V13" s="286"/>
      <c r="W13" s="286"/>
    </row>
    <row r="14" spans="1:31" s="61" customFormat="1" ht="22.5" customHeight="1" x14ac:dyDescent="0.2">
      <c r="A14" s="303"/>
      <c r="B14" s="304"/>
      <c r="C14" s="285" t="s">
        <v>105</v>
      </c>
      <c r="D14" s="285"/>
      <c r="E14" s="285"/>
      <c r="F14" s="294">
        <f>COUNTIFS('APENDICE 4 REGISTRO DE RESULTAD'!$AJ$14:$AJ$240,"Subof",'APENDICE 4 REGISTRO DE RESULTAD'!$J$14:$J$240,"M")</f>
        <v>0</v>
      </c>
      <c r="G14" s="295"/>
      <c r="H14" s="296"/>
      <c r="I14" s="294">
        <f t="shared" si="0"/>
        <v>0</v>
      </c>
      <c r="J14" s="295"/>
      <c r="K14" s="296"/>
      <c r="L14" s="294">
        <f>COUNTIFS('APENDICE 4 REGISTRO DE RESULTAD'!$AJ$14:$AJ$240,"Subof",'APENDICE 4 REGISTRO DE RESULTAD'!$J$14:$J$240,"M",'APENDICE 4 REGISTRO DE RESULTAD'!$X$14:$X$240,"-")</f>
        <v>0</v>
      </c>
      <c r="M14" s="295"/>
      <c r="N14" s="296"/>
      <c r="O14" s="294">
        <f>COUNTIFS('APENDICE 4 REGISTRO DE RESULTAD'!$AJ$14:$AJ$240,"Subof",'APENDICE 4 REGISTRO DE RESULTAD'!$J$14:$J$240,"M",'APENDICE 4 REGISTRO DE RESULTAD'!$X$14:$X$240,"&gt;=70")+COUNTIFS('APENDICE 4 REGISTRO DE RESULTAD'!$AJ$14:$AJ$240,"Subof",'APENDICE 4 REGISTRO DE RESULTAD'!$J$14:$J$240,"M",'APENDICE 4 REGISTRO DE RESULTAD'!$X$14:$X$240,"A")</f>
        <v>0</v>
      </c>
      <c r="P14" s="295"/>
      <c r="Q14" s="296"/>
      <c r="R14" s="294">
        <f t="shared" si="1"/>
        <v>0</v>
      </c>
      <c r="S14" s="295"/>
      <c r="T14" s="296"/>
      <c r="U14" s="286"/>
      <c r="V14" s="286"/>
      <c r="W14" s="286"/>
    </row>
    <row r="15" spans="1:31" s="61" customFormat="1" ht="22.5" customHeight="1" x14ac:dyDescent="0.2">
      <c r="A15" s="303"/>
      <c r="B15" s="304"/>
      <c r="C15" s="285" t="s">
        <v>106</v>
      </c>
      <c r="D15" s="285"/>
      <c r="E15" s="285"/>
      <c r="F15" s="294">
        <f>COUNTIFS('APENDICE 4 REGISTRO DE RESULTAD'!$AJ$14:$AJ$240,"Subof",'APENDICE 4 REGISTRO DE RESULTAD'!$J$14:$J$240,"F")</f>
        <v>0</v>
      </c>
      <c r="G15" s="295"/>
      <c r="H15" s="296"/>
      <c r="I15" s="294">
        <f t="shared" si="0"/>
        <v>0</v>
      </c>
      <c r="J15" s="295"/>
      <c r="K15" s="296"/>
      <c r="L15" s="294">
        <f>COUNTIFS('APENDICE 4 REGISTRO DE RESULTAD'!$AJ$14:$AJ$240,"Subof",'APENDICE 4 REGISTRO DE RESULTAD'!$J$14:$J$240,"F",'APENDICE 4 REGISTRO DE RESULTAD'!$X$14:$X$240,"-")</f>
        <v>0</v>
      </c>
      <c r="M15" s="295"/>
      <c r="N15" s="296"/>
      <c r="O15" s="294">
        <f>COUNTIFS('APENDICE 4 REGISTRO DE RESULTAD'!$AJ$14:$AJ$240,"Subof",'APENDICE 4 REGISTRO DE RESULTAD'!$J$14:$J$240,"F",'APENDICE 4 REGISTRO DE RESULTAD'!$X$14:$X$240,"&gt;=70")+COUNTIFS('APENDICE 4 REGISTRO DE RESULTAD'!$AJ$14:$AJ$240,"Subof",'APENDICE 4 REGISTRO DE RESULTAD'!$J$14:$J$240,"F",'APENDICE 4 REGISTRO DE RESULTAD'!$X$14:$X$240,"A")</f>
        <v>0</v>
      </c>
      <c r="P15" s="295"/>
      <c r="Q15" s="296"/>
      <c r="R15" s="294">
        <f t="shared" si="1"/>
        <v>0</v>
      </c>
      <c r="S15" s="295"/>
      <c r="T15" s="296"/>
      <c r="U15" s="286"/>
      <c r="V15" s="286"/>
      <c r="W15" s="286"/>
    </row>
    <row r="16" spans="1:31" s="61" customFormat="1" ht="22.5" customHeight="1" x14ac:dyDescent="0.2">
      <c r="A16" s="303"/>
      <c r="B16" s="304"/>
      <c r="C16" s="285" t="s">
        <v>107</v>
      </c>
      <c r="D16" s="285"/>
      <c r="E16" s="285"/>
      <c r="F16" s="294">
        <f>COUNTIFS('APENDICE 4 REGISTRO DE RESULTAD'!$AJ$14:$AJ$240,"Vol",'APENDICE 4 REGISTRO DE RESULTAD'!$J$14:$J$240,"M")</f>
        <v>0</v>
      </c>
      <c r="G16" s="295"/>
      <c r="H16" s="296"/>
      <c r="I16" s="294">
        <f t="shared" si="0"/>
        <v>0</v>
      </c>
      <c r="J16" s="295"/>
      <c r="K16" s="296"/>
      <c r="L16" s="294">
        <f>COUNTIFS('APENDICE 4 REGISTRO DE RESULTAD'!$AJ$14:$AJ$240,"Vol",'APENDICE 4 REGISTRO DE RESULTAD'!$J$14:$J$240,"M",'APENDICE 4 REGISTRO DE RESULTAD'!$X$14:$X$240,"-")</f>
        <v>0</v>
      </c>
      <c r="M16" s="295"/>
      <c r="N16" s="296"/>
      <c r="O16" s="294">
        <f>COUNTIFS('APENDICE 4 REGISTRO DE RESULTAD'!$AJ$14:$AJ$240,"Vol",'APENDICE 4 REGISTRO DE RESULTAD'!$J$14:$J$240,"M",'APENDICE 4 REGISTRO DE RESULTAD'!$X$14:$X$240,"&gt;=70")+COUNTIFS('APENDICE 4 REGISTRO DE RESULTAD'!$AJ$14:$AJ$240,"Vol",'APENDICE 4 REGISTRO DE RESULTAD'!$J$14:$J$240,"M",'APENDICE 4 REGISTRO DE RESULTAD'!$X$14:$X$240,"A")</f>
        <v>0</v>
      </c>
      <c r="P16" s="295"/>
      <c r="Q16" s="296"/>
      <c r="R16" s="294">
        <f t="shared" si="1"/>
        <v>0</v>
      </c>
      <c r="S16" s="295"/>
      <c r="T16" s="296"/>
      <c r="U16" s="286"/>
      <c r="V16" s="286"/>
      <c r="W16" s="286"/>
    </row>
    <row r="17" spans="1:23" s="61" customFormat="1" ht="22.5" customHeight="1" x14ac:dyDescent="0.2">
      <c r="A17" s="305"/>
      <c r="B17" s="306"/>
      <c r="C17" s="285" t="s">
        <v>108</v>
      </c>
      <c r="D17" s="285"/>
      <c r="E17" s="285"/>
      <c r="F17" s="294">
        <f>COUNTIFS('APENDICE 4 REGISTRO DE RESULTAD'!$AJ$14:$AJ$240,"Vol",'APENDICE 4 REGISTRO DE RESULTAD'!$J$14:$J$240,"F")</f>
        <v>0</v>
      </c>
      <c r="G17" s="295"/>
      <c r="H17" s="296"/>
      <c r="I17" s="294">
        <f t="shared" si="0"/>
        <v>0</v>
      </c>
      <c r="J17" s="295"/>
      <c r="K17" s="296"/>
      <c r="L17" s="294">
        <f>COUNTIFS('APENDICE 4 REGISTRO DE RESULTAD'!$AJ$14:$AJ$240,"Vol",'APENDICE 4 REGISTRO DE RESULTAD'!$J$14:$J$240,"F",'APENDICE 4 REGISTRO DE RESULTAD'!$X$14:$X$240,"-")</f>
        <v>0</v>
      </c>
      <c r="M17" s="295"/>
      <c r="N17" s="296"/>
      <c r="O17" s="294">
        <f>COUNTIFS('APENDICE 4 REGISTRO DE RESULTAD'!$AJ$14:$AJ$240,"Vol",'APENDICE 4 REGISTRO DE RESULTAD'!$J$14:$J$240,"F",'APENDICE 4 REGISTRO DE RESULTAD'!$X$14:$X$240,"&gt;=70")+COUNTIFS('APENDICE 4 REGISTRO DE RESULTAD'!$AJ$14:$AJ$240,"Vol",'APENDICE 4 REGISTRO DE RESULTAD'!$J$14:$J$240,"F",'APENDICE 4 REGISTRO DE RESULTAD'!$X$14:$X$240,"A")</f>
        <v>0</v>
      </c>
      <c r="P17" s="295"/>
      <c r="Q17" s="296"/>
      <c r="R17" s="294">
        <f t="shared" si="1"/>
        <v>0</v>
      </c>
      <c r="S17" s="295"/>
      <c r="T17" s="296"/>
      <c r="U17" s="286"/>
      <c r="V17" s="286"/>
      <c r="W17" s="286"/>
    </row>
    <row r="18" spans="1:23" s="61" customFormat="1" ht="22.5" customHeight="1" x14ac:dyDescent="0.2">
      <c r="A18" s="307" t="s">
        <v>109</v>
      </c>
      <c r="B18" s="307"/>
      <c r="C18" s="307"/>
      <c r="D18" s="307"/>
      <c r="E18" s="307"/>
      <c r="F18" s="308">
        <f>SUM(F12:H17)</f>
        <v>0</v>
      </c>
      <c r="G18" s="309"/>
      <c r="H18" s="310"/>
      <c r="I18" s="308">
        <f>SUM(I12:K17)</f>
        <v>0</v>
      </c>
      <c r="J18" s="309"/>
      <c r="K18" s="310"/>
      <c r="L18" s="308">
        <f>SUM(L12:N17)</f>
        <v>0</v>
      </c>
      <c r="M18" s="309"/>
      <c r="N18" s="310"/>
      <c r="O18" s="308">
        <f>SUM(O12:Q17)</f>
        <v>0</v>
      </c>
      <c r="P18" s="309"/>
      <c r="Q18" s="310"/>
      <c r="R18" s="308">
        <f>SUM(R12:T17)</f>
        <v>0</v>
      </c>
      <c r="S18" s="309"/>
      <c r="T18" s="310"/>
      <c r="U18" s="307"/>
      <c r="V18" s="307"/>
      <c r="W18" s="307"/>
    </row>
    <row r="19" spans="1:23" s="61" customFormat="1" ht="22.5" customHeight="1" x14ac:dyDescent="0.2"/>
    <row r="20" spans="1:23" s="61" customFormat="1" ht="22.5" customHeight="1" x14ac:dyDescent="0.2"/>
    <row r="21" spans="1:23" s="61" customFormat="1" ht="22.5" customHeight="1" x14ac:dyDescent="0.2">
      <c r="A21" s="307" t="s">
        <v>110</v>
      </c>
      <c r="B21" s="307"/>
      <c r="C21" s="307" t="s">
        <v>96</v>
      </c>
      <c r="D21" s="307"/>
      <c r="E21" s="307"/>
      <c r="F21" s="307" t="s">
        <v>97</v>
      </c>
      <c r="G21" s="307"/>
      <c r="H21" s="307"/>
      <c r="I21" s="307" t="s">
        <v>98</v>
      </c>
      <c r="J21" s="307"/>
      <c r="K21" s="307"/>
      <c r="L21" s="307" t="s">
        <v>99</v>
      </c>
      <c r="M21" s="307"/>
      <c r="N21" s="307"/>
      <c r="O21" s="307" t="s">
        <v>100</v>
      </c>
      <c r="P21" s="307"/>
      <c r="Q21" s="307"/>
      <c r="R21" s="307" t="s">
        <v>101</v>
      </c>
      <c r="S21" s="307"/>
      <c r="T21" s="307"/>
      <c r="U21" s="307" t="s">
        <v>102</v>
      </c>
      <c r="V21" s="307"/>
      <c r="W21" s="307"/>
    </row>
    <row r="22" spans="1:23" s="61" customFormat="1" ht="22.5" customHeight="1" x14ac:dyDescent="0.2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</row>
    <row r="23" spans="1:23" s="61" customFormat="1" ht="22.5" customHeight="1" x14ac:dyDescent="0.2">
      <c r="A23" s="301" t="s">
        <v>117</v>
      </c>
      <c r="B23" s="302"/>
      <c r="C23" s="285" t="s">
        <v>103</v>
      </c>
      <c r="D23" s="285"/>
      <c r="E23" s="285"/>
      <c r="F23" s="286">
        <f>COUNTIFS('APENDICE 4 REGISTRO DE RESULTAD'!$AJ$14:$AJ$240,"Oficial",'APENDICE 4 REGISTRO DE RESULTAD'!$J$14:$J$240,"M")</f>
        <v>0</v>
      </c>
      <c r="G23" s="286"/>
      <c r="H23" s="286"/>
      <c r="I23" s="286">
        <f t="shared" ref="I23:I28" si="2">F23-L23</f>
        <v>0</v>
      </c>
      <c r="J23" s="286"/>
      <c r="K23" s="286"/>
      <c r="L23" s="294">
        <f>COUNTIFS('APENDICE 4 REGISTRO DE RESULTAD'!$AJ$14:$AJ$240,"Oficial",'APENDICE 4 REGISTRO DE RESULTAD'!$J$14:$J$240,"M",'APENDICE 4 REGISTRO DE RESULTAD'!$Z$14:$Z$240,"-")</f>
        <v>0</v>
      </c>
      <c r="M23" s="295"/>
      <c r="N23" s="296"/>
      <c r="O23" s="286">
        <f>COUNTIFS('APENDICE 4 REGISTRO DE RESULTAD'!$AJ$14:$AJ$240,"Oficial",'APENDICE 4 REGISTRO DE RESULTAD'!$J$14:$J$240,"M",'APENDICE 4 REGISTRO DE RESULTAD'!$Z$14:$Z$240,"&gt;=70")+COUNTIFS('APENDICE 4 REGISTRO DE RESULTAD'!$AJ$14:$AJ$240,"Oficial",'APENDICE 4 REGISTRO DE RESULTAD'!$J$14:$J$240,"M",'APENDICE 4 REGISTRO DE RESULTAD'!$Z$14:$Z$240,"A")</f>
        <v>0</v>
      </c>
      <c r="P23" s="286"/>
      <c r="Q23" s="286"/>
      <c r="R23" s="294">
        <f t="shared" ref="R23:R28" si="3">I23-O23</f>
        <v>0</v>
      </c>
      <c r="S23" s="295"/>
      <c r="T23" s="296"/>
      <c r="U23" s="294"/>
      <c r="V23" s="295"/>
      <c r="W23" s="296"/>
    </row>
    <row r="24" spans="1:23" s="61" customFormat="1" ht="22.5" customHeight="1" x14ac:dyDescent="0.2">
      <c r="A24" s="303"/>
      <c r="B24" s="304"/>
      <c r="C24" s="285" t="s">
        <v>104</v>
      </c>
      <c r="D24" s="285"/>
      <c r="E24" s="285"/>
      <c r="F24" s="286">
        <f>COUNTIFS('APENDICE 4 REGISTRO DE RESULTAD'!$AJ$14:$AJ$240,"Oficial",'APENDICE 4 REGISTRO DE RESULTAD'!$J$14:$J$240,"F")</f>
        <v>0</v>
      </c>
      <c r="G24" s="286"/>
      <c r="H24" s="286"/>
      <c r="I24" s="286">
        <f t="shared" si="2"/>
        <v>0</v>
      </c>
      <c r="J24" s="286"/>
      <c r="K24" s="286"/>
      <c r="L24" s="294">
        <f>COUNTIFS('APENDICE 4 REGISTRO DE RESULTAD'!$AJ$14:$AJ$240,"Oficial",'APENDICE 4 REGISTRO DE RESULTAD'!$J$14:$J$240,"F",'APENDICE 4 REGISTRO DE RESULTAD'!$Z$14:$Z$240,"-")</f>
        <v>0</v>
      </c>
      <c r="M24" s="295"/>
      <c r="N24" s="296"/>
      <c r="O24" s="286">
        <f>COUNTIFS('APENDICE 4 REGISTRO DE RESULTAD'!$AJ$14:$AJ$240,"Oficial",'APENDICE 4 REGISTRO DE RESULTAD'!$J$14:$J$240,"F",'APENDICE 4 REGISTRO DE RESULTAD'!$Z$14:$Z$240,"&gt;=70")+COUNTIFS('APENDICE 4 REGISTRO DE RESULTAD'!$AJ$14:$AJ$240,"Oficial",'APENDICE 4 REGISTRO DE RESULTAD'!$J$14:$J$240,"F",'APENDICE 4 REGISTRO DE RESULTAD'!$Z$14:$Z$240,"A")</f>
        <v>0</v>
      </c>
      <c r="P24" s="286"/>
      <c r="Q24" s="286"/>
      <c r="R24" s="294">
        <f t="shared" si="3"/>
        <v>0</v>
      </c>
      <c r="S24" s="295"/>
      <c r="T24" s="296"/>
      <c r="U24" s="294"/>
      <c r="V24" s="295"/>
      <c r="W24" s="296"/>
    </row>
    <row r="25" spans="1:23" s="61" customFormat="1" ht="22.5" customHeight="1" x14ac:dyDescent="0.2">
      <c r="A25" s="303" t="s">
        <v>112</v>
      </c>
      <c r="B25" s="304"/>
      <c r="C25" s="285" t="s">
        <v>105</v>
      </c>
      <c r="D25" s="285"/>
      <c r="E25" s="285"/>
      <c r="F25" s="286">
        <f>COUNTIFS('APENDICE 4 REGISTRO DE RESULTAD'!$AJ$14:$AJ$240,"Subof",'APENDICE 4 REGISTRO DE RESULTAD'!$J$14:$J$240,"M")</f>
        <v>0</v>
      </c>
      <c r="G25" s="286"/>
      <c r="H25" s="286"/>
      <c r="I25" s="286">
        <f t="shared" si="2"/>
        <v>0</v>
      </c>
      <c r="J25" s="286"/>
      <c r="K25" s="286"/>
      <c r="L25" s="294">
        <f>COUNTIFS('APENDICE 4 REGISTRO DE RESULTAD'!$AJ$14:$AJ$240,"Subof",'APENDICE 4 REGISTRO DE RESULTAD'!$J$14:$J$240,"M",'APENDICE 4 REGISTRO DE RESULTAD'!$Z$14:$Z$240,"-")</f>
        <v>0</v>
      </c>
      <c r="M25" s="295"/>
      <c r="N25" s="296"/>
      <c r="O25" s="286">
        <f>COUNTIFS('APENDICE 4 REGISTRO DE RESULTAD'!$AJ$14:$AJ$240,"Subof",'APENDICE 4 REGISTRO DE RESULTAD'!$J$14:$J$240,"M",'APENDICE 4 REGISTRO DE RESULTAD'!$Z$14:$Z$240,"&gt;=70")+COUNTIFS('APENDICE 4 REGISTRO DE RESULTAD'!$AJ$14:$AJ$240,"Subof",'APENDICE 4 REGISTRO DE RESULTAD'!$J$14:$J$240,"M",'APENDICE 4 REGISTRO DE RESULTAD'!$Z$14:$Z$240,"A")</f>
        <v>0</v>
      </c>
      <c r="P25" s="286"/>
      <c r="Q25" s="286"/>
      <c r="R25" s="294">
        <f t="shared" si="3"/>
        <v>0</v>
      </c>
      <c r="S25" s="295"/>
      <c r="T25" s="296"/>
      <c r="U25" s="294"/>
      <c r="V25" s="295"/>
      <c r="W25" s="296"/>
    </row>
    <row r="26" spans="1:23" s="61" customFormat="1" ht="22.5" customHeight="1" x14ac:dyDescent="0.2">
      <c r="A26" s="303"/>
      <c r="B26" s="304"/>
      <c r="C26" s="285" t="s">
        <v>106</v>
      </c>
      <c r="D26" s="285"/>
      <c r="E26" s="285"/>
      <c r="F26" s="286">
        <f>COUNTIFS('APENDICE 4 REGISTRO DE RESULTAD'!$AJ$14:$AJ$240,"Subof",'APENDICE 4 REGISTRO DE RESULTAD'!$J$14:$J$240,"F")</f>
        <v>0</v>
      </c>
      <c r="G26" s="286"/>
      <c r="H26" s="286"/>
      <c r="I26" s="286">
        <f t="shared" si="2"/>
        <v>0</v>
      </c>
      <c r="J26" s="286"/>
      <c r="K26" s="286"/>
      <c r="L26" s="294">
        <f>COUNTIFS('APENDICE 4 REGISTRO DE RESULTAD'!$AJ$14:$AJ$240,"Subof",'APENDICE 4 REGISTRO DE RESULTAD'!$J$14:$J$240,"F",'APENDICE 4 REGISTRO DE RESULTAD'!$Z$14:$Z$240,"-")</f>
        <v>0</v>
      </c>
      <c r="M26" s="295"/>
      <c r="N26" s="296"/>
      <c r="O26" s="286">
        <f>COUNTIFS('APENDICE 4 REGISTRO DE RESULTAD'!$AJ$14:$AJ$240,"Subof",'APENDICE 4 REGISTRO DE RESULTAD'!$J$14:$J$240,"F",'APENDICE 4 REGISTRO DE RESULTAD'!$Z$14:$Z$240,"&gt;=70")+COUNTIFS('APENDICE 4 REGISTRO DE RESULTAD'!$AJ$14:$AJ$240,"Subof",'APENDICE 4 REGISTRO DE RESULTAD'!$J$14:$J$240,"F",'APENDICE 4 REGISTRO DE RESULTAD'!$Z$14:$Z$240,"A")</f>
        <v>0</v>
      </c>
      <c r="P26" s="286"/>
      <c r="Q26" s="286"/>
      <c r="R26" s="294">
        <f t="shared" si="3"/>
        <v>0</v>
      </c>
      <c r="S26" s="295"/>
      <c r="T26" s="296"/>
      <c r="U26" s="286"/>
      <c r="V26" s="286"/>
      <c r="W26" s="286"/>
    </row>
    <row r="27" spans="1:23" s="61" customFormat="1" ht="22.5" customHeight="1" x14ac:dyDescent="0.2">
      <c r="A27" s="303"/>
      <c r="B27" s="304"/>
      <c r="C27" s="285" t="s">
        <v>107</v>
      </c>
      <c r="D27" s="285"/>
      <c r="E27" s="285"/>
      <c r="F27" s="286">
        <f>COUNTIFS('APENDICE 4 REGISTRO DE RESULTAD'!$AJ$14:$AJ$240,"Vol",'APENDICE 4 REGISTRO DE RESULTAD'!$J$14:$J$240,"M")</f>
        <v>0</v>
      </c>
      <c r="G27" s="286"/>
      <c r="H27" s="286"/>
      <c r="I27" s="286">
        <f t="shared" si="2"/>
        <v>0</v>
      </c>
      <c r="J27" s="286"/>
      <c r="K27" s="286"/>
      <c r="L27" s="294">
        <f>COUNTIFS('APENDICE 4 REGISTRO DE RESULTAD'!$AJ$14:$AJ$240,"Vol",'APENDICE 4 REGISTRO DE RESULTAD'!$J$14:$J$240,"M",'APENDICE 4 REGISTRO DE RESULTAD'!$Z$14:$Z$240,"-")</f>
        <v>0</v>
      </c>
      <c r="M27" s="295"/>
      <c r="N27" s="296"/>
      <c r="O27" s="286">
        <f>COUNTIFS('APENDICE 4 REGISTRO DE RESULTAD'!$AJ$14:$AJ$240,"Vol",'APENDICE 4 REGISTRO DE RESULTAD'!$J$14:$J$240,"M",'APENDICE 4 REGISTRO DE RESULTAD'!$Z$14:$Z$240,"&gt;=70")+COUNTIFS('APENDICE 4 REGISTRO DE RESULTAD'!$AJ$14:$AJ$240,"Vol",'APENDICE 4 REGISTRO DE RESULTAD'!$J$14:$J$240,"M",'APENDICE 4 REGISTRO DE RESULTAD'!$Z$14:$Z$240,"A")</f>
        <v>0</v>
      </c>
      <c r="P27" s="286"/>
      <c r="Q27" s="286"/>
      <c r="R27" s="294">
        <f t="shared" si="3"/>
        <v>0</v>
      </c>
      <c r="S27" s="295"/>
      <c r="T27" s="296"/>
      <c r="U27" s="286"/>
      <c r="V27" s="286"/>
      <c r="W27" s="286"/>
    </row>
    <row r="28" spans="1:23" s="61" customFormat="1" ht="22.5" customHeight="1" x14ac:dyDescent="0.2">
      <c r="A28" s="305"/>
      <c r="B28" s="306"/>
      <c r="C28" s="285" t="s">
        <v>108</v>
      </c>
      <c r="D28" s="285"/>
      <c r="E28" s="285"/>
      <c r="F28" s="286">
        <f>COUNTIFS('APENDICE 4 REGISTRO DE RESULTAD'!$AJ$14:$AJ$240,"Vol",'APENDICE 4 REGISTRO DE RESULTAD'!$J$14:$J$240,"F")</f>
        <v>0</v>
      </c>
      <c r="G28" s="286"/>
      <c r="H28" s="286"/>
      <c r="I28" s="286">
        <f t="shared" si="2"/>
        <v>0</v>
      </c>
      <c r="J28" s="286"/>
      <c r="K28" s="286"/>
      <c r="L28" s="294">
        <f>COUNTIFS('APENDICE 4 REGISTRO DE RESULTAD'!$AJ$14:$AJ$240,"Vol",'APENDICE 4 REGISTRO DE RESULTAD'!$J$14:$J$240,"F",'APENDICE 4 REGISTRO DE RESULTAD'!$Z$14:$Z$240,"-")</f>
        <v>0</v>
      </c>
      <c r="M28" s="295"/>
      <c r="N28" s="296"/>
      <c r="O28" s="286">
        <f>COUNTIFS('APENDICE 4 REGISTRO DE RESULTAD'!$AJ$14:$AJ$240,"Vol",'APENDICE 4 REGISTRO DE RESULTAD'!$J$14:$J$240,"F",'APENDICE 4 REGISTRO DE RESULTAD'!$Z$14:$Z$240,"&gt;=70")+COUNTIFS('APENDICE 4 REGISTRO DE RESULTAD'!$AJ$14:$AJ$240,"Vol",'APENDICE 4 REGISTRO DE RESULTAD'!$J$14:$J$240,"F",'APENDICE 4 REGISTRO DE RESULTAD'!$Z$14:$Z$240,"A")</f>
        <v>0</v>
      </c>
      <c r="P28" s="286"/>
      <c r="Q28" s="286"/>
      <c r="R28" s="294">
        <f t="shared" si="3"/>
        <v>0</v>
      </c>
      <c r="S28" s="295"/>
      <c r="T28" s="296"/>
      <c r="U28" s="286"/>
      <c r="V28" s="286"/>
      <c r="W28" s="286"/>
    </row>
    <row r="29" spans="1:23" s="61" customFormat="1" ht="22.5" customHeight="1" x14ac:dyDescent="0.2">
      <c r="A29" s="307" t="s">
        <v>109</v>
      </c>
      <c r="B29" s="307"/>
      <c r="C29" s="307"/>
      <c r="D29" s="307"/>
      <c r="E29" s="307"/>
      <c r="F29" s="307">
        <f>SUM(F23:H28)</f>
        <v>0</v>
      </c>
      <c r="G29" s="307"/>
      <c r="H29" s="307"/>
      <c r="I29" s="307">
        <f>SUM(I23:K28)</f>
        <v>0</v>
      </c>
      <c r="J29" s="307"/>
      <c r="K29" s="307"/>
      <c r="L29" s="307">
        <f>SUM(L23:N28)</f>
        <v>0</v>
      </c>
      <c r="M29" s="307"/>
      <c r="N29" s="307"/>
      <c r="O29" s="307">
        <f>SUM(O23:Q28)</f>
        <v>0</v>
      </c>
      <c r="P29" s="307"/>
      <c r="Q29" s="307"/>
      <c r="R29" s="307">
        <f>SUM(R23:T28)</f>
        <v>0</v>
      </c>
      <c r="S29" s="307"/>
      <c r="T29" s="307"/>
      <c r="U29" s="307"/>
      <c r="V29" s="307"/>
      <c r="W29" s="307"/>
    </row>
    <row r="30" spans="1:23" s="61" customFormat="1" ht="22.5" customHeight="1" x14ac:dyDescent="0.2"/>
    <row r="31" spans="1:23" s="61" customFormat="1" ht="22.5" customHeight="1" x14ac:dyDescent="0.2"/>
    <row r="32" spans="1:23" s="61" customFormat="1" ht="22.5" customHeight="1" x14ac:dyDescent="0.2">
      <c r="A32" s="307" t="s">
        <v>110</v>
      </c>
      <c r="B32" s="307"/>
      <c r="C32" s="307" t="s">
        <v>96</v>
      </c>
      <c r="D32" s="307"/>
      <c r="E32" s="307"/>
      <c r="F32" s="307" t="s">
        <v>97</v>
      </c>
      <c r="G32" s="307"/>
      <c r="H32" s="307"/>
      <c r="I32" s="307" t="s">
        <v>98</v>
      </c>
      <c r="J32" s="307"/>
      <c r="K32" s="307"/>
      <c r="L32" s="307" t="s">
        <v>99</v>
      </c>
      <c r="M32" s="307"/>
      <c r="N32" s="307"/>
      <c r="O32" s="307" t="s">
        <v>100</v>
      </c>
      <c r="P32" s="307"/>
      <c r="Q32" s="307"/>
      <c r="R32" s="307" t="s">
        <v>101</v>
      </c>
      <c r="S32" s="307"/>
      <c r="T32" s="307"/>
      <c r="U32" s="307" t="s">
        <v>102</v>
      </c>
      <c r="V32" s="307"/>
      <c r="W32" s="307"/>
    </row>
    <row r="33" spans="1:23" s="61" customFormat="1" ht="22.5" customHeight="1" x14ac:dyDescent="0.2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</row>
    <row r="34" spans="1:23" s="61" customFormat="1" ht="22.5" customHeight="1" x14ac:dyDescent="0.2">
      <c r="A34" s="301" t="s">
        <v>115</v>
      </c>
      <c r="B34" s="302"/>
      <c r="C34" s="285" t="s">
        <v>103</v>
      </c>
      <c r="D34" s="285"/>
      <c r="E34" s="285"/>
      <c r="F34" s="286">
        <f>COUNTIFS('APENDICE 4 REGISTRO DE RESULTAD'!$AJ$14:$AJ$240,"Oficial",'APENDICE 4 REGISTRO DE RESULTAD'!$J$14:$J$240,"M")</f>
        <v>0</v>
      </c>
      <c r="G34" s="286"/>
      <c r="H34" s="286"/>
      <c r="I34" s="286">
        <f t="shared" ref="I34:I39" si="4">F34-L34</f>
        <v>0</v>
      </c>
      <c r="J34" s="286"/>
      <c r="K34" s="286"/>
      <c r="L34" s="294">
        <f>COUNTIFS('APENDICE 4 REGISTRO DE RESULTAD'!$AJ$14:$AJ$240,"Oficial",'APENDICE 4 REGISTRO DE RESULTAD'!$J$14:$J$240,"M",'APENDICE 4 REGISTRO DE RESULTAD'!$AB$14:$AB$240,"-",'APENDICE 4 REGISTRO DE RESULTAD'!$AB$14:$AB$240,"-")</f>
        <v>0</v>
      </c>
      <c r="M34" s="295"/>
      <c r="N34" s="296"/>
      <c r="O34" s="286">
        <f>COUNTIFS('APENDICE 4 REGISTRO DE RESULTAD'!$AJ$14:$AJ$240,"Oficial",'APENDICE 4 REGISTRO DE RESULTAD'!$J$14:$J$240,"M",'APENDICE 4 REGISTRO DE RESULTAD'!$AB$14:$AB$240,"&gt;=70")+COUNTIFS('APENDICE 4 REGISTRO DE RESULTAD'!$AJ$14:$AJ$240,"Oficial",'APENDICE 4 REGISTRO DE RESULTAD'!$J$14:$J$240,"M",'APENDICE 4 REGISTRO DE RESULTAD'!$AB$14:$AB$240,"A")</f>
        <v>0</v>
      </c>
      <c r="P34" s="286"/>
      <c r="Q34" s="286"/>
      <c r="R34" s="294">
        <f t="shared" ref="R34:R39" si="5">I34-O34</f>
        <v>0</v>
      </c>
      <c r="S34" s="295"/>
      <c r="T34" s="296"/>
      <c r="U34" s="286"/>
      <c r="V34" s="286"/>
      <c r="W34" s="286"/>
    </row>
    <row r="35" spans="1:23" s="61" customFormat="1" ht="22.5" customHeight="1" x14ac:dyDescent="0.2">
      <c r="A35" s="303"/>
      <c r="B35" s="304"/>
      <c r="C35" s="285" t="s">
        <v>104</v>
      </c>
      <c r="D35" s="285"/>
      <c r="E35" s="285"/>
      <c r="F35" s="286">
        <f>COUNTIFS('APENDICE 4 REGISTRO DE RESULTAD'!$AJ$14:$AJ$240,"Oficial",'APENDICE 4 REGISTRO DE RESULTAD'!$J$14:$J$240,"F")</f>
        <v>0</v>
      </c>
      <c r="G35" s="286"/>
      <c r="H35" s="286"/>
      <c r="I35" s="286">
        <f t="shared" si="4"/>
        <v>0</v>
      </c>
      <c r="J35" s="286"/>
      <c r="K35" s="286"/>
      <c r="L35" s="294">
        <f>COUNTIFS('APENDICE 4 REGISTRO DE RESULTAD'!$AJ$14:$AJ$240,"Oficial",'APENDICE 4 REGISTRO DE RESULTAD'!$J$14:$J$240,"F",'APENDICE 4 REGISTRO DE RESULTAD'!$AB$14:$AB$240,"-",'APENDICE 4 REGISTRO DE RESULTAD'!$AB$14:$AB$240,"-")</f>
        <v>0</v>
      </c>
      <c r="M35" s="295"/>
      <c r="N35" s="296"/>
      <c r="O35" s="286">
        <f>COUNTIFS('APENDICE 4 REGISTRO DE RESULTAD'!$AJ$14:$AJ$240,"Oficial",'APENDICE 4 REGISTRO DE RESULTAD'!$J$14:$J$240,"F",'APENDICE 4 REGISTRO DE RESULTAD'!$AB$14:$AB$240,"&gt;=70")+COUNTIFS('APENDICE 4 REGISTRO DE RESULTAD'!$AJ$14:$AJ$240,"Oficial",'APENDICE 4 REGISTRO DE RESULTAD'!$J$14:$J$240,"F",'APENDICE 4 REGISTRO DE RESULTAD'!$AB$14:$AB$240,"A")</f>
        <v>0</v>
      </c>
      <c r="P35" s="286"/>
      <c r="Q35" s="286"/>
      <c r="R35" s="294">
        <f t="shared" si="5"/>
        <v>0</v>
      </c>
      <c r="S35" s="295"/>
      <c r="T35" s="296"/>
      <c r="U35" s="286"/>
      <c r="V35" s="286"/>
      <c r="W35" s="286"/>
    </row>
    <row r="36" spans="1:23" s="61" customFormat="1" ht="22.5" customHeight="1" x14ac:dyDescent="0.2">
      <c r="A36" s="303" t="s">
        <v>111</v>
      </c>
      <c r="B36" s="304"/>
      <c r="C36" s="285" t="s">
        <v>105</v>
      </c>
      <c r="D36" s="285"/>
      <c r="E36" s="285"/>
      <c r="F36" s="286">
        <f>COUNTIFS('APENDICE 4 REGISTRO DE RESULTAD'!$AJ$14:$AJ$240,"Subof",'APENDICE 4 REGISTRO DE RESULTAD'!$J$14:$J$240,"M")</f>
        <v>0</v>
      </c>
      <c r="G36" s="286"/>
      <c r="H36" s="286"/>
      <c r="I36" s="286">
        <f t="shared" si="4"/>
        <v>0</v>
      </c>
      <c r="J36" s="286"/>
      <c r="K36" s="286"/>
      <c r="L36" s="294">
        <f>COUNTIFS('APENDICE 4 REGISTRO DE RESULTAD'!$AJ$14:$AJ$240,"Subof",'APENDICE 4 REGISTRO DE RESULTAD'!$J$14:$J$240,"M",'APENDICE 4 REGISTRO DE RESULTAD'!$AB$14:$AB$240,"-",'APENDICE 4 REGISTRO DE RESULTAD'!$AB$14:$AB$240,"-")</f>
        <v>0</v>
      </c>
      <c r="M36" s="295"/>
      <c r="N36" s="296"/>
      <c r="O36" s="286">
        <f>COUNTIFS('APENDICE 4 REGISTRO DE RESULTAD'!$AJ$14:$AJ$240,"Subof",'APENDICE 4 REGISTRO DE RESULTAD'!$J$14:$J$240,"M",'APENDICE 4 REGISTRO DE RESULTAD'!$AB$14:$AB$240,"&gt;=70")+COUNTIFS('APENDICE 4 REGISTRO DE RESULTAD'!$AJ$14:$AJ$240,"Subof",'APENDICE 4 REGISTRO DE RESULTAD'!$J$14:$J$240,"M",'APENDICE 4 REGISTRO DE RESULTAD'!$AB$14:$AB$240,"A")</f>
        <v>0</v>
      </c>
      <c r="P36" s="286"/>
      <c r="Q36" s="286"/>
      <c r="R36" s="294">
        <f t="shared" si="5"/>
        <v>0</v>
      </c>
      <c r="S36" s="295"/>
      <c r="T36" s="296"/>
      <c r="U36" s="286"/>
      <c r="V36" s="286"/>
      <c r="W36" s="286"/>
    </row>
    <row r="37" spans="1:23" s="61" customFormat="1" ht="22.5" customHeight="1" x14ac:dyDescent="0.2">
      <c r="A37" s="303"/>
      <c r="B37" s="304"/>
      <c r="C37" s="285" t="s">
        <v>106</v>
      </c>
      <c r="D37" s="285"/>
      <c r="E37" s="285"/>
      <c r="F37" s="286">
        <f>COUNTIFS('APENDICE 4 REGISTRO DE RESULTAD'!$AJ$14:$AJ$240,"Subof",'APENDICE 4 REGISTRO DE RESULTAD'!$J$14:$J$240,"F")</f>
        <v>0</v>
      </c>
      <c r="G37" s="286"/>
      <c r="H37" s="286"/>
      <c r="I37" s="286">
        <f t="shared" si="4"/>
        <v>0</v>
      </c>
      <c r="J37" s="286"/>
      <c r="K37" s="286"/>
      <c r="L37" s="294">
        <f>COUNTIFS('APENDICE 4 REGISTRO DE RESULTAD'!$AJ$14:$AJ$240,"Subof",'APENDICE 4 REGISTRO DE RESULTAD'!$J$14:$J$240,"F",'APENDICE 4 REGISTRO DE RESULTAD'!$AB$14:$AB$240,"-",'APENDICE 4 REGISTRO DE RESULTAD'!$AB$14:$AB$240,"-")</f>
        <v>0</v>
      </c>
      <c r="M37" s="295"/>
      <c r="N37" s="296"/>
      <c r="O37" s="286">
        <f>COUNTIFS('APENDICE 4 REGISTRO DE RESULTAD'!$AJ$14:$AJ$240,"Subof",'APENDICE 4 REGISTRO DE RESULTAD'!$J$14:$J$240,"F",'APENDICE 4 REGISTRO DE RESULTAD'!$AB$14:$AB$240,"&gt;=70")+COUNTIFS('APENDICE 4 REGISTRO DE RESULTAD'!$AJ$14:$AJ$240,"Subof",'APENDICE 4 REGISTRO DE RESULTAD'!$J$14:$J$240,"F",'APENDICE 4 REGISTRO DE RESULTAD'!$AB$14:$AB$240,"A")</f>
        <v>0</v>
      </c>
      <c r="P37" s="286"/>
      <c r="Q37" s="286"/>
      <c r="R37" s="286">
        <f t="shared" si="5"/>
        <v>0</v>
      </c>
      <c r="S37" s="286"/>
      <c r="T37" s="286"/>
      <c r="U37" s="286"/>
      <c r="V37" s="286"/>
      <c r="W37" s="286"/>
    </row>
    <row r="38" spans="1:23" s="61" customFormat="1" ht="22.5" customHeight="1" x14ac:dyDescent="0.2">
      <c r="A38" s="303"/>
      <c r="B38" s="304"/>
      <c r="C38" s="285" t="s">
        <v>107</v>
      </c>
      <c r="D38" s="285"/>
      <c r="E38" s="285"/>
      <c r="F38" s="286">
        <f>COUNTIFS('APENDICE 4 REGISTRO DE RESULTAD'!$AJ$14:$AJ$240,"Vol",'APENDICE 4 REGISTRO DE RESULTAD'!$J$14:$J$240,"M")</f>
        <v>0</v>
      </c>
      <c r="G38" s="286"/>
      <c r="H38" s="286"/>
      <c r="I38" s="286">
        <f t="shared" si="4"/>
        <v>0</v>
      </c>
      <c r="J38" s="286"/>
      <c r="K38" s="286"/>
      <c r="L38" s="294">
        <f>COUNTIFS('APENDICE 4 REGISTRO DE RESULTAD'!$AJ$14:$AJ$240,"Vol",'APENDICE 4 REGISTRO DE RESULTAD'!$J$14:$J$240,"M",'APENDICE 4 REGISTRO DE RESULTAD'!$AB$14:$AB$240,"-",'APENDICE 4 REGISTRO DE RESULTAD'!$AB$14:$AB$240,"-")</f>
        <v>0</v>
      </c>
      <c r="M38" s="295"/>
      <c r="N38" s="296"/>
      <c r="O38" s="286">
        <f>COUNTIFS('APENDICE 4 REGISTRO DE RESULTAD'!$AJ$14:$AJ$240,"Vol",'APENDICE 4 REGISTRO DE RESULTAD'!$J$14:$J$240,"M",'APENDICE 4 REGISTRO DE RESULTAD'!$AB$14:$AB$240,"&gt;=70")+COUNTIFS('APENDICE 4 REGISTRO DE RESULTAD'!$AJ$14:$AJ$240,"Vol",'APENDICE 4 REGISTRO DE RESULTAD'!$J$14:$J$240,"M",'APENDICE 4 REGISTRO DE RESULTAD'!$AB$14:$AB$240,"A")</f>
        <v>0</v>
      </c>
      <c r="P38" s="286"/>
      <c r="Q38" s="286"/>
      <c r="R38" s="286">
        <f t="shared" si="5"/>
        <v>0</v>
      </c>
      <c r="S38" s="286"/>
      <c r="T38" s="286"/>
      <c r="U38" s="286"/>
      <c r="V38" s="286"/>
      <c r="W38" s="286"/>
    </row>
    <row r="39" spans="1:23" s="61" customFormat="1" ht="22.5" customHeight="1" x14ac:dyDescent="0.2">
      <c r="A39" s="305"/>
      <c r="B39" s="306"/>
      <c r="C39" s="285" t="s">
        <v>108</v>
      </c>
      <c r="D39" s="285"/>
      <c r="E39" s="285"/>
      <c r="F39" s="286">
        <f>COUNTIFS('APENDICE 4 REGISTRO DE RESULTAD'!$AJ$14:$AJ$240,"Vol",'APENDICE 4 REGISTRO DE RESULTAD'!$J$14:$J$240,"F")</f>
        <v>0</v>
      </c>
      <c r="G39" s="286"/>
      <c r="H39" s="286"/>
      <c r="I39" s="286">
        <f t="shared" si="4"/>
        <v>0</v>
      </c>
      <c r="J39" s="286"/>
      <c r="K39" s="286"/>
      <c r="L39" s="294">
        <f>COUNTIFS('APENDICE 4 REGISTRO DE RESULTAD'!$AJ$14:$AJ$240,"Vol",'APENDICE 4 REGISTRO DE RESULTAD'!$J$14:$J$240,"F",'APENDICE 4 REGISTRO DE RESULTAD'!$AB$14:$AB$240,"-",'APENDICE 4 REGISTRO DE RESULTAD'!$AB$14:$AB$240,"-")</f>
        <v>0</v>
      </c>
      <c r="M39" s="295"/>
      <c r="N39" s="296"/>
      <c r="O39" s="286">
        <f>COUNTIFS('APENDICE 4 REGISTRO DE RESULTAD'!$AJ$14:$AJ$240,"Vol",'APENDICE 4 REGISTRO DE RESULTAD'!$J$14:$J$240,"F",'APENDICE 4 REGISTRO DE RESULTAD'!$AB$14:$AB$240,"&gt;=70")+COUNTIFS('APENDICE 4 REGISTRO DE RESULTAD'!$AJ$14:$AJ$240,"Vol",'APENDICE 4 REGISTRO DE RESULTAD'!$J$14:$J$240,"F",'APENDICE 4 REGISTRO DE RESULTAD'!$AB$14:$AB$240,"A")</f>
        <v>0</v>
      </c>
      <c r="P39" s="286"/>
      <c r="Q39" s="286"/>
      <c r="R39" s="286">
        <f t="shared" si="5"/>
        <v>0</v>
      </c>
      <c r="S39" s="286"/>
      <c r="T39" s="286"/>
      <c r="U39" s="286"/>
      <c r="V39" s="286"/>
      <c r="W39" s="286"/>
    </row>
    <row r="40" spans="1:23" s="61" customFormat="1" ht="22.5" customHeight="1" x14ac:dyDescent="0.2">
      <c r="A40" s="307" t="s">
        <v>109</v>
      </c>
      <c r="B40" s="307"/>
      <c r="C40" s="307"/>
      <c r="D40" s="307"/>
      <c r="E40" s="307"/>
      <c r="F40" s="307">
        <f>SUM(F34:H39)</f>
        <v>0</v>
      </c>
      <c r="G40" s="307"/>
      <c r="H40" s="307"/>
      <c r="I40" s="307">
        <f>SUM(I34:K39)</f>
        <v>0</v>
      </c>
      <c r="J40" s="307"/>
      <c r="K40" s="307"/>
      <c r="L40" s="307">
        <f>SUM(L34:N39)</f>
        <v>0</v>
      </c>
      <c r="M40" s="307"/>
      <c r="N40" s="307"/>
      <c r="O40" s="307">
        <f>SUM(O34:Q39)</f>
        <v>0</v>
      </c>
      <c r="P40" s="307"/>
      <c r="Q40" s="307"/>
      <c r="R40" s="307">
        <f>SUM(R34:T39)</f>
        <v>0</v>
      </c>
      <c r="S40" s="307"/>
      <c r="T40" s="307"/>
      <c r="U40" s="307"/>
      <c r="V40" s="307"/>
      <c r="W40" s="307"/>
    </row>
    <row r="41" spans="1:23" s="61" customFormat="1" ht="22.5" customHeight="1" x14ac:dyDescent="0.2"/>
    <row r="42" spans="1:23" s="61" customFormat="1" ht="22.5" customHeight="1" x14ac:dyDescent="0.2"/>
    <row r="43" spans="1:23" s="61" customFormat="1" ht="22.5" customHeight="1" x14ac:dyDescent="0.2"/>
    <row r="44" spans="1:23" s="61" customFormat="1" ht="22.5" customHeight="1" x14ac:dyDescent="0.2"/>
    <row r="45" spans="1:23" s="61" customFormat="1" ht="22.5" customHeight="1" x14ac:dyDescent="0.2"/>
    <row r="46" spans="1:23" s="61" customFormat="1" ht="22.5" customHeight="1" x14ac:dyDescent="0.2">
      <c r="A46" s="307" t="s">
        <v>110</v>
      </c>
      <c r="B46" s="307"/>
      <c r="C46" s="307" t="s">
        <v>96</v>
      </c>
      <c r="D46" s="307"/>
      <c r="E46" s="307"/>
      <c r="F46" s="307" t="s">
        <v>97</v>
      </c>
      <c r="G46" s="307"/>
      <c r="H46" s="307"/>
      <c r="I46" s="307" t="s">
        <v>98</v>
      </c>
      <c r="J46" s="307"/>
      <c r="K46" s="307"/>
      <c r="L46" s="307" t="s">
        <v>99</v>
      </c>
      <c r="M46" s="307"/>
      <c r="N46" s="307"/>
      <c r="O46" s="307" t="s">
        <v>100</v>
      </c>
      <c r="P46" s="307"/>
      <c r="Q46" s="307"/>
      <c r="R46" s="307" t="s">
        <v>101</v>
      </c>
      <c r="S46" s="307"/>
      <c r="T46" s="307"/>
      <c r="U46" s="307" t="s">
        <v>102</v>
      </c>
      <c r="V46" s="307"/>
      <c r="W46" s="307"/>
    </row>
    <row r="47" spans="1:23" s="61" customFormat="1" ht="22.5" customHeight="1" x14ac:dyDescent="0.2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</row>
    <row r="48" spans="1:23" s="61" customFormat="1" ht="22.5" customHeight="1" x14ac:dyDescent="0.2">
      <c r="A48" s="301" t="s">
        <v>52</v>
      </c>
      <c r="B48" s="302"/>
      <c r="C48" s="285" t="s">
        <v>103</v>
      </c>
      <c r="D48" s="285"/>
      <c r="E48" s="285"/>
      <c r="F48" s="286">
        <f>SUM(F34)</f>
        <v>0</v>
      </c>
      <c r="G48" s="286"/>
      <c r="H48" s="286"/>
      <c r="I48" s="286">
        <f t="shared" ref="I48:I53" si="6">F48-L48</f>
        <v>0</v>
      </c>
      <c r="J48" s="286"/>
      <c r="K48" s="286"/>
      <c r="L48" s="286">
        <f>COUNTIFS('APENDICE 4 REGISTRO DE RESULTAD'!$AJ$14:$AJ$240,"Oficial",'APENDICE 4 REGISTRO DE RESULTAD'!$J$14:$J$240,"M",'APENDICE 4 REGISTRO DE RESULTAD'!$AD$14:$AD$240,"-")</f>
        <v>0</v>
      </c>
      <c r="M48" s="286"/>
      <c r="N48" s="286"/>
      <c r="O48" s="286">
        <f>COUNTIFS('APENDICE 4 REGISTRO DE RESULTAD'!$AJ$14:$AJ$240,"Oficial",'APENDICE 4 REGISTRO DE RESULTAD'!$J$14:$J$240,"M",'APENDICE 4 REGISTRO DE RESULTAD'!$AD$14:$AD$240,"&gt;=70")+COUNTIFS('APENDICE 4 REGISTRO DE RESULTAD'!$AJ$14:$AJ$240,"Oficial",'APENDICE 4 REGISTRO DE RESULTAD'!$J$14:$J$240,"M",'APENDICE 4 REGISTRO DE RESULTAD'!$AD$14:$AD$240,"A")</f>
        <v>0</v>
      </c>
      <c r="P48" s="286"/>
      <c r="Q48" s="286"/>
      <c r="R48" s="286">
        <f t="shared" ref="R48:R53" si="7">I48-O48</f>
        <v>0</v>
      </c>
      <c r="S48" s="286"/>
      <c r="T48" s="286"/>
      <c r="U48" s="286"/>
      <c r="V48" s="286"/>
      <c r="W48" s="286"/>
    </row>
    <row r="49" spans="1:26" s="61" customFormat="1" ht="22.5" customHeight="1" x14ac:dyDescent="0.2">
      <c r="A49" s="303"/>
      <c r="B49" s="304"/>
      <c r="C49" s="285" t="s">
        <v>104</v>
      </c>
      <c r="D49" s="285"/>
      <c r="E49" s="285"/>
      <c r="F49" s="286">
        <f>SUM(F35)</f>
        <v>0</v>
      </c>
      <c r="G49" s="286"/>
      <c r="H49" s="286"/>
      <c r="I49" s="286">
        <f t="shared" si="6"/>
        <v>0</v>
      </c>
      <c r="J49" s="286"/>
      <c r="K49" s="286"/>
      <c r="L49" s="286">
        <f>COUNTIFS('APENDICE 4 REGISTRO DE RESULTAD'!$AJ$14:$AJ$240,"Oficial",'APENDICE 4 REGISTRO DE RESULTAD'!$J$14:$J$240,"F",'APENDICE 4 REGISTRO DE RESULTAD'!$AD$14:$AD$240,"-")</f>
        <v>0</v>
      </c>
      <c r="M49" s="286"/>
      <c r="N49" s="286"/>
      <c r="O49" s="286">
        <f>COUNTIFS('APENDICE 4 REGISTRO DE RESULTAD'!$AJ$14:$AJ$240,"Oficial",'APENDICE 4 REGISTRO DE RESULTAD'!$J$14:$J$240,"F",'APENDICE 4 REGISTRO DE RESULTAD'!$AD$14:$AD$240,"&gt;=70")+COUNTIFS('APENDICE 4 REGISTRO DE RESULTAD'!$AJ$14:$AJ$240,"Oficial",'APENDICE 4 REGISTRO DE RESULTAD'!$J$14:$J$240,"F",'APENDICE 4 REGISTRO DE RESULTAD'!$AD$14:$AD$240,"A")</f>
        <v>0</v>
      </c>
      <c r="P49" s="286"/>
      <c r="Q49" s="286"/>
      <c r="R49" s="286">
        <f t="shared" si="7"/>
        <v>0</v>
      </c>
      <c r="S49" s="286"/>
      <c r="T49" s="286"/>
      <c r="U49" s="286"/>
      <c r="V49" s="286"/>
      <c r="W49" s="286"/>
    </row>
    <row r="50" spans="1:26" s="61" customFormat="1" ht="22.5" customHeight="1" x14ac:dyDescent="0.2">
      <c r="A50" s="303" t="s">
        <v>52</v>
      </c>
      <c r="B50" s="304"/>
      <c r="C50" s="285" t="s">
        <v>105</v>
      </c>
      <c r="D50" s="285"/>
      <c r="E50" s="285"/>
      <c r="F50" s="286">
        <f>SUM(F36)</f>
        <v>0</v>
      </c>
      <c r="G50" s="286"/>
      <c r="H50" s="286"/>
      <c r="I50" s="286">
        <f t="shared" si="6"/>
        <v>0</v>
      </c>
      <c r="J50" s="286"/>
      <c r="K50" s="286"/>
      <c r="L50" s="286">
        <f>COUNTIFS('APENDICE 4 REGISTRO DE RESULTAD'!$AJ$14:$AJ$240,"Subof",'APENDICE 4 REGISTRO DE RESULTAD'!$J$14:$J$240,"M",'APENDICE 4 REGISTRO DE RESULTAD'!$AD$14:$AD$240,"-")</f>
        <v>0</v>
      </c>
      <c r="M50" s="286"/>
      <c r="N50" s="286"/>
      <c r="O50" s="286">
        <f>COUNTIFS('APENDICE 4 REGISTRO DE RESULTAD'!$AJ$14:$AJ$240,"Subof",'APENDICE 4 REGISTRO DE RESULTAD'!$J$14:$J$240,"M",'APENDICE 4 REGISTRO DE RESULTAD'!$AD$14:$AD$240,"&gt;=70")+COUNTIFS('APENDICE 4 REGISTRO DE RESULTAD'!$AJ$14:$AJ$240,"Subof",'APENDICE 4 REGISTRO DE RESULTAD'!$J$14:$J$240,"M",'APENDICE 4 REGISTRO DE RESULTAD'!$AD$14:$AD$240,"A")</f>
        <v>0</v>
      </c>
      <c r="P50" s="286"/>
      <c r="Q50" s="286"/>
      <c r="R50" s="286">
        <f t="shared" si="7"/>
        <v>0</v>
      </c>
      <c r="S50" s="286"/>
      <c r="T50" s="286"/>
      <c r="U50" s="286"/>
      <c r="V50" s="286"/>
      <c r="W50" s="286"/>
    </row>
    <row r="51" spans="1:26" s="61" customFormat="1" ht="22.5" customHeight="1" x14ac:dyDescent="0.2">
      <c r="A51" s="303"/>
      <c r="B51" s="304"/>
      <c r="C51" s="285" t="s">
        <v>106</v>
      </c>
      <c r="D51" s="285"/>
      <c r="E51" s="285"/>
      <c r="F51" s="286">
        <f>SUM(F26)</f>
        <v>0</v>
      </c>
      <c r="G51" s="286"/>
      <c r="H51" s="286"/>
      <c r="I51" s="286">
        <f t="shared" si="6"/>
        <v>0</v>
      </c>
      <c r="J51" s="286"/>
      <c r="K51" s="286"/>
      <c r="L51" s="286">
        <f>COUNTIFS('APENDICE 4 REGISTRO DE RESULTAD'!$AJ$14:$AJ$240,"Subof",'APENDICE 4 REGISTRO DE RESULTAD'!$J$14:$J$240,"F",'APENDICE 4 REGISTRO DE RESULTAD'!$AD$14:$AD$240,"-")</f>
        <v>0</v>
      </c>
      <c r="M51" s="286"/>
      <c r="N51" s="286"/>
      <c r="O51" s="286">
        <f>COUNTIFS('APENDICE 4 REGISTRO DE RESULTAD'!$AJ$14:$AJ$240,"Subof",'APENDICE 4 REGISTRO DE RESULTAD'!$J$14:$J$240,"F",'APENDICE 4 REGISTRO DE RESULTAD'!$AD$14:$AD$240,"&gt;=70")+COUNTIFS('APENDICE 4 REGISTRO DE RESULTAD'!$AJ$14:$AJ$240,"Subof",'APENDICE 4 REGISTRO DE RESULTAD'!$J$14:$J$240,"F",'APENDICE 4 REGISTRO DE RESULTAD'!$AD$14:$AD$240,"A")</f>
        <v>0</v>
      </c>
      <c r="P51" s="286"/>
      <c r="Q51" s="286"/>
      <c r="R51" s="286">
        <f t="shared" si="7"/>
        <v>0</v>
      </c>
      <c r="S51" s="286"/>
      <c r="T51" s="286"/>
      <c r="U51" s="286"/>
      <c r="V51" s="286"/>
      <c r="W51" s="286"/>
    </row>
    <row r="52" spans="1:26" s="61" customFormat="1" ht="22.5" customHeight="1" x14ac:dyDescent="0.2">
      <c r="A52" s="303"/>
      <c r="B52" s="304"/>
      <c r="C52" s="285" t="s">
        <v>107</v>
      </c>
      <c r="D52" s="285"/>
      <c r="E52" s="285"/>
      <c r="F52" s="286">
        <f>SUM(F38)</f>
        <v>0</v>
      </c>
      <c r="G52" s="286"/>
      <c r="H52" s="286"/>
      <c r="I52" s="286">
        <f t="shared" si="6"/>
        <v>0</v>
      </c>
      <c r="J52" s="286"/>
      <c r="K52" s="286"/>
      <c r="L52" s="286">
        <f>COUNTIFS('APENDICE 4 REGISTRO DE RESULTAD'!$AJ$14:$AJ$240,"Vol",'APENDICE 4 REGISTRO DE RESULTAD'!$J$14:$J$240,"M",'APENDICE 4 REGISTRO DE RESULTAD'!$AD$14:$AD$240,"-")</f>
        <v>0</v>
      </c>
      <c r="M52" s="286"/>
      <c r="N52" s="286"/>
      <c r="O52" s="286">
        <f>COUNTIFS('APENDICE 4 REGISTRO DE RESULTAD'!$AJ$14:$AJ$240,"Vol",'APENDICE 4 REGISTRO DE RESULTAD'!$J$14:$J$240,"M",'APENDICE 4 REGISTRO DE RESULTAD'!$AD$14:$AD$240,"&gt;=70")+COUNTIFS('APENDICE 4 REGISTRO DE RESULTAD'!$AJ$14:$AJ$240,"Vol",'APENDICE 4 REGISTRO DE RESULTAD'!$J$14:$J$240,"M",'APENDICE 4 REGISTRO DE RESULTAD'!$AD$14:$AD$240,"A")</f>
        <v>0</v>
      </c>
      <c r="P52" s="286"/>
      <c r="Q52" s="286"/>
      <c r="R52" s="286">
        <f t="shared" si="7"/>
        <v>0</v>
      </c>
      <c r="S52" s="286"/>
      <c r="T52" s="286"/>
      <c r="U52" s="286"/>
      <c r="V52" s="286"/>
      <c r="W52" s="286"/>
    </row>
    <row r="53" spans="1:26" s="61" customFormat="1" ht="22.5" customHeight="1" x14ac:dyDescent="0.2">
      <c r="A53" s="305"/>
      <c r="B53" s="306"/>
      <c r="C53" s="285" t="s">
        <v>108</v>
      </c>
      <c r="D53" s="285"/>
      <c r="E53" s="285"/>
      <c r="F53" s="286">
        <f>SUM(F39)</f>
        <v>0</v>
      </c>
      <c r="G53" s="286"/>
      <c r="H53" s="286"/>
      <c r="I53" s="286">
        <f t="shared" si="6"/>
        <v>0</v>
      </c>
      <c r="J53" s="286"/>
      <c r="K53" s="286"/>
      <c r="L53" s="286">
        <f>COUNTIFS('APENDICE 4 REGISTRO DE RESULTAD'!$AJ$14:$AJ$240,"Vol",'APENDICE 4 REGISTRO DE RESULTAD'!$J$14:$J$240,"F",'APENDICE 4 REGISTRO DE RESULTAD'!$AD$14:$AD$240,"-")</f>
        <v>0</v>
      </c>
      <c r="M53" s="286"/>
      <c r="N53" s="286"/>
      <c r="O53" s="286">
        <f>COUNTIFS('APENDICE 4 REGISTRO DE RESULTAD'!$AJ$14:$AJ$240,"Vol",'APENDICE 4 REGISTRO DE RESULTAD'!$J$14:$J$240,"F",'APENDICE 4 REGISTRO DE RESULTAD'!$AD$14:$AD$240,"&gt;=70")+COUNTIFS('APENDICE 4 REGISTRO DE RESULTAD'!$AJ$14:$AJ$240,"Vol",'APENDICE 4 REGISTRO DE RESULTAD'!$J$14:$J$240,"F",'APENDICE 4 REGISTRO DE RESULTAD'!$AD$14:$AD$240,"A")</f>
        <v>0</v>
      </c>
      <c r="P53" s="286"/>
      <c r="Q53" s="286"/>
      <c r="R53" s="286">
        <f t="shared" si="7"/>
        <v>0</v>
      </c>
      <c r="S53" s="286"/>
      <c r="T53" s="286"/>
      <c r="U53" s="286"/>
      <c r="V53" s="286"/>
      <c r="W53" s="286"/>
    </row>
    <row r="54" spans="1:26" s="61" customFormat="1" ht="22.5" customHeight="1" x14ac:dyDescent="0.2">
      <c r="A54" s="307" t="s">
        <v>109</v>
      </c>
      <c r="B54" s="307"/>
      <c r="C54" s="307"/>
      <c r="D54" s="307"/>
      <c r="E54" s="307"/>
      <c r="F54" s="307">
        <f>SUM(F48:H53)</f>
        <v>0</v>
      </c>
      <c r="G54" s="307"/>
      <c r="H54" s="307"/>
      <c r="I54" s="307">
        <f>SUM(I48:K53)</f>
        <v>0</v>
      </c>
      <c r="J54" s="307"/>
      <c r="K54" s="307"/>
      <c r="L54" s="307">
        <f>SUM(L48:N53)</f>
        <v>0</v>
      </c>
      <c r="M54" s="307"/>
      <c r="N54" s="307"/>
      <c r="O54" s="307">
        <f>SUM(O48:Q53)</f>
        <v>0</v>
      </c>
      <c r="P54" s="307"/>
      <c r="Q54" s="307"/>
      <c r="R54" s="307">
        <f>SUM(R48:T53)</f>
        <v>0</v>
      </c>
      <c r="S54" s="307"/>
      <c r="T54" s="307"/>
      <c r="U54" s="307"/>
      <c r="V54" s="307"/>
      <c r="W54" s="307"/>
    </row>
    <row r="55" spans="1:26" s="61" customFormat="1" ht="22.5" customHeight="1" x14ac:dyDescent="0.2"/>
    <row r="56" spans="1:26" s="61" customFormat="1" ht="22.5" customHeight="1" x14ac:dyDescent="0.2"/>
    <row r="57" spans="1:26" s="61" customFormat="1" ht="22.5" customHeight="1" x14ac:dyDescent="0.2">
      <c r="A57" s="61" t="s">
        <v>119</v>
      </c>
    </row>
    <row r="58" spans="1:26" s="61" customFormat="1" ht="22.5" customHeight="1" x14ac:dyDescent="0.2">
      <c r="A58" s="307"/>
      <c r="B58" s="307"/>
      <c r="C58" s="307" t="s">
        <v>96</v>
      </c>
      <c r="D58" s="307"/>
      <c r="E58" s="307"/>
      <c r="F58" s="307" t="s">
        <v>97</v>
      </c>
      <c r="G58" s="307"/>
      <c r="H58" s="307"/>
      <c r="I58" s="307" t="s">
        <v>98</v>
      </c>
      <c r="J58" s="307"/>
      <c r="K58" s="307"/>
      <c r="L58" s="307" t="s">
        <v>99</v>
      </c>
      <c r="M58" s="307"/>
      <c r="N58" s="307"/>
      <c r="O58" s="307" t="s">
        <v>100</v>
      </c>
      <c r="P58" s="307"/>
      <c r="Q58" s="307"/>
      <c r="R58" s="307" t="s">
        <v>101</v>
      </c>
      <c r="S58" s="307"/>
      <c r="T58" s="307"/>
      <c r="U58" s="307" t="s">
        <v>102</v>
      </c>
      <c r="V58" s="307"/>
      <c r="W58" s="307"/>
      <c r="X58" s="65"/>
      <c r="Y58" s="65"/>
      <c r="Z58" s="65"/>
    </row>
    <row r="59" spans="1:26" s="61" customFormat="1" ht="22.5" customHeight="1" x14ac:dyDescent="0.2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65"/>
      <c r="Y59" s="65"/>
      <c r="Z59" s="65"/>
    </row>
    <row r="60" spans="1:26" s="61" customFormat="1" ht="22.5" customHeight="1" x14ac:dyDescent="0.2">
      <c r="A60" s="301" t="s">
        <v>113</v>
      </c>
      <c r="B60" s="302"/>
      <c r="C60" s="285" t="s">
        <v>103</v>
      </c>
      <c r="D60" s="285"/>
      <c r="E60" s="285"/>
      <c r="F60" s="286">
        <f>COUNTIFS('APENDICE 4 REGISTRO DE RESULTAD'!$AJ$14:$AJ$240,"Oficial",'APENDICE 4 REGISTRO DE RESULTAD'!$J$14:$J$240,"M")</f>
        <v>0</v>
      </c>
      <c r="G60" s="286"/>
      <c r="H60" s="286"/>
      <c r="I60" s="286">
        <f t="shared" ref="I60:I65" si="8">F60-L60</f>
        <v>0</v>
      </c>
      <c r="J60" s="286"/>
      <c r="K60" s="286"/>
      <c r="L60" s="286">
        <f>COUNTIFS('APENDICE 4 REGISTRO DE RESULTAD'!$AJ$14:$AJ$240,"Oficial",'APENDICE 4 REGISTRO DE RESULTAD'!$J$14:$J$240,"M",'APENDICE 4 REGISTRO DE RESULTAD'!$AE$14:$AE$240,"-")</f>
        <v>0</v>
      </c>
      <c r="M60" s="286"/>
      <c r="N60" s="286"/>
      <c r="O60" s="286">
        <f>COUNTIFS('APENDICE 4 REGISTRO DE RESULTAD'!$AJ$14:$AJ$240,"Oficial",'APENDICE 4 REGISTRO DE RESULTAD'!$J$14:$J$240,"M",'APENDICE 4 REGISTRO DE RESULTAD'!$AE$14:$AE$240,"&gt;=70")+COUNTIFS('APENDICE 4 REGISTRO DE RESULTAD'!$AJ$14:$AJ$240,"Oficial",'APENDICE 4 REGISTRO DE RESULTAD'!$J$14:$J$240,"M",'APENDICE 4 REGISTRO DE RESULTAD'!$AE$14:$AE$240,"A")</f>
        <v>0</v>
      </c>
      <c r="P60" s="286"/>
      <c r="Q60" s="286"/>
      <c r="R60" s="286">
        <f t="shared" ref="R60:R65" si="9">I60-O60</f>
        <v>0</v>
      </c>
      <c r="S60" s="286"/>
      <c r="T60" s="286"/>
      <c r="U60" s="286"/>
      <c r="V60" s="286"/>
      <c r="W60" s="286"/>
      <c r="X60" s="65"/>
      <c r="Y60" s="65"/>
      <c r="Z60" s="65"/>
    </row>
    <row r="61" spans="1:26" s="61" customFormat="1" ht="22.5" customHeight="1" x14ac:dyDescent="0.2">
      <c r="A61" s="303"/>
      <c r="B61" s="304"/>
      <c r="C61" s="285" t="s">
        <v>104</v>
      </c>
      <c r="D61" s="285"/>
      <c r="E61" s="285"/>
      <c r="F61" s="286">
        <f>COUNTIFS('APENDICE 4 REGISTRO DE RESULTAD'!$AJ$14:$AJ$240,"Oficial",'APENDICE 4 REGISTRO DE RESULTAD'!$J$14:$J$240,"F")</f>
        <v>0</v>
      </c>
      <c r="G61" s="286"/>
      <c r="H61" s="286"/>
      <c r="I61" s="286">
        <f t="shared" si="8"/>
        <v>0</v>
      </c>
      <c r="J61" s="286"/>
      <c r="K61" s="286"/>
      <c r="L61" s="286">
        <f>COUNTIFS('APENDICE 4 REGISTRO DE RESULTAD'!$AJ$14:$AJ$240,"Oficial",'APENDICE 4 REGISTRO DE RESULTAD'!$J$14:$J$240,"F",'APENDICE 4 REGISTRO DE RESULTAD'!$AE$14:$AE$240,"-")</f>
        <v>0</v>
      </c>
      <c r="M61" s="286"/>
      <c r="N61" s="286"/>
      <c r="O61" s="286">
        <f>COUNTIFS('APENDICE 4 REGISTRO DE RESULTAD'!$AJ$14:$AJ$240,"Oficial",'APENDICE 4 REGISTRO DE RESULTAD'!$J$14:$J$240,"F",'APENDICE 4 REGISTRO DE RESULTAD'!$AE$14:$AE$240,"&gt;=70")+COUNTIFS('APENDICE 4 REGISTRO DE RESULTAD'!$AJ$14:$AJ$240,"Oficial",'APENDICE 4 REGISTRO DE RESULTAD'!$J$14:$J$240,"F",'APENDICE 4 REGISTRO DE RESULTAD'!$AE$14:$AE$240,"A")</f>
        <v>0</v>
      </c>
      <c r="P61" s="286"/>
      <c r="Q61" s="286"/>
      <c r="R61" s="286">
        <f t="shared" si="9"/>
        <v>0</v>
      </c>
      <c r="S61" s="286"/>
      <c r="T61" s="286"/>
      <c r="U61" s="286"/>
      <c r="V61" s="286"/>
      <c r="W61" s="286"/>
      <c r="X61" s="65"/>
      <c r="Y61" s="65"/>
      <c r="Z61" s="65"/>
    </row>
    <row r="62" spans="1:26" s="61" customFormat="1" ht="22.5" customHeight="1" x14ac:dyDescent="0.2">
      <c r="A62" s="303"/>
      <c r="B62" s="304"/>
      <c r="C62" s="285" t="s">
        <v>105</v>
      </c>
      <c r="D62" s="285"/>
      <c r="E62" s="285"/>
      <c r="F62" s="286">
        <f>COUNTIFS('APENDICE 4 REGISTRO DE RESULTAD'!$AJ$14:$AJ$240,"Subof",'APENDICE 4 REGISTRO DE RESULTAD'!$J$14:$J$240,"M")</f>
        <v>0</v>
      </c>
      <c r="G62" s="286"/>
      <c r="H62" s="286"/>
      <c r="I62" s="286">
        <f t="shared" si="8"/>
        <v>0</v>
      </c>
      <c r="J62" s="286"/>
      <c r="K62" s="286"/>
      <c r="L62" s="286">
        <f>COUNTIFS('APENDICE 4 REGISTRO DE RESULTAD'!$AJ$14:$AJ$240,"Subof",'APENDICE 4 REGISTRO DE RESULTAD'!$J$14:$J$240,"M",'APENDICE 4 REGISTRO DE RESULTAD'!$AE$14:$AE$240,"-")</f>
        <v>0</v>
      </c>
      <c r="M62" s="286"/>
      <c r="N62" s="286"/>
      <c r="O62" s="286">
        <f>COUNTIFS('APENDICE 4 REGISTRO DE RESULTAD'!$AJ$14:$AJ$240,"Subof",'APENDICE 4 REGISTRO DE RESULTAD'!$J$14:$J$240,"M",'APENDICE 4 REGISTRO DE RESULTAD'!$AE$14:$AE$240,"&gt;=70")+COUNTIFS('APENDICE 4 REGISTRO DE RESULTAD'!$AJ$14:$AJ$240,"Subof",'APENDICE 4 REGISTRO DE RESULTAD'!$J$14:$J$240,"M",'APENDICE 4 REGISTRO DE RESULTAD'!$AE$14:$AE$240,"A")</f>
        <v>0</v>
      </c>
      <c r="P62" s="286"/>
      <c r="Q62" s="286"/>
      <c r="R62" s="286">
        <f t="shared" si="9"/>
        <v>0</v>
      </c>
      <c r="S62" s="286"/>
      <c r="T62" s="286"/>
      <c r="U62" s="286"/>
      <c r="V62" s="286"/>
      <c r="W62" s="286"/>
      <c r="X62" s="65"/>
      <c r="Y62" s="65"/>
      <c r="Z62" s="65"/>
    </row>
    <row r="63" spans="1:26" s="61" customFormat="1" ht="22.5" customHeight="1" x14ac:dyDescent="0.2">
      <c r="A63" s="303"/>
      <c r="B63" s="304"/>
      <c r="C63" s="285" t="s">
        <v>106</v>
      </c>
      <c r="D63" s="285"/>
      <c r="E63" s="285"/>
      <c r="F63" s="286">
        <f>COUNTIFS('APENDICE 4 REGISTRO DE RESULTAD'!$AJ$14:$AJ$240,"Subof",'APENDICE 4 REGISTRO DE RESULTAD'!$J$14:$J$240,"F")</f>
        <v>0</v>
      </c>
      <c r="G63" s="286"/>
      <c r="H63" s="286"/>
      <c r="I63" s="286">
        <f t="shared" si="8"/>
        <v>0</v>
      </c>
      <c r="J63" s="286"/>
      <c r="K63" s="286"/>
      <c r="L63" s="286">
        <f>COUNTIFS('APENDICE 4 REGISTRO DE RESULTAD'!$AJ$14:$AJ$240,"Subof",'APENDICE 4 REGISTRO DE RESULTAD'!$J$14:$J$240,"F",'APENDICE 4 REGISTRO DE RESULTAD'!$AE$14:$AE$240,"-")</f>
        <v>0</v>
      </c>
      <c r="M63" s="286"/>
      <c r="N63" s="286"/>
      <c r="O63" s="286">
        <f>COUNTIFS('APENDICE 4 REGISTRO DE RESULTAD'!$AJ$14:$AJ$240,"Subof",'APENDICE 4 REGISTRO DE RESULTAD'!$J$14:$J$240,"F",'APENDICE 4 REGISTRO DE RESULTAD'!$AE$14:$AE$240,"&gt;=70")+COUNTIFS('APENDICE 4 REGISTRO DE RESULTAD'!$AJ$14:$AJ$240,"Subof",'APENDICE 4 REGISTRO DE RESULTAD'!$J$14:$J$240,"F",'APENDICE 4 REGISTRO DE RESULTAD'!$AE$14:$AE$240,"A")</f>
        <v>0</v>
      </c>
      <c r="P63" s="286"/>
      <c r="Q63" s="286"/>
      <c r="R63" s="286">
        <f t="shared" si="9"/>
        <v>0</v>
      </c>
      <c r="S63" s="286"/>
      <c r="T63" s="286"/>
      <c r="U63" s="286"/>
      <c r="V63" s="286"/>
      <c r="W63" s="286"/>
      <c r="X63" s="65"/>
      <c r="Y63" s="65"/>
      <c r="Z63" s="65"/>
    </row>
    <row r="64" spans="1:26" s="61" customFormat="1" ht="22.5" customHeight="1" x14ac:dyDescent="0.2">
      <c r="A64" s="303"/>
      <c r="B64" s="304"/>
      <c r="C64" s="285" t="s">
        <v>107</v>
      </c>
      <c r="D64" s="285"/>
      <c r="E64" s="285"/>
      <c r="F64" s="286">
        <f>COUNTIFS('APENDICE 4 REGISTRO DE RESULTAD'!$AJ$14:$AJ$240,"Vol",'APENDICE 4 REGISTRO DE RESULTAD'!$J$14:$J$240,"M")</f>
        <v>0</v>
      </c>
      <c r="G64" s="286"/>
      <c r="H64" s="286"/>
      <c r="I64" s="286">
        <f t="shared" si="8"/>
        <v>0</v>
      </c>
      <c r="J64" s="286"/>
      <c r="K64" s="286"/>
      <c r="L64" s="286">
        <f>COUNTIFS('APENDICE 4 REGISTRO DE RESULTAD'!$AJ$14:$AJ$240,"Vol",'APENDICE 4 REGISTRO DE RESULTAD'!$J$14:$J$240,"M",'APENDICE 4 REGISTRO DE RESULTAD'!$AE$14:$AE$240,"-")</f>
        <v>0</v>
      </c>
      <c r="M64" s="286"/>
      <c r="N64" s="286"/>
      <c r="O64" s="286">
        <f>COUNTIFS('APENDICE 4 REGISTRO DE RESULTAD'!$AJ$14:$AJ$240,"Vol",'APENDICE 4 REGISTRO DE RESULTAD'!$J$14:$J$240,"M",'APENDICE 4 REGISTRO DE RESULTAD'!$AE$14:$AE$240,"&gt;=70")</f>
        <v>0</v>
      </c>
      <c r="P64" s="286"/>
      <c r="Q64" s="286"/>
      <c r="R64" s="286">
        <f t="shared" si="9"/>
        <v>0</v>
      </c>
      <c r="S64" s="286"/>
      <c r="T64" s="286"/>
      <c r="U64" s="286"/>
      <c r="V64" s="286"/>
      <c r="W64" s="286"/>
      <c r="X64" s="65"/>
      <c r="Y64" s="65"/>
      <c r="Z64" s="65"/>
    </row>
    <row r="65" spans="1:31" s="61" customFormat="1" ht="22.5" customHeight="1" x14ac:dyDescent="0.2">
      <c r="A65" s="305"/>
      <c r="B65" s="306"/>
      <c r="C65" s="285" t="s">
        <v>108</v>
      </c>
      <c r="D65" s="285"/>
      <c r="E65" s="285"/>
      <c r="F65" s="286">
        <f>COUNTIFS('APENDICE 4 REGISTRO DE RESULTAD'!$AJ$14:$AJ$240,"Vol",'APENDICE 4 REGISTRO DE RESULTAD'!$J$14:$J$240,"F")</f>
        <v>0</v>
      </c>
      <c r="G65" s="286"/>
      <c r="H65" s="286"/>
      <c r="I65" s="286">
        <f t="shared" si="8"/>
        <v>0</v>
      </c>
      <c r="J65" s="286"/>
      <c r="K65" s="286"/>
      <c r="L65" s="286">
        <f>COUNTIFS('APENDICE 4 REGISTRO DE RESULTAD'!$AJ$14:$AJ$240,"Vol",'APENDICE 4 REGISTRO DE RESULTAD'!$J$14:$J$240,"F",'APENDICE 4 REGISTRO DE RESULTAD'!$AE$14:$AE$240,"-")</f>
        <v>0</v>
      </c>
      <c r="M65" s="286"/>
      <c r="N65" s="286"/>
      <c r="O65" s="286">
        <f>COUNTIFS('APENDICE 4 REGISTRO DE RESULTAD'!$AJ$14:$AJ$240,"Vol",'APENDICE 4 REGISTRO DE RESULTAD'!$J$14:$J$240,"F",'APENDICE 4 REGISTRO DE RESULTAD'!$AE$14:$AE$240,"&gt;=70")</f>
        <v>0</v>
      </c>
      <c r="P65" s="286"/>
      <c r="Q65" s="286"/>
      <c r="R65" s="286">
        <f t="shared" si="9"/>
        <v>0</v>
      </c>
      <c r="S65" s="286"/>
      <c r="T65" s="286"/>
      <c r="U65" s="286"/>
      <c r="V65" s="286"/>
      <c r="W65" s="286"/>
      <c r="X65" s="65"/>
      <c r="Y65" s="65"/>
      <c r="Z65" s="65"/>
    </row>
    <row r="66" spans="1:31" s="61" customFormat="1" ht="22.5" customHeight="1" x14ac:dyDescent="0.2">
      <c r="A66" s="307" t="s">
        <v>109</v>
      </c>
      <c r="B66" s="307"/>
      <c r="C66" s="307"/>
      <c r="D66" s="307"/>
      <c r="E66" s="307"/>
      <c r="F66" s="307">
        <f>SUM(F60:H65)</f>
        <v>0</v>
      </c>
      <c r="G66" s="307"/>
      <c r="H66" s="307"/>
      <c r="I66" s="307">
        <f>SUM(I60:K65)</f>
        <v>0</v>
      </c>
      <c r="J66" s="307"/>
      <c r="K66" s="307"/>
      <c r="L66" s="307">
        <f>SUM(L60:N65)</f>
        <v>0</v>
      </c>
      <c r="M66" s="307"/>
      <c r="N66" s="307"/>
      <c r="O66" s="307">
        <f>SUM(O60:Q65)</f>
        <v>0</v>
      </c>
      <c r="P66" s="307"/>
      <c r="Q66" s="307"/>
      <c r="R66" s="307">
        <f>SUM(R60:T65)</f>
        <v>0</v>
      </c>
      <c r="S66" s="307"/>
      <c r="T66" s="307"/>
      <c r="U66" s="307"/>
      <c r="V66" s="307"/>
      <c r="W66" s="307"/>
      <c r="X66" s="65"/>
      <c r="Y66" s="65"/>
      <c r="Z66" s="65"/>
    </row>
    <row r="67" spans="1:31" s="61" customFormat="1" ht="22.5" customHeigh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5"/>
      <c r="Y67" s="65"/>
      <c r="Z67" s="65"/>
    </row>
    <row r="68" spans="1:31" s="61" customFormat="1" ht="22.5" customHeigh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5"/>
      <c r="Y68" s="65"/>
      <c r="Z68" s="65"/>
    </row>
    <row r="69" spans="1:31" s="61" customFormat="1" ht="22.5" customHeight="1" x14ac:dyDescent="0.2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4"/>
      <c r="R69" s="52"/>
      <c r="S69" s="52"/>
      <c r="T69" s="52"/>
      <c r="U69" s="52"/>
      <c r="V69" s="52"/>
      <c r="W69" s="52"/>
      <c r="X69" s="65"/>
      <c r="Y69" s="65"/>
      <c r="Z69" s="65"/>
    </row>
    <row r="70" spans="1:31" s="35" customFormat="1" ht="22.5" customHeight="1" x14ac:dyDescent="0.2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4" t="s">
        <v>182</v>
      </c>
      <c r="Q70" s="54"/>
      <c r="R70" s="52"/>
      <c r="S70" s="52"/>
      <c r="T70" s="52"/>
      <c r="U70" s="52"/>
      <c r="V70" s="52"/>
      <c r="W70" s="52"/>
      <c r="X70" s="53"/>
      <c r="Y70" s="53"/>
      <c r="Z70" s="53"/>
    </row>
    <row r="71" spans="1:31" s="35" customFormat="1" ht="22.5" customHeight="1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R71" s="55"/>
      <c r="S71" s="52"/>
      <c r="T71" s="52"/>
      <c r="U71" s="52"/>
      <c r="V71" s="52"/>
      <c r="W71" s="52"/>
      <c r="X71" s="53"/>
      <c r="Y71" s="53"/>
      <c r="Z71" s="53"/>
    </row>
    <row r="72" spans="1:31" s="35" customFormat="1" ht="22.5" customHeight="1" x14ac:dyDescent="0.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53"/>
      <c r="Z72" s="53"/>
    </row>
    <row r="73" spans="1:31" s="35" customFormat="1" ht="22.5" customHeight="1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3"/>
      <c r="Y73" s="55"/>
      <c r="Z73" s="55"/>
      <c r="AA73" s="55"/>
      <c r="AB73" s="55"/>
      <c r="AC73" s="55"/>
      <c r="AD73" s="55"/>
      <c r="AE73" s="55"/>
    </row>
    <row r="74" spans="1:31" s="55" customFormat="1" ht="15.75" x14ac:dyDescent="0.25">
      <c r="F74" s="56"/>
      <c r="G74" s="57"/>
      <c r="H74" s="58"/>
      <c r="I74" s="59"/>
      <c r="J74" s="56"/>
      <c r="K74" s="56"/>
      <c r="M74" s="56"/>
    </row>
    <row r="75" spans="1:31" s="55" customFormat="1" ht="15.75" x14ac:dyDescent="0.25">
      <c r="F75" s="56"/>
      <c r="G75" s="57"/>
      <c r="H75" s="58"/>
      <c r="I75" s="59"/>
      <c r="J75" s="56"/>
      <c r="K75" s="56"/>
      <c r="M75" s="56"/>
    </row>
    <row r="76" spans="1:31" s="55" customFormat="1" ht="15.75" x14ac:dyDescent="0.25">
      <c r="F76" s="56"/>
      <c r="G76" s="57"/>
      <c r="H76" s="58"/>
      <c r="I76" s="59"/>
      <c r="J76" s="56"/>
      <c r="K76" s="56"/>
      <c r="M76" s="56"/>
    </row>
    <row r="77" spans="1:31" s="55" customFormat="1" ht="15.75" x14ac:dyDescent="0.25">
      <c r="F77" s="56"/>
      <c r="G77" s="57"/>
      <c r="H77" s="58"/>
      <c r="I77" s="59"/>
      <c r="J77" s="56"/>
      <c r="K77" s="56"/>
      <c r="M77" s="56"/>
    </row>
    <row r="78" spans="1:31" s="55" customFormat="1" ht="15.75" x14ac:dyDescent="0.25">
      <c r="F78" s="56"/>
      <c r="G78" s="57"/>
      <c r="H78" s="58"/>
      <c r="I78" s="59"/>
      <c r="J78" s="56"/>
      <c r="K78" s="56"/>
      <c r="M78" s="56"/>
    </row>
    <row r="79" spans="1:31" s="55" customFormat="1" ht="15.75" x14ac:dyDescent="0.25">
      <c r="E79" s="45"/>
      <c r="F79" s="56"/>
      <c r="G79" s="57"/>
      <c r="H79" s="58"/>
      <c r="I79" s="59"/>
      <c r="J79" s="56"/>
      <c r="K79" s="56"/>
      <c r="M79" s="56"/>
    </row>
    <row r="80" spans="1:31" s="55" customFormat="1" ht="15.75" x14ac:dyDescent="0.25">
      <c r="E80" s="49"/>
      <c r="F80" s="56"/>
      <c r="G80" s="57"/>
      <c r="H80" s="58"/>
      <c r="I80" s="59"/>
      <c r="J80" s="56"/>
      <c r="K80" s="56"/>
      <c r="M80" s="56"/>
    </row>
    <row r="81" spans="5:31" s="55" customFormat="1" ht="15.75" x14ac:dyDescent="0.25">
      <c r="E81" s="49"/>
      <c r="F81" s="56"/>
      <c r="G81" s="57"/>
      <c r="H81" s="58"/>
      <c r="I81" s="59"/>
      <c r="J81" s="56"/>
      <c r="K81" s="56"/>
      <c r="M81" s="56"/>
    </row>
    <row r="82" spans="5:31" s="55" customFormat="1" ht="15.75" x14ac:dyDescent="0.25">
      <c r="E82" s="60"/>
      <c r="F82" s="56"/>
      <c r="G82" s="57"/>
      <c r="H82" s="58"/>
      <c r="I82" s="59"/>
      <c r="J82" s="56"/>
      <c r="K82" s="56"/>
      <c r="M82" s="56"/>
    </row>
    <row r="83" spans="5:31" s="55" customFormat="1" ht="15.75" x14ac:dyDescent="0.25">
      <c r="E83" s="45"/>
      <c r="F83" s="56"/>
      <c r="G83" s="57"/>
      <c r="H83" s="58"/>
      <c r="I83" s="59"/>
      <c r="J83" s="56"/>
      <c r="K83" s="56"/>
      <c r="M83" s="56"/>
    </row>
    <row r="84" spans="5:31" s="55" customFormat="1" ht="15.75" x14ac:dyDescent="0.25">
      <c r="E84" s="45"/>
      <c r="F84" s="56"/>
      <c r="G84" s="57"/>
      <c r="H84" s="58"/>
      <c r="I84" s="59"/>
      <c r="J84" s="56"/>
      <c r="K84" s="56"/>
      <c r="M84" s="56"/>
      <c r="Y84" s="40"/>
      <c r="Z84" s="40"/>
      <c r="AA84" s="40"/>
      <c r="AB84" s="40"/>
      <c r="AC84" s="40"/>
      <c r="AD84" s="40"/>
      <c r="AE84" s="40"/>
    </row>
    <row r="85" spans="5:31" s="40" customFormat="1" ht="15.75" x14ac:dyDescent="0.2">
      <c r="E85" s="45"/>
      <c r="F85" s="41"/>
      <c r="G85" s="42"/>
      <c r="H85" s="43"/>
      <c r="I85" s="44"/>
      <c r="J85" s="41"/>
      <c r="K85" s="41"/>
      <c r="M85" s="41"/>
    </row>
    <row r="86" spans="5:31" s="40" customFormat="1" ht="15.75" x14ac:dyDescent="0.2">
      <c r="E86" s="45"/>
      <c r="F86" s="41"/>
      <c r="G86" s="42"/>
      <c r="H86" s="43"/>
      <c r="I86" s="44"/>
      <c r="J86" s="41"/>
      <c r="K86" s="41"/>
      <c r="M86" s="41"/>
    </row>
    <row r="87" spans="5:31" s="40" customFormat="1" ht="15.75" x14ac:dyDescent="0.2">
      <c r="E87" s="45"/>
      <c r="F87" s="41"/>
      <c r="G87" s="42"/>
      <c r="H87" s="43"/>
      <c r="I87" s="44"/>
      <c r="J87" s="41"/>
      <c r="K87" s="41"/>
      <c r="M87" s="41"/>
      <c r="Y87"/>
      <c r="Z87"/>
      <c r="AA87"/>
      <c r="AB87"/>
      <c r="AC87"/>
      <c r="AD87"/>
      <c r="AE87"/>
    </row>
  </sheetData>
  <mergeCells count="293">
    <mergeCell ref="R65:T65"/>
    <mergeCell ref="U65:W65"/>
    <mergeCell ref="A66:E66"/>
    <mergeCell ref="F66:H66"/>
    <mergeCell ref="I66:K66"/>
    <mergeCell ref="L66:N66"/>
    <mergeCell ref="R66:T66"/>
    <mergeCell ref="U66:W66"/>
    <mergeCell ref="A60:B65"/>
    <mergeCell ref="O65:Q65"/>
    <mergeCell ref="C65:E65"/>
    <mergeCell ref="F65:H65"/>
    <mergeCell ref="I65:K65"/>
    <mergeCell ref="L65:N65"/>
    <mergeCell ref="O66:Q66"/>
    <mergeCell ref="R62:T62"/>
    <mergeCell ref="U62:W62"/>
    <mergeCell ref="C63:E63"/>
    <mergeCell ref="F63:H63"/>
    <mergeCell ref="I63:K63"/>
    <mergeCell ref="L63:N63"/>
    <mergeCell ref="R63:T63"/>
    <mergeCell ref="U63:W63"/>
    <mergeCell ref="C64:E64"/>
    <mergeCell ref="F64:H64"/>
    <mergeCell ref="I64:K64"/>
    <mergeCell ref="L64:N64"/>
    <mergeCell ref="R64:T64"/>
    <mergeCell ref="U64:W64"/>
    <mergeCell ref="C62:E62"/>
    <mergeCell ref="F62:H62"/>
    <mergeCell ref="I62:K62"/>
    <mergeCell ref="O62:Q62"/>
    <mergeCell ref="O63:Q63"/>
    <mergeCell ref="L62:N62"/>
    <mergeCell ref="O64:Q64"/>
    <mergeCell ref="R60:T60"/>
    <mergeCell ref="U60:W60"/>
    <mergeCell ref="C61:E61"/>
    <mergeCell ref="F61:H61"/>
    <mergeCell ref="I61:K61"/>
    <mergeCell ref="L61:N61"/>
    <mergeCell ref="O61:Q61"/>
    <mergeCell ref="R61:T61"/>
    <mergeCell ref="U61:W61"/>
    <mergeCell ref="C60:E60"/>
    <mergeCell ref="F60:H60"/>
    <mergeCell ref="I60:K60"/>
    <mergeCell ref="L60:N60"/>
    <mergeCell ref="O60:Q60"/>
    <mergeCell ref="R54:T54"/>
    <mergeCell ref="U54:W54"/>
    <mergeCell ref="A58:B59"/>
    <mergeCell ref="C58:E59"/>
    <mergeCell ref="F58:H59"/>
    <mergeCell ref="I58:K59"/>
    <mergeCell ref="L58:N59"/>
    <mergeCell ref="O58:Q59"/>
    <mergeCell ref="R58:T59"/>
    <mergeCell ref="U58:W59"/>
    <mergeCell ref="A54:E54"/>
    <mergeCell ref="F54:H54"/>
    <mergeCell ref="I54:K54"/>
    <mergeCell ref="O54:Q54"/>
    <mergeCell ref="L54:N54"/>
    <mergeCell ref="R51:T51"/>
    <mergeCell ref="U51:W51"/>
    <mergeCell ref="C52:E52"/>
    <mergeCell ref="F52:H52"/>
    <mergeCell ref="I52:K52"/>
    <mergeCell ref="L52:N52"/>
    <mergeCell ref="R52:T52"/>
    <mergeCell ref="U52:W52"/>
    <mergeCell ref="C53:E53"/>
    <mergeCell ref="F53:H53"/>
    <mergeCell ref="I53:K53"/>
    <mergeCell ref="L53:N53"/>
    <mergeCell ref="R53:T53"/>
    <mergeCell ref="U53:W53"/>
    <mergeCell ref="O53:Q53"/>
    <mergeCell ref="C51:E51"/>
    <mergeCell ref="F51:H51"/>
    <mergeCell ref="I51:K51"/>
    <mergeCell ref="O51:Q51"/>
    <mergeCell ref="O52:Q52"/>
    <mergeCell ref="L51:N51"/>
    <mergeCell ref="R48:T48"/>
    <mergeCell ref="U48:W48"/>
    <mergeCell ref="C49:E49"/>
    <mergeCell ref="F49:H49"/>
    <mergeCell ref="I49:K49"/>
    <mergeCell ref="L49:N49"/>
    <mergeCell ref="R49:T49"/>
    <mergeCell ref="U49:W49"/>
    <mergeCell ref="C50:E50"/>
    <mergeCell ref="F50:H50"/>
    <mergeCell ref="I50:K50"/>
    <mergeCell ref="L50:N50"/>
    <mergeCell ref="R50:T50"/>
    <mergeCell ref="U50:W50"/>
    <mergeCell ref="O49:Q49"/>
    <mergeCell ref="O50:Q50"/>
    <mergeCell ref="R40:T40"/>
    <mergeCell ref="U40:W40"/>
    <mergeCell ref="A46:B47"/>
    <mergeCell ref="C46:E47"/>
    <mergeCell ref="F46:H47"/>
    <mergeCell ref="I46:K47"/>
    <mergeCell ref="L46:N47"/>
    <mergeCell ref="O46:Q47"/>
    <mergeCell ref="R46:T47"/>
    <mergeCell ref="U46:W47"/>
    <mergeCell ref="A40:E40"/>
    <mergeCell ref="F40:H40"/>
    <mergeCell ref="I40:K40"/>
    <mergeCell ref="O40:Q40"/>
    <mergeCell ref="L40:N40"/>
    <mergeCell ref="R37:T37"/>
    <mergeCell ref="U37:W37"/>
    <mergeCell ref="C38:E38"/>
    <mergeCell ref="F38:H38"/>
    <mergeCell ref="I38:K38"/>
    <mergeCell ref="L38:N38"/>
    <mergeCell ref="R38:T38"/>
    <mergeCell ref="U38:W38"/>
    <mergeCell ref="C39:E39"/>
    <mergeCell ref="F39:H39"/>
    <mergeCell ref="I39:K39"/>
    <mergeCell ref="L39:N39"/>
    <mergeCell ref="R39:T39"/>
    <mergeCell ref="U39:W39"/>
    <mergeCell ref="C37:E37"/>
    <mergeCell ref="F37:H37"/>
    <mergeCell ref="I37:K37"/>
    <mergeCell ref="O37:Q37"/>
    <mergeCell ref="O38:Q38"/>
    <mergeCell ref="L37:N37"/>
    <mergeCell ref="O39:Q39"/>
    <mergeCell ref="R34:T34"/>
    <mergeCell ref="U34:W34"/>
    <mergeCell ref="C35:E35"/>
    <mergeCell ref="F35:H35"/>
    <mergeCell ref="I35:K35"/>
    <mergeCell ref="L35:N35"/>
    <mergeCell ref="R35:T35"/>
    <mergeCell ref="U35:W35"/>
    <mergeCell ref="C36:E36"/>
    <mergeCell ref="F36:H36"/>
    <mergeCell ref="I36:K36"/>
    <mergeCell ref="L36:N36"/>
    <mergeCell ref="R36:T36"/>
    <mergeCell ref="U36:W36"/>
    <mergeCell ref="O35:Q35"/>
    <mergeCell ref="O36:Q36"/>
    <mergeCell ref="O34:Q34"/>
    <mergeCell ref="R29:T29"/>
    <mergeCell ref="U29:W29"/>
    <mergeCell ref="A32:B33"/>
    <mergeCell ref="C32:E33"/>
    <mergeCell ref="F32:H33"/>
    <mergeCell ref="I32:K33"/>
    <mergeCell ref="L32:N33"/>
    <mergeCell ref="O32:Q33"/>
    <mergeCell ref="R32:T33"/>
    <mergeCell ref="U32:W33"/>
    <mergeCell ref="A29:E29"/>
    <mergeCell ref="F29:H29"/>
    <mergeCell ref="I29:K29"/>
    <mergeCell ref="O29:Q29"/>
    <mergeCell ref="L29:N29"/>
    <mergeCell ref="R26:T26"/>
    <mergeCell ref="U26:W26"/>
    <mergeCell ref="C27:E27"/>
    <mergeCell ref="F27:H27"/>
    <mergeCell ref="I27:K27"/>
    <mergeCell ref="L27:N27"/>
    <mergeCell ref="R27:T27"/>
    <mergeCell ref="U27:W27"/>
    <mergeCell ref="C28:E28"/>
    <mergeCell ref="F28:H28"/>
    <mergeCell ref="I28:K28"/>
    <mergeCell ref="L28:N28"/>
    <mergeCell ref="R28:T28"/>
    <mergeCell ref="U28:W28"/>
    <mergeCell ref="I26:K26"/>
    <mergeCell ref="L26:N26"/>
    <mergeCell ref="O26:Q26"/>
    <mergeCell ref="O27:Q27"/>
    <mergeCell ref="O28:Q28"/>
    <mergeCell ref="R23:T23"/>
    <mergeCell ref="U23:W23"/>
    <mergeCell ref="C24:E24"/>
    <mergeCell ref="F24:H24"/>
    <mergeCell ref="I24:K24"/>
    <mergeCell ref="L24:N24"/>
    <mergeCell ref="R24:T24"/>
    <mergeCell ref="U24:W24"/>
    <mergeCell ref="C25:E25"/>
    <mergeCell ref="F25:H25"/>
    <mergeCell ref="I25:K25"/>
    <mergeCell ref="L25:N25"/>
    <mergeCell ref="R25:T25"/>
    <mergeCell ref="U25:W25"/>
    <mergeCell ref="O24:Q24"/>
    <mergeCell ref="O25:Q25"/>
    <mergeCell ref="R18:T18"/>
    <mergeCell ref="U18:W18"/>
    <mergeCell ref="A21:B22"/>
    <mergeCell ref="C21:E22"/>
    <mergeCell ref="F21:H22"/>
    <mergeCell ref="I21:K22"/>
    <mergeCell ref="L21:N22"/>
    <mergeCell ref="O21:Q22"/>
    <mergeCell ref="R21:T22"/>
    <mergeCell ref="U21:W22"/>
    <mergeCell ref="O18:Q18"/>
    <mergeCell ref="A18:E18"/>
    <mergeCell ref="F18:H18"/>
    <mergeCell ref="I18:K18"/>
    <mergeCell ref="L18:N18"/>
    <mergeCell ref="C16:E16"/>
    <mergeCell ref="F16:H16"/>
    <mergeCell ref="I16:K16"/>
    <mergeCell ref="L16:N16"/>
    <mergeCell ref="R16:T16"/>
    <mergeCell ref="U16:W16"/>
    <mergeCell ref="C17:E17"/>
    <mergeCell ref="F17:H17"/>
    <mergeCell ref="I17:K17"/>
    <mergeCell ref="L17:N17"/>
    <mergeCell ref="R17:T17"/>
    <mergeCell ref="U17:W17"/>
    <mergeCell ref="O16:Q16"/>
    <mergeCell ref="O17:Q17"/>
    <mergeCell ref="U13:W13"/>
    <mergeCell ref="O13:Q13"/>
    <mergeCell ref="C14:E14"/>
    <mergeCell ref="F14:H14"/>
    <mergeCell ref="I14:K14"/>
    <mergeCell ref="L14:N14"/>
    <mergeCell ref="R14:T14"/>
    <mergeCell ref="U14:W14"/>
    <mergeCell ref="C15:E15"/>
    <mergeCell ref="F15:H15"/>
    <mergeCell ref="I15:K15"/>
    <mergeCell ref="L15:N15"/>
    <mergeCell ref="R15:T15"/>
    <mergeCell ref="U15:W15"/>
    <mergeCell ref="O15:Q15"/>
    <mergeCell ref="O14:Q14"/>
    <mergeCell ref="Q1:X1"/>
    <mergeCell ref="A5:AE6"/>
    <mergeCell ref="A7:AE7"/>
    <mergeCell ref="A12:B17"/>
    <mergeCell ref="A10:B11"/>
    <mergeCell ref="C10:E11"/>
    <mergeCell ref="F10:H11"/>
    <mergeCell ref="I10:K11"/>
    <mergeCell ref="L10:N11"/>
    <mergeCell ref="O10:Q11"/>
    <mergeCell ref="R10:T11"/>
    <mergeCell ref="U10:W11"/>
    <mergeCell ref="U12:W12"/>
    <mergeCell ref="C12:E12"/>
    <mergeCell ref="F12:H12"/>
    <mergeCell ref="I12:K12"/>
    <mergeCell ref="L12:N12"/>
    <mergeCell ref="O12:Q12"/>
    <mergeCell ref="R12:T12"/>
    <mergeCell ref="C13:E13"/>
    <mergeCell ref="F13:H13"/>
    <mergeCell ref="I13:K13"/>
    <mergeCell ref="L13:N13"/>
    <mergeCell ref="R13:T13"/>
    <mergeCell ref="A23:B28"/>
    <mergeCell ref="C23:E23"/>
    <mergeCell ref="F23:H23"/>
    <mergeCell ref="I23:K23"/>
    <mergeCell ref="L23:N23"/>
    <mergeCell ref="O23:Q23"/>
    <mergeCell ref="C26:E26"/>
    <mergeCell ref="F26:H26"/>
    <mergeCell ref="O48:Q48"/>
    <mergeCell ref="A34:B39"/>
    <mergeCell ref="C34:E34"/>
    <mergeCell ref="F34:H34"/>
    <mergeCell ref="I34:K34"/>
    <mergeCell ref="L34:N34"/>
    <mergeCell ref="A48:B53"/>
    <mergeCell ref="C48:E48"/>
    <mergeCell ref="F48:H48"/>
    <mergeCell ref="I48:K48"/>
    <mergeCell ref="L48:N48"/>
  </mergeCells>
  <printOptions horizontalCentered="1"/>
  <pageMargins left="0.19685039370078741" right="0.19685039370078741" top="0.59055118110236227" bottom="0.39370078740157483" header="0.39370078740157483" footer="0.39370078740157483"/>
  <pageSetup paperSize="5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0000"/>
  </sheetPr>
  <dimension ref="A1:CI1348"/>
  <sheetViews>
    <sheetView tabSelected="1" topLeftCell="AA1" zoomScale="71" zoomScaleNormal="71" workbookViewId="0">
      <selection activeCell="AY24" sqref="AY24"/>
    </sheetView>
  </sheetViews>
  <sheetFormatPr baseColWidth="10" defaultColWidth="11.42578125" defaultRowHeight="15" x14ac:dyDescent="0.2"/>
  <cols>
    <col min="1" max="81" width="8.7109375" style="13" customWidth="1"/>
    <col min="82" max="82" width="15.7109375" style="13" hidden="1" customWidth="1"/>
    <col min="83" max="83" width="8.7109375" style="13" hidden="1" customWidth="1"/>
    <col min="84" max="87" width="8.7109375" style="13" customWidth="1"/>
    <col min="88" max="16384" width="11.42578125" style="4"/>
  </cols>
  <sheetData>
    <row r="1" spans="1:87" ht="15.75" x14ac:dyDescent="0.25">
      <c r="A1" s="96"/>
      <c r="B1" s="96"/>
      <c r="C1" s="97" t="s">
        <v>4</v>
      </c>
      <c r="D1" s="96"/>
      <c r="E1" s="96"/>
      <c r="F1" s="96"/>
      <c r="G1" s="96"/>
      <c r="H1" s="96"/>
      <c r="I1" s="96"/>
      <c r="J1" s="93"/>
      <c r="K1" s="93"/>
      <c r="L1" s="93"/>
      <c r="M1" s="94" t="s">
        <v>5</v>
      </c>
      <c r="N1" s="93"/>
      <c r="O1" s="93"/>
      <c r="P1" s="93"/>
      <c r="Q1" s="93"/>
      <c r="R1" s="93"/>
      <c r="S1" s="93"/>
      <c r="T1" s="93"/>
      <c r="U1" s="96"/>
      <c r="V1" s="96"/>
      <c r="W1" s="97" t="s">
        <v>6</v>
      </c>
      <c r="X1" s="96"/>
      <c r="Y1" s="96"/>
      <c r="Z1" s="96"/>
      <c r="AA1" s="96"/>
      <c r="AB1" s="96"/>
      <c r="AC1" s="96"/>
      <c r="AD1" s="96"/>
      <c r="AE1" s="93"/>
      <c r="AF1" s="93"/>
      <c r="AG1" s="94" t="s">
        <v>7</v>
      </c>
      <c r="AH1" s="93"/>
      <c r="AI1" s="93"/>
      <c r="AJ1" s="93"/>
      <c r="AK1" s="93"/>
      <c r="AL1" s="93"/>
      <c r="AM1" s="93"/>
      <c r="AN1" s="93"/>
      <c r="AO1" s="23"/>
      <c r="AP1" s="23"/>
      <c r="AQ1" s="24"/>
      <c r="AR1" s="24" t="s">
        <v>155</v>
      </c>
      <c r="AS1" s="23"/>
      <c r="AT1" s="23"/>
      <c r="AU1" s="23"/>
      <c r="AV1" s="23"/>
      <c r="AW1" s="23"/>
      <c r="AX1" s="23"/>
      <c r="AY1" s="93"/>
      <c r="AZ1" s="93"/>
      <c r="BA1" s="94"/>
      <c r="BB1" s="94" t="s">
        <v>156</v>
      </c>
      <c r="BC1" s="93"/>
      <c r="BD1" s="93"/>
      <c r="BE1" s="93"/>
      <c r="BF1" s="93"/>
      <c r="BG1" s="93"/>
      <c r="BH1" s="106"/>
      <c r="BI1" s="112" t="s">
        <v>50</v>
      </c>
      <c r="BJ1" s="102"/>
      <c r="BK1" s="102"/>
      <c r="BL1" s="102"/>
      <c r="BM1" s="102"/>
      <c r="BN1" s="102"/>
      <c r="BO1" s="109" t="s">
        <v>51</v>
      </c>
      <c r="BP1" s="93"/>
      <c r="BQ1" s="93"/>
      <c r="BR1" s="93"/>
      <c r="BS1" s="93"/>
      <c r="BT1" s="93"/>
      <c r="BU1" s="109" t="s">
        <v>51</v>
      </c>
      <c r="BV1" s="93"/>
      <c r="BW1" s="93"/>
      <c r="BX1" s="93"/>
      <c r="BY1" s="93"/>
      <c r="BZ1" s="93"/>
      <c r="CA1" s="12"/>
      <c r="CB1" s="12"/>
      <c r="CC1" s="12"/>
      <c r="CD1" s="15"/>
      <c r="CH1" s="12" t="s">
        <v>22</v>
      </c>
      <c r="CI1" s="12" t="s">
        <v>46</v>
      </c>
    </row>
    <row r="2" spans="1:87" x14ac:dyDescent="0.2">
      <c r="A2" s="96"/>
      <c r="B2" s="96"/>
      <c r="C2" s="96"/>
      <c r="D2" s="96"/>
      <c r="E2" s="96"/>
      <c r="F2" s="96"/>
      <c r="G2" s="96"/>
      <c r="H2" s="96"/>
      <c r="I2" s="96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6"/>
      <c r="V2" s="96" t="s">
        <v>2</v>
      </c>
      <c r="W2" s="96" t="s">
        <v>2</v>
      </c>
      <c r="X2" s="96" t="s">
        <v>2</v>
      </c>
      <c r="Y2" s="96" t="s">
        <v>2</v>
      </c>
      <c r="Z2" s="96" t="s">
        <v>2</v>
      </c>
      <c r="AA2" s="96" t="s">
        <v>2</v>
      </c>
      <c r="AB2" s="96" t="s">
        <v>2</v>
      </c>
      <c r="AC2" s="96" t="s">
        <v>2</v>
      </c>
      <c r="AD2" s="96"/>
      <c r="AE2" s="93"/>
      <c r="AF2" s="93" t="s">
        <v>2</v>
      </c>
      <c r="AG2" s="93" t="s">
        <v>2</v>
      </c>
      <c r="AH2" s="93" t="s">
        <v>2</v>
      </c>
      <c r="AI2" s="93" t="s">
        <v>2</v>
      </c>
      <c r="AJ2" s="93" t="s">
        <v>2</v>
      </c>
      <c r="AK2" s="93" t="s">
        <v>2</v>
      </c>
      <c r="AL2" s="93" t="s">
        <v>2</v>
      </c>
      <c r="AM2" s="93" t="s">
        <v>2</v>
      </c>
      <c r="AN2" s="9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93"/>
      <c r="AZ2" s="93"/>
      <c r="BA2" s="93"/>
      <c r="BB2" s="93"/>
      <c r="BC2" s="93"/>
      <c r="BD2" s="93"/>
      <c r="BE2" s="93"/>
      <c r="BF2" s="93"/>
      <c r="BG2" s="93"/>
      <c r="BH2" s="106"/>
      <c r="BI2" s="96"/>
      <c r="BJ2" s="96"/>
      <c r="BK2" s="96"/>
      <c r="BL2" s="96"/>
      <c r="BM2" s="96"/>
      <c r="BN2" s="96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12"/>
      <c r="CB2" s="12"/>
      <c r="CC2" s="12"/>
      <c r="CD2" s="12"/>
      <c r="CH2" s="12"/>
      <c r="CI2" s="12"/>
    </row>
    <row r="3" spans="1:87" ht="12.75" x14ac:dyDescent="0.2">
      <c r="A3" s="98"/>
      <c r="B3" s="98" t="s">
        <v>8</v>
      </c>
      <c r="C3" s="98" t="s">
        <v>9</v>
      </c>
      <c r="D3" s="98" t="s">
        <v>10</v>
      </c>
      <c r="E3" s="98" t="s">
        <v>11</v>
      </c>
      <c r="F3" s="98" t="s">
        <v>12</v>
      </c>
      <c r="G3" s="98" t="s">
        <v>13</v>
      </c>
      <c r="H3" s="98" t="s">
        <v>14</v>
      </c>
      <c r="I3" s="98" t="s">
        <v>47</v>
      </c>
      <c r="J3" s="95"/>
      <c r="K3" s="95"/>
      <c r="L3" s="95" t="s">
        <v>8</v>
      </c>
      <c r="M3" s="95" t="s">
        <v>9</v>
      </c>
      <c r="N3" s="95" t="s">
        <v>10</v>
      </c>
      <c r="O3" s="95" t="s">
        <v>11</v>
      </c>
      <c r="P3" s="95" t="s">
        <v>12</v>
      </c>
      <c r="Q3" s="95" t="s">
        <v>13</v>
      </c>
      <c r="R3" s="95" t="s">
        <v>14</v>
      </c>
      <c r="S3" s="95" t="s">
        <v>47</v>
      </c>
      <c r="T3" s="95"/>
      <c r="U3" s="98"/>
      <c r="V3" s="98" t="s">
        <v>8</v>
      </c>
      <c r="W3" s="98" t="s">
        <v>9</v>
      </c>
      <c r="X3" s="98" t="s">
        <v>10</v>
      </c>
      <c r="Y3" s="98" t="s">
        <v>11</v>
      </c>
      <c r="Z3" s="98" t="s">
        <v>12</v>
      </c>
      <c r="AA3" s="98" t="s">
        <v>13</v>
      </c>
      <c r="AB3" s="98" t="s">
        <v>14</v>
      </c>
      <c r="AC3" s="98" t="s">
        <v>47</v>
      </c>
      <c r="AD3" s="98"/>
      <c r="AE3" s="95"/>
      <c r="AF3" s="95" t="s">
        <v>8</v>
      </c>
      <c r="AG3" s="95" t="s">
        <v>9</v>
      </c>
      <c r="AH3" s="95" t="s">
        <v>10</v>
      </c>
      <c r="AI3" s="95" t="s">
        <v>11</v>
      </c>
      <c r="AJ3" s="95" t="s">
        <v>12</v>
      </c>
      <c r="AK3" s="95" t="s">
        <v>13</v>
      </c>
      <c r="AL3" s="95" t="s">
        <v>14</v>
      </c>
      <c r="AM3" s="95" t="s">
        <v>47</v>
      </c>
      <c r="AN3" s="95"/>
      <c r="AO3" s="25"/>
      <c r="AP3" s="25" t="s">
        <v>8</v>
      </c>
      <c r="AQ3" s="25" t="s">
        <v>9</v>
      </c>
      <c r="AR3" s="25" t="s">
        <v>10</v>
      </c>
      <c r="AS3" s="25" t="s">
        <v>11</v>
      </c>
      <c r="AT3" s="25" t="s">
        <v>12</v>
      </c>
      <c r="AU3" s="25" t="s">
        <v>13</v>
      </c>
      <c r="AV3" s="25" t="s">
        <v>14</v>
      </c>
      <c r="AW3" s="25" t="s">
        <v>47</v>
      </c>
      <c r="AX3" s="25"/>
      <c r="AY3" s="95"/>
      <c r="AZ3" s="95" t="s">
        <v>8</v>
      </c>
      <c r="BA3" s="95" t="s">
        <v>9</v>
      </c>
      <c r="BB3" s="95" t="s">
        <v>10</v>
      </c>
      <c r="BC3" s="95" t="s">
        <v>11</v>
      </c>
      <c r="BD3" s="95" t="s">
        <v>12</v>
      </c>
      <c r="BE3" s="95" t="s">
        <v>13</v>
      </c>
      <c r="BF3" s="95" t="s">
        <v>14</v>
      </c>
      <c r="BG3" s="95" t="s">
        <v>47</v>
      </c>
      <c r="BH3" s="107"/>
      <c r="BI3" s="98" t="s">
        <v>15</v>
      </c>
      <c r="BJ3" s="98" t="s">
        <v>49</v>
      </c>
      <c r="BK3" s="98" t="s">
        <v>9</v>
      </c>
      <c r="BL3" s="98" t="s">
        <v>10</v>
      </c>
      <c r="BM3" s="98" t="s">
        <v>11</v>
      </c>
      <c r="BN3" s="98" t="s">
        <v>12</v>
      </c>
      <c r="BO3" s="95" t="s">
        <v>15</v>
      </c>
      <c r="BP3" s="95" t="s">
        <v>49</v>
      </c>
      <c r="BQ3" s="95" t="s">
        <v>9</v>
      </c>
      <c r="BR3" s="95" t="s">
        <v>10</v>
      </c>
      <c r="BS3" s="95" t="s">
        <v>11</v>
      </c>
      <c r="BT3" s="95" t="s">
        <v>12</v>
      </c>
      <c r="BU3" s="95" t="s">
        <v>15</v>
      </c>
      <c r="BV3" s="95" t="s">
        <v>49</v>
      </c>
      <c r="BW3" s="95" t="s">
        <v>9</v>
      </c>
      <c r="BX3" s="95" t="s">
        <v>10</v>
      </c>
      <c r="BY3" s="95" t="s">
        <v>11</v>
      </c>
      <c r="BZ3" s="95" t="s">
        <v>12</v>
      </c>
      <c r="CA3" s="3"/>
      <c r="CB3" s="3"/>
      <c r="CC3" s="3"/>
      <c r="CD3" s="3"/>
      <c r="CE3" s="4"/>
      <c r="CF3" s="4"/>
      <c r="CG3" s="4"/>
      <c r="CH3" s="3"/>
      <c r="CI3" s="3"/>
    </row>
    <row r="4" spans="1:87" x14ac:dyDescent="0.2">
      <c r="A4" s="98" t="s">
        <v>15</v>
      </c>
      <c r="B4" s="98" t="s">
        <v>16</v>
      </c>
      <c r="C4" s="98" t="s">
        <v>16</v>
      </c>
      <c r="D4" s="98" t="s">
        <v>16</v>
      </c>
      <c r="E4" s="98" t="s">
        <v>16</v>
      </c>
      <c r="F4" s="98" t="s">
        <v>16</v>
      </c>
      <c r="G4" s="98" t="s">
        <v>16</v>
      </c>
      <c r="H4" s="98" t="s">
        <v>16</v>
      </c>
      <c r="I4" s="98" t="s">
        <v>44</v>
      </c>
      <c r="J4" s="95"/>
      <c r="K4" s="95" t="s">
        <v>17</v>
      </c>
      <c r="L4" s="95" t="s">
        <v>16</v>
      </c>
      <c r="M4" s="95" t="s">
        <v>16</v>
      </c>
      <c r="N4" s="95" t="s">
        <v>16</v>
      </c>
      <c r="O4" s="95" t="s">
        <v>16</v>
      </c>
      <c r="P4" s="95" t="s">
        <v>16</v>
      </c>
      <c r="Q4" s="95" t="s">
        <v>16</v>
      </c>
      <c r="R4" s="95" t="s">
        <v>16</v>
      </c>
      <c r="S4" s="95" t="s">
        <v>44</v>
      </c>
      <c r="T4" s="95"/>
      <c r="U4" s="98" t="s">
        <v>17</v>
      </c>
      <c r="V4" s="98" t="s">
        <v>16</v>
      </c>
      <c r="W4" s="98" t="s">
        <v>16</v>
      </c>
      <c r="X4" s="98" t="s">
        <v>16</v>
      </c>
      <c r="Y4" s="98" t="s">
        <v>16</v>
      </c>
      <c r="Z4" s="98" t="s">
        <v>16</v>
      </c>
      <c r="AA4" s="98" t="s">
        <v>16</v>
      </c>
      <c r="AB4" s="98" t="s">
        <v>16</v>
      </c>
      <c r="AC4" s="98" t="s">
        <v>44</v>
      </c>
      <c r="AD4" s="98"/>
      <c r="AE4" s="95" t="s">
        <v>17</v>
      </c>
      <c r="AF4" s="95" t="s">
        <v>16</v>
      </c>
      <c r="AG4" s="95" t="s">
        <v>16</v>
      </c>
      <c r="AH4" s="95" t="s">
        <v>16</v>
      </c>
      <c r="AI4" s="95" t="s">
        <v>16</v>
      </c>
      <c r="AJ4" s="95" t="s">
        <v>16</v>
      </c>
      <c r="AK4" s="95" t="s">
        <v>16</v>
      </c>
      <c r="AL4" s="95" t="s">
        <v>16</v>
      </c>
      <c r="AM4" s="95" t="s">
        <v>44</v>
      </c>
      <c r="AN4" s="95"/>
      <c r="AO4" s="25" t="s">
        <v>15</v>
      </c>
      <c r="AP4" s="25" t="s">
        <v>16</v>
      </c>
      <c r="AQ4" s="25" t="s">
        <v>16</v>
      </c>
      <c r="AR4" s="25" t="s">
        <v>16</v>
      </c>
      <c r="AS4" s="25" t="s">
        <v>16</v>
      </c>
      <c r="AT4" s="25" t="s">
        <v>16</v>
      </c>
      <c r="AU4" s="25" t="s">
        <v>16</v>
      </c>
      <c r="AV4" s="25" t="s">
        <v>16</v>
      </c>
      <c r="AW4" s="25" t="s">
        <v>44</v>
      </c>
      <c r="AX4" s="25"/>
      <c r="AY4" s="95" t="s">
        <v>15</v>
      </c>
      <c r="AZ4" s="95" t="s">
        <v>16</v>
      </c>
      <c r="BA4" s="95" t="s">
        <v>16</v>
      </c>
      <c r="BB4" s="95" t="s">
        <v>16</v>
      </c>
      <c r="BC4" s="95" t="s">
        <v>16</v>
      </c>
      <c r="BD4" s="95" t="s">
        <v>16</v>
      </c>
      <c r="BE4" s="95" t="s">
        <v>16</v>
      </c>
      <c r="BF4" s="95" t="s">
        <v>16</v>
      </c>
      <c r="BG4" s="95" t="s">
        <v>44</v>
      </c>
      <c r="BH4" s="107"/>
      <c r="BI4" s="98" t="s">
        <v>15</v>
      </c>
      <c r="BJ4" s="111" t="s">
        <v>16</v>
      </c>
      <c r="BK4" s="98" t="s">
        <v>16</v>
      </c>
      <c r="BL4" s="98" t="s">
        <v>16</v>
      </c>
      <c r="BM4" s="98" t="s">
        <v>16</v>
      </c>
      <c r="BN4" s="98" t="s">
        <v>16</v>
      </c>
      <c r="BO4" s="95" t="s">
        <v>15</v>
      </c>
      <c r="BP4" s="110" t="s">
        <v>16</v>
      </c>
      <c r="BQ4" s="95" t="s">
        <v>16</v>
      </c>
      <c r="BR4" s="95" t="s">
        <v>16</v>
      </c>
      <c r="BS4" s="95" t="s">
        <v>16</v>
      </c>
      <c r="BT4" s="95" t="s">
        <v>16</v>
      </c>
      <c r="BU4" s="95" t="s">
        <v>15</v>
      </c>
      <c r="BV4" s="110" t="s">
        <v>16</v>
      </c>
      <c r="BW4" s="95" t="s">
        <v>16</v>
      </c>
      <c r="BX4" s="95" t="s">
        <v>16</v>
      </c>
      <c r="BY4" s="95" t="s">
        <v>16</v>
      </c>
      <c r="BZ4" s="95" t="s">
        <v>16</v>
      </c>
      <c r="CA4" s="3" t="s">
        <v>18</v>
      </c>
      <c r="CB4" s="3"/>
      <c r="CC4" s="3"/>
      <c r="CD4" s="16" t="s">
        <v>26</v>
      </c>
      <c r="CE4" s="4"/>
      <c r="CF4" s="4"/>
      <c r="CG4" s="4"/>
      <c r="CH4" s="1">
        <v>15</v>
      </c>
      <c r="CI4" s="12">
        <v>1</v>
      </c>
    </row>
    <row r="5" spans="1:87" x14ac:dyDescent="0.2">
      <c r="A5" s="96" t="s">
        <v>20</v>
      </c>
      <c r="B5" s="125" t="s">
        <v>184</v>
      </c>
      <c r="C5" s="125" t="s">
        <v>184</v>
      </c>
      <c r="D5" s="125" t="s">
        <v>184</v>
      </c>
      <c r="E5" s="125" t="s">
        <v>184</v>
      </c>
      <c r="F5" s="125" t="s">
        <v>184</v>
      </c>
      <c r="G5" s="125" t="s">
        <v>184</v>
      </c>
      <c r="H5" s="125" t="s">
        <v>184</v>
      </c>
      <c r="I5" s="125" t="s">
        <v>184</v>
      </c>
      <c r="J5" s="93"/>
      <c r="K5" s="93" t="s">
        <v>20</v>
      </c>
      <c r="L5" s="125" t="s">
        <v>184</v>
      </c>
      <c r="M5" s="125" t="s">
        <v>184</v>
      </c>
      <c r="N5" s="125" t="s">
        <v>184</v>
      </c>
      <c r="O5" s="125" t="s">
        <v>184</v>
      </c>
      <c r="P5" s="125" t="s">
        <v>184</v>
      </c>
      <c r="Q5" s="125" t="s">
        <v>184</v>
      </c>
      <c r="R5" s="125" t="s">
        <v>184</v>
      </c>
      <c r="S5" s="125" t="s">
        <v>184</v>
      </c>
      <c r="T5" s="93"/>
      <c r="U5" s="96" t="s">
        <v>20</v>
      </c>
      <c r="V5" s="125" t="s">
        <v>184</v>
      </c>
      <c r="W5" s="125" t="s">
        <v>184</v>
      </c>
      <c r="X5" s="125" t="s">
        <v>184</v>
      </c>
      <c r="Y5" s="125" t="s">
        <v>184</v>
      </c>
      <c r="Z5" s="125" t="s">
        <v>184</v>
      </c>
      <c r="AA5" s="125" t="s">
        <v>184</v>
      </c>
      <c r="AB5" s="125" t="s">
        <v>184</v>
      </c>
      <c r="AC5" s="125" t="s">
        <v>184</v>
      </c>
      <c r="AD5" s="96"/>
      <c r="AE5" s="93" t="s">
        <v>20</v>
      </c>
      <c r="AF5" s="125" t="s">
        <v>184</v>
      </c>
      <c r="AG5" s="125" t="s">
        <v>184</v>
      </c>
      <c r="AH5" s="125" t="s">
        <v>184</v>
      </c>
      <c r="AI5" s="125" t="s">
        <v>184</v>
      </c>
      <c r="AJ5" s="125" t="s">
        <v>184</v>
      </c>
      <c r="AK5" s="125" t="s">
        <v>184</v>
      </c>
      <c r="AL5" s="125" t="s">
        <v>184</v>
      </c>
      <c r="AM5" s="125" t="s">
        <v>184</v>
      </c>
      <c r="AN5" s="93"/>
      <c r="AO5" s="23" t="s">
        <v>20</v>
      </c>
      <c r="AP5" s="125" t="s">
        <v>184</v>
      </c>
      <c r="AQ5" s="125" t="s">
        <v>184</v>
      </c>
      <c r="AR5" s="125" t="s">
        <v>184</v>
      </c>
      <c r="AS5" s="125" t="s">
        <v>184</v>
      </c>
      <c r="AT5" s="125" t="s">
        <v>184</v>
      </c>
      <c r="AU5" s="125" t="s">
        <v>184</v>
      </c>
      <c r="AV5" s="125" t="s">
        <v>184</v>
      </c>
      <c r="AW5" s="125" t="s">
        <v>184</v>
      </c>
      <c r="AX5" s="25"/>
      <c r="AY5" s="93" t="s">
        <v>20</v>
      </c>
      <c r="AZ5" s="103" t="s">
        <v>184</v>
      </c>
      <c r="BA5" s="103" t="s">
        <v>184</v>
      </c>
      <c r="BB5" s="103" t="s">
        <v>184</v>
      </c>
      <c r="BC5" s="103" t="s">
        <v>184</v>
      </c>
      <c r="BD5" s="103" t="s">
        <v>184</v>
      </c>
      <c r="BE5" s="103" t="s">
        <v>184</v>
      </c>
      <c r="BF5" s="103" t="s">
        <v>184</v>
      </c>
      <c r="BG5" s="103" t="s">
        <v>184</v>
      </c>
      <c r="BH5" s="106"/>
      <c r="BI5" s="96" t="s">
        <v>20</v>
      </c>
      <c r="BJ5" s="100" t="s">
        <v>184</v>
      </c>
      <c r="BK5" s="100" t="s">
        <v>184</v>
      </c>
      <c r="BL5" s="100" t="s">
        <v>184</v>
      </c>
      <c r="BM5" s="100" t="s">
        <v>184</v>
      </c>
      <c r="BN5" s="100" t="s">
        <v>184</v>
      </c>
      <c r="BO5" s="93" t="s">
        <v>20</v>
      </c>
      <c r="BP5" s="104" t="s">
        <v>184</v>
      </c>
      <c r="BQ5" s="104" t="s">
        <v>184</v>
      </c>
      <c r="BR5" s="104" t="s">
        <v>184</v>
      </c>
      <c r="BS5" s="104" t="s">
        <v>184</v>
      </c>
      <c r="BT5" s="104" t="s">
        <v>184</v>
      </c>
      <c r="BU5" s="93" t="s">
        <v>20</v>
      </c>
      <c r="BV5" s="104" t="s">
        <v>184</v>
      </c>
      <c r="BW5" s="104" t="s">
        <v>184</v>
      </c>
      <c r="BX5" s="104" t="s">
        <v>184</v>
      </c>
      <c r="BY5" s="104" t="s">
        <v>184</v>
      </c>
      <c r="BZ5" s="104" t="s">
        <v>184</v>
      </c>
      <c r="CA5" s="12"/>
      <c r="CB5" s="12"/>
      <c r="CC5" s="2"/>
      <c r="CD5" s="12"/>
      <c r="CH5" s="1">
        <v>16</v>
      </c>
      <c r="CI5" s="12">
        <v>1</v>
      </c>
    </row>
    <row r="6" spans="1:87" x14ac:dyDescent="0.2">
      <c r="A6" s="96">
        <v>1100</v>
      </c>
      <c r="B6" s="96">
        <v>100</v>
      </c>
      <c r="C6" s="96">
        <v>100</v>
      </c>
      <c r="D6" s="96">
        <v>100</v>
      </c>
      <c r="E6" s="96">
        <v>100</v>
      </c>
      <c r="F6" s="96">
        <v>100</v>
      </c>
      <c r="G6" s="96">
        <v>100</v>
      </c>
      <c r="H6" s="96">
        <v>100</v>
      </c>
      <c r="I6" s="96" t="s">
        <v>29</v>
      </c>
      <c r="J6" s="93"/>
      <c r="K6" s="93">
        <v>1159</v>
      </c>
      <c r="L6" s="93">
        <v>100</v>
      </c>
      <c r="M6" s="93">
        <v>100</v>
      </c>
      <c r="N6" s="93">
        <v>100</v>
      </c>
      <c r="O6" s="93">
        <v>100</v>
      </c>
      <c r="P6" s="93">
        <v>100</v>
      </c>
      <c r="Q6" s="93">
        <v>100</v>
      </c>
      <c r="R6" s="93">
        <v>100</v>
      </c>
      <c r="S6" s="93" t="s">
        <v>29</v>
      </c>
      <c r="T6" s="93"/>
      <c r="U6" s="96">
        <v>0</v>
      </c>
      <c r="V6" s="99">
        <v>0</v>
      </c>
      <c r="W6" s="99">
        <v>0</v>
      </c>
      <c r="X6" s="100">
        <v>0</v>
      </c>
      <c r="Y6" s="100">
        <v>0</v>
      </c>
      <c r="Z6" s="100">
        <v>0</v>
      </c>
      <c r="AA6" s="100">
        <v>0</v>
      </c>
      <c r="AB6" s="100">
        <v>0</v>
      </c>
      <c r="AC6" s="99" t="s">
        <v>48</v>
      </c>
      <c r="AD6" s="96"/>
      <c r="AE6" s="93">
        <v>0</v>
      </c>
      <c r="AF6" s="103">
        <v>0</v>
      </c>
      <c r="AG6" s="103">
        <v>0</v>
      </c>
      <c r="AH6" s="103">
        <v>0</v>
      </c>
      <c r="AI6" s="104">
        <v>0</v>
      </c>
      <c r="AJ6" s="104">
        <v>0</v>
      </c>
      <c r="AK6" s="104">
        <v>0</v>
      </c>
      <c r="AL6" s="104">
        <v>0</v>
      </c>
      <c r="AM6" s="103" t="s">
        <v>48</v>
      </c>
      <c r="AN6" s="93"/>
      <c r="AO6" s="113" t="s">
        <v>88</v>
      </c>
      <c r="AP6" s="100">
        <v>0</v>
      </c>
      <c r="AQ6" s="100">
        <v>0</v>
      </c>
      <c r="AR6" s="100">
        <v>0</v>
      </c>
      <c r="AS6" s="100">
        <v>0</v>
      </c>
      <c r="AT6" s="100">
        <v>0</v>
      </c>
      <c r="AU6" s="100">
        <v>0</v>
      </c>
      <c r="AV6" s="100">
        <v>0</v>
      </c>
      <c r="AW6" s="125" t="s">
        <v>48</v>
      </c>
      <c r="AX6" s="96"/>
      <c r="AY6" s="108" t="s">
        <v>88</v>
      </c>
      <c r="AZ6" s="104">
        <v>0</v>
      </c>
      <c r="BA6" s="104">
        <v>0</v>
      </c>
      <c r="BB6" s="104">
        <v>0</v>
      </c>
      <c r="BC6" s="104">
        <v>0</v>
      </c>
      <c r="BD6" s="104">
        <v>0</v>
      </c>
      <c r="BE6" s="104">
        <v>0</v>
      </c>
      <c r="BF6" s="104">
        <v>0</v>
      </c>
      <c r="BG6" s="103" t="s">
        <v>48</v>
      </c>
      <c r="BH6" s="106"/>
      <c r="BI6" s="96">
        <v>0</v>
      </c>
      <c r="BJ6" s="100">
        <v>0</v>
      </c>
      <c r="BK6" s="100">
        <v>0</v>
      </c>
      <c r="BL6" s="100">
        <v>0</v>
      </c>
      <c r="BM6" s="100">
        <v>0</v>
      </c>
      <c r="BN6" s="100">
        <v>0</v>
      </c>
      <c r="BO6" s="93">
        <v>0</v>
      </c>
      <c r="BP6" s="104">
        <v>0</v>
      </c>
      <c r="BQ6" s="104">
        <v>0</v>
      </c>
      <c r="BR6" s="104">
        <v>0</v>
      </c>
      <c r="BS6" s="104">
        <v>0</v>
      </c>
      <c r="BT6" s="104">
        <v>0</v>
      </c>
      <c r="BU6" s="93">
        <v>0</v>
      </c>
      <c r="BV6" s="104">
        <v>0</v>
      </c>
      <c r="BW6" s="104">
        <v>0</v>
      </c>
      <c r="BX6" s="104">
        <v>0</v>
      </c>
      <c r="BY6" s="104">
        <v>0</v>
      </c>
      <c r="BZ6" s="104">
        <v>0</v>
      </c>
      <c r="CA6" s="11" t="s">
        <v>66</v>
      </c>
      <c r="CB6" s="12">
        <v>1</v>
      </c>
      <c r="CC6" s="2"/>
      <c r="CD6" s="27" t="s">
        <v>27</v>
      </c>
      <c r="CE6" s="31">
        <v>1</v>
      </c>
      <c r="CH6" s="1">
        <v>17</v>
      </c>
      <c r="CI6" s="12">
        <v>1</v>
      </c>
    </row>
    <row r="7" spans="1:87" x14ac:dyDescent="0.2">
      <c r="A7" s="96">
        <v>1101</v>
      </c>
      <c r="B7" s="96">
        <v>100</v>
      </c>
      <c r="C7" s="96">
        <v>100</v>
      </c>
      <c r="D7" s="96">
        <v>100</v>
      </c>
      <c r="E7" s="96">
        <v>100</v>
      </c>
      <c r="F7" s="96">
        <v>100</v>
      </c>
      <c r="G7" s="96">
        <v>100</v>
      </c>
      <c r="H7" s="96">
        <v>100</v>
      </c>
      <c r="I7" s="96" t="s">
        <v>29</v>
      </c>
      <c r="J7" s="93"/>
      <c r="K7" s="93">
        <v>1200</v>
      </c>
      <c r="L7" s="93">
        <v>100</v>
      </c>
      <c r="M7" s="93">
        <v>100</v>
      </c>
      <c r="N7" s="93">
        <v>100</v>
      </c>
      <c r="O7" s="93">
        <v>100</v>
      </c>
      <c r="P7" s="93">
        <v>100</v>
      </c>
      <c r="Q7" s="93">
        <v>100</v>
      </c>
      <c r="R7" s="93">
        <v>100</v>
      </c>
      <c r="S7" s="93" t="s">
        <v>29</v>
      </c>
      <c r="T7" s="93"/>
      <c r="U7" s="96">
        <v>1</v>
      </c>
      <c r="V7" s="100">
        <v>0</v>
      </c>
      <c r="W7" s="100">
        <v>0</v>
      </c>
      <c r="X7" s="100">
        <v>0</v>
      </c>
      <c r="Y7" s="100">
        <v>0</v>
      </c>
      <c r="Z7" s="100">
        <v>0</v>
      </c>
      <c r="AA7" s="100">
        <v>0</v>
      </c>
      <c r="AB7" s="100">
        <v>0</v>
      </c>
      <c r="AC7" s="99" t="s">
        <v>48</v>
      </c>
      <c r="AD7" s="96"/>
      <c r="AE7" s="93">
        <v>1</v>
      </c>
      <c r="AF7" s="104">
        <v>0</v>
      </c>
      <c r="AG7" s="104">
        <v>0</v>
      </c>
      <c r="AH7" s="104">
        <v>0</v>
      </c>
      <c r="AI7" s="104">
        <v>0</v>
      </c>
      <c r="AJ7" s="104">
        <v>0</v>
      </c>
      <c r="AK7" s="104">
        <v>0</v>
      </c>
      <c r="AL7" s="104">
        <v>0</v>
      </c>
      <c r="AM7" s="103" t="s">
        <v>48</v>
      </c>
      <c r="AN7" s="93"/>
      <c r="AO7" s="113" t="s">
        <v>157</v>
      </c>
      <c r="AP7" s="100">
        <v>0</v>
      </c>
      <c r="AQ7" s="100">
        <v>0</v>
      </c>
      <c r="AR7" s="100">
        <v>0</v>
      </c>
      <c r="AS7" s="100">
        <v>0</v>
      </c>
      <c r="AT7" s="100">
        <v>0</v>
      </c>
      <c r="AU7" s="100">
        <v>0</v>
      </c>
      <c r="AV7" s="100">
        <v>10</v>
      </c>
      <c r="AW7" s="125" t="s">
        <v>48</v>
      </c>
      <c r="AX7" s="96"/>
      <c r="AY7" s="108" t="s">
        <v>157</v>
      </c>
      <c r="AZ7" s="104">
        <v>0</v>
      </c>
      <c r="BA7" s="104">
        <v>0</v>
      </c>
      <c r="BB7" s="104">
        <v>0</v>
      </c>
      <c r="BC7" s="104">
        <v>0</v>
      </c>
      <c r="BD7" s="151">
        <v>0</v>
      </c>
      <c r="BE7" s="151">
        <v>0</v>
      </c>
      <c r="BF7" s="151">
        <v>10</v>
      </c>
      <c r="BG7" s="103" t="s">
        <v>48</v>
      </c>
      <c r="BH7" s="106"/>
      <c r="BI7" s="101">
        <v>0</v>
      </c>
      <c r="BJ7" s="100">
        <v>0</v>
      </c>
      <c r="BK7" s="100">
        <v>0</v>
      </c>
      <c r="BL7" s="100">
        <v>0</v>
      </c>
      <c r="BM7" s="100">
        <v>0</v>
      </c>
      <c r="BN7" s="100">
        <v>0</v>
      </c>
      <c r="BO7" s="105">
        <v>0</v>
      </c>
      <c r="BP7" s="104">
        <v>0</v>
      </c>
      <c r="BQ7" s="104">
        <v>0</v>
      </c>
      <c r="BR7" s="104">
        <v>0</v>
      </c>
      <c r="BS7" s="104">
        <v>0</v>
      </c>
      <c r="BT7" s="104">
        <v>0</v>
      </c>
      <c r="BU7" s="105">
        <v>0</v>
      </c>
      <c r="BV7" s="104">
        <v>0</v>
      </c>
      <c r="BW7" s="104">
        <v>0</v>
      </c>
      <c r="BX7" s="104">
        <v>0</v>
      </c>
      <c r="BY7" s="104">
        <v>0</v>
      </c>
      <c r="BZ7" s="104">
        <v>0</v>
      </c>
      <c r="CA7" s="11" t="s">
        <v>67</v>
      </c>
      <c r="CB7" s="12">
        <v>2</v>
      </c>
      <c r="CC7" s="2"/>
      <c r="CD7" s="27" t="s">
        <v>28</v>
      </c>
      <c r="CE7" s="32">
        <v>2</v>
      </c>
      <c r="CH7" s="1">
        <v>18</v>
      </c>
      <c r="CI7" s="12">
        <v>1</v>
      </c>
    </row>
    <row r="8" spans="1:87" x14ac:dyDescent="0.2">
      <c r="A8" s="96">
        <v>1102</v>
      </c>
      <c r="B8" s="96">
        <v>100</v>
      </c>
      <c r="C8" s="96">
        <v>100</v>
      </c>
      <c r="D8" s="96">
        <v>100</v>
      </c>
      <c r="E8" s="96">
        <v>100</v>
      </c>
      <c r="F8" s="96">
        <v>100</v>
      </c>
      <c r="G8" s="96">
        <v>100</v>
      </c>
      <c r="H8" s="96">
        <v>100</v>
      </c>
      <c r="I8" s="96" t="s">
        <v>29</v>
      </c>
      <c r="J8" s="93"/>
      <c r="K8" s="93">
        <v>1201</v>
      </c>
      <c r="L8" s="93">
        <v>100</v>
      </c>
      <c r="M8" s="93">
        <v>100</v>
      </c>
      <c r="N8" s="93">
        <v>100</v>
      </c>
      <c r="O8" s="93">
        <v>100</v>
      </c>
      <c r="P8" s="93">
        <v>100</v>
      </c>
      <c r="Q8" s="93">
        <v>100</v>
      </c>
      <c r="R8" s="93">
        <v>100</v>
      </c>
      <c r="S8" s="93" t="s">
        <v>29</v>
      </c>
      <c r="T8" s="93"/>
      <c r="U8" s="96">
        <v>2</v>
      </c>
      <c r="V8" s="100">
        <v>0</v>
      </c>
      <c r="W8" s="100">
        <v>0</v>
      </c>
      <c r="X8" s="100">
        <v>0</v>
      </c>
      <c r="Y8" s="100">
        <v>0</v>
      </c>
      <c r="Z8" s="100">
        <v>0</v>
      </c>
      <c r="AA8" s="100">
        <v>0</v>
      </c>
      <c r="AB8" s="100">
        <v>5</v>
      </c>
      <c r="AC8" s="99" t="s">
        <v>48</v>
      </c>
      <c r="AD8" s="96"/>
      <c r="AE8" s="93">
        <v>2</v>
      </c>
      <c r="AF8" s="104">
        <v>0</v>
      </c>
      <c r="AG8" s="104">
        <v>0</v>
      </c>
      <c r="AH8" s="104">
        <v>0</v>
      </c>
      <c r="AI8" s="104">
        <v>5</v>
      </c>
      <c r="AJ8" s="104">
        <v>10</v>
      </c>
      <c r="AK8" s="104">
        <v>15</v>
      </c>
      <c r="AL8" s="104">
        <v>20</v>
      </c>
      <c r="AM8" s="103" t="s">
        <v>48</v>
      </c>
      <c r="AN8" s="93"/>
      <c r="AO8" s="113" t="s">
        <v>158</v>
      </c>
      <c r="AP8" s="100">
        <v>0</v>
      </c>
      <c r="AQ8" s="100">
        <v>0</v>
      </c>
      <c r="AR8" s="100">
        <v>0</v>
      </c>
      <c r="AS8" s="100">
        <v>0</v>
      </c>
      <c r="AT8" s="100">
        <v>0</v>
      </c>
      <c r="AU8" s="100">
        <v>10</v>
      </c>
      <c r="AV8" s="100">
        <v>20</v>
      </c>
      <c r="AW8" s="125" t="s">
        <v>48</v>
      </c>
      <c r="AX8" s="23"/>
      <c r="AY8" s="108" t="s">
        <v>158</v>
      </c>
      <c r="AZ8" s="104">
        <v>0</v>
      </c>
      <c r="BA8" s="104">
        <v>0</v>
      </c>
      <c r="BB8" s="104">
        <v>0</v>
      </c>
      <c r="BC8" s="104">
        <v>0</v>
      </c>
      <c r="BD8" s="151">
        <v>0</v>
      </c>
      <c r="BE8" s="151">
        <v>10</v>
      </c>
      <c r="BF8" s="151">
        <v>20</v>
      </c>
      <c r="BG8" s="103" t="s">
        <v>48</v>
      </c>
      <c r="BH8" s="106"/>
      <c r="BI8" s="101">
        <v>0</v>
      </c>
      <c r="BJ8" s="100">
        <v>0</v>
      </c>
      <c r="BK8" s="100">
        <v>0</v>
      </c>
      <c r="BL8" s="100">
        <v>0</v>
      </c>
      <c r="BM8" s="100">
        <v>0</v>
      </c>
      <c r="BN8" s="100">
        <v>0</v>
      </c>
      <c r="BO8" s="105">
        <v>0</v>
      </c>
      <c r="BP8" s="104">
        <v>0</v>
      </c>
      <c r="BQ8" s="104">
        <v>0</v>
      </c>
      <c r="BR8" s="104">
        <v>0</v>
      </c>
      <c r="BS8" s="104">
        <v>0</v>
      </c>
      <c r="BT8" s="104">
        <v>0</v>
      </c>
      <c r="BU8" s="105">
        <v>0</v>
      </c>
      <c r="BV8" s="104">
        <v>0</v>
      </c>
      <c r="BW8" s="104">
        <v>0</v>
      </c>
      <c r="BX8" s="104">
        <v>0</v>
      </c>
      <c r="BY8" s="104">
        <v>0</v>
      </c>
      <c r="BZ8" s="104">
        <v>0</v>
      </c>
      <c r="CA8" s="11" t="s">
        <v>68</v>
      </c>
      <c r="CB8" s="12">
        <v>3</v>
      </c>
      <c r="CC8" s="2"/>
      <c r="CD8" s="27" t="s">
        <v>29</v>
      </c>
      <c r="CE8" s="32">
        <v>3</v>
      </c>
      <c r="CH8" s="1">
        <v>19</v>
      </c>
      <c r="CI8" s="12">
        <v>1</v>
      </c>
    </row>
    <row r="9" spans="1:87" x14ac:dyDescent="0.2">
      <c r="A9" s="96">
        <v>1103</v>
      </c>
      <c r="B9" s="96">
        <v>100</v>
      </c>
      <c r="C9" s="96">
        <v>100</v>
      </c>
      <c r="D9" s="96">
        <v>100</v>
      </c>
      <c r="E9" s="96">
        <v>100</v>
      </c>
      <c r="F9" s="96">
        <v>100</v>
      </c>
      <c r="G9" s="96">
        <v>100</v>
      </c>
      <c r="H9" s="96">
        <v>100</v>
      </c>
      <c r="I9" s="96" t="s">
        <v>29</v>
      </c>
      <c r="J9" s="93"/>
      <c r="K9" s="93">
        <v>1202</v>
      </c>
      <c r="L9" s="93">
        <v>100</v>
      </c>
      <c r="M9" s="93">
        <v>100</v>
      </c>
      <c r="N9" s="93">
        <v>100</v>
      </c>
      <c r="O9" s="93">
        <v>100</v>
      </c>
      <c r="P9" s="93">
        <v>100</v>
      </c>
      <c r="Q9" s="93">
        <v>100</v>
      </c>
      <c r="R9" s="93">
        <v>100</v>
      </c>
      <c r="S9" s="93" t="s">
        <v>29</v>
      </c>
      <c r="T9" s="93"/>
      <c r="U9" s="96">
        <v>3</v>
      </c>
      <c r="V9" s="100">
        <v>0</v>
      </c>
      <c r="W9" s="100">
        <v>0</v>
      </c>
      <c r="X9" s="100">
        <v>0</v>
      </c>
      <c r="Y9" s="100">
        <v>0</v>
      </c>
      <c r="Z9" s="100">
        <v>0</v>
      </c>
      <c r="AA9" s="100">
        <v>5</v>
      </c>
      <c r="AB9" s="100">
        <v>10</v>
      </c>
      <c r="AC9" s="99" t="s">
        <v>48</v>
      </c>
      <c r="AD9" s="96"/>
      <c r="AE9" s="105">
        <v>3</v>
      </c>
      <c r="AF9" s="104">
        <v>0</v>
      </c>
      <c r="AG9" s="104">
        <v>0</v>
      </c>
      <c r="AH9" s="104">
        <v>0</v>
      </c>
      <c r="AI9" s="104">
        <v>10</v>
      </c>
      <c r="AJ9" s="104">
        <v>20</v>
      </c>
      <c r="AK9" s="104">
        <v>30</v>
      </c>
      <c r="AL9" s="104">
        <v>40</v>
      </c>
      <c r="AM9" s="93" t="s">
        <v>29</v>
      </c>
      <c r="AN9" s="93"/>
      <c r="AO9" s="113" t="s">
        <v>159</v>
      </c>
      <c r="AP9" s="100">
        <v>0</v>
      </c>
      <c r="AQ9" s="100">
        <v>0</v>
      </c>
      <c r="AR9" s="100">
        <v>0</v>
      </c>
      <c r="AS9" s="100">
        <v>0</v>
      </c>
      <c r="AT9" s="100">
        <v>0</v>
      </c>
      <c r="AU9" s="100">
        <v>10</v>
      </c>
      <c r="AV9" s="100">
        <v>30</v>
      </c>
      <c r="AW9" s="125" t="s">
        <v>48</v>
      </c>
      <c r="AX9" s="23"/>
      <c r="AY9" s="108" t="s">
        <v>159</v>
      </c>
      <c r="AZ9" s="104">
        <v>0</v>
      </c>
      <c r="BA9" s="104">
        <v>0</v>
      </c>
      <c r="BB9" s="104">
        <v>0</v>
      </c>
      <c r="BC9" s="104">
        <v>0</v>
      </c>
      <c r="BD9" s="151">
        <v>0</v>
      </c>
      <c r="BE9" s="151">
        <v>10</v>
      </c>
      <c r="BF9" s="151">
        <v>30</v>
      </c>
      <c r="BG9" s="103" t="s">
        <v>48</v>
      </c>
      <c r="BH9" s="106"/>
      <c r="BI9" s="101">
        <v>0</v>
      </c>
      <c r="BJ9" s="100">
        <v>0</v>
      </c>
      <c r="BK9" s="100">
        <v>0</v>
      </c>
      <c r="BL9" s="100">
        <v>0</v>
      </c>
      <c r="BM9" s="100">
        <v>0</v>
      </c>
      <c r="BN9" s="100">
        <v>0</v>
      </c>
      <c r="BO9" s="105">
        <v>0</v>
      </c>
      <c r="BP9" s="104">
        <v>0</v>
      </c>
      <c r="BQ9" s="104">
        <v>0</v>
      </c>
      <c r="BR9" s="104">
        <v>0</v>
      </c>
      <c r="BS9" s="104">
        <v>0</v>
      </c>
      <c r="BT9" s="104">
        <v>0</v>
      </c>
      <c r="BU9" s="105">
        <v>0</v>
      </c>
      <c r="BV9" s="104">
        <v>0</v>
      </c>
      <c r="BW9" s="104">
        <v>0</v>
      </c>
      <c r="BX9" s="104">
        <v>0</v>
      </c>
      <c r="BY9" s="104">
        <v>0</v>
      </c>
      <c r="BZ9" s="104">
        <v>0</v>
      </c>
      <c r="CA9" s="11" t="s">
        <v>54</v>
      </c>
      <c r="CB9" s="12">
        <v>4</v>
      </c>
      <c r="CC9" s="2"/>
      <c r="CD9" s="27" t="s">
        <v>30</v>
      </c>
      <c r="CE9" s="32">
        <v>4</v>
      </c>
      <c r="CH9" s="1">
        <v>20</v>
      </c>
      <c r="CI9" s="12">
        <v>1</v>
      </c>
    </row>
    <row r="10" spans="1:87" x14ac:dyDescent="0.2">
      <c r="A10" s="96">
        <v>1104</v>
      </c>
      <c r="B10" s="96">
        <v>100</v>
      </c>
      <c r="C10" s="96">
        <v>100</v>
      </c>
      <c r="D10" s="96">
        <v>100</v>
      </c>
      <c r="E10" s="96">
        <v>100</v>
      </c>
      <c r="F10" s="96">
        <v>100</v>
      </c>
      <c r="G10" s="96">
        <v>100</v>
      </c>
      <c r="H10" s="96">
        <v>100</v>
      </c>
      <c r="I10" s="96" t="s">
        <v>29</v>
      </c>
      <c r="J10" s="93"/>
      <c r="K10" s="93">
        <v>1203</v>
      </c>
      <c r="L10" s="93">
        <v>100</v>
      </c>
      <c r="M10" s="93">
        <v>100</v>
      </c>
      <c r="N10" s="93">
        <v>100</v>
      </c>
      <c r="O10" s="93">
        <v>100</v>
      </c>
      <c r="P10" s="93">
        <v>100</v>
      </c>
      <c r="Q10" s="93">
        <v>100</v>
      </c>
      <c r="R10" s="93">
        <v>100</v>
      </c>
      <c r="S10" s="93" t="s">
        <v>29</v>
      </c>
      <c r="T10" s="93"/>
      <c r="U10" s="96">
        <v>4</v>
      </c>
      <c r="V10" s="100">
        <v>0</v>
      </c>
      <c r="W10" s="100">
        <v>0</v>
      </c>
      <c r="X10" s="100">
        <v>0</v>
      </c>
      <c r="Y10" s="100">
        <v>0</v>
      </c>
      <c r="Z10" s="100">
        <v>0</v>
      </c>
      <c r="AA10" s="100">
        <v>10</v>
      </c>
      <c r="AB10" s="100">
        <v>15</v>
      </c>
      <c r="AC10" s="99" t="s">
        <v>48</v>
      </c>
      <c r="AD10" s="96"/>
      <c r="AE10" s="105">
        <v>4</v>
      </c>
      <c r="AF10" s="104">
        <v>0</v>
      </c>
      <c r="AG10" s="104">
        <v>0</v>
      </c>
      <c r="AH10" s="104">
        <v>5</v>
      </c>
      <c r="AI10" s="104">
        <v>15</v>
      </c>
      <c r="AJ10" s="104">
        <v>30</v>
      </c>
      <c r="AK10" s="104">
        <v>40</v>
      </c>
      <c r="AL10" s="105">
        <v>50</v>
      </c>
      <c r="AM10" s="93" t="s">
        <v>29</v>
      </c>
      <c r="AN10" s="93"/>
      <c r="AO10" s="113" t="s">
        <v>160</v>
      </c>
      <c r="AP10" s="100">
        <v>0</v>
      </c>
      <c r="AQ10" s="100">
        <v>0</v>
      </c>
      <c r="AR10" s="100">
        <v>0</v>
      </c>
      <c r="AS10" s="100">
        <v>0</v>
      </c>
      <c r="AT10" s="100">
        <v>10</v>
      </c>
      <c r="AU10" s="100">
        <v>20</v>
      </c>
      <c r="AV10" s="100">
        <v>40</v>
      </c>
      <c r="AW10" s="96" t="s">
        <v>29</v>
      </c>
      <c r="AX10" s="96"/>
      <c r="AY10" s="108" t="s">
        <v>160</v>
      </c>
      <c r="AZ10" s="104">
        <v>0</v>
      </c>
      <c r="BA10" s="104">
        <v>0</v>
      </c>
      <c r="BB10" s="104">
        <v>0</v>
      </c>
      <c r="BC10" s="104">
        <v>0</v>
      </c>
      <c r="BD10" s="151">
        <v>10</v>
      </c>
      <c r="BE10" s="151">
        <v>20</v>
      </c>
      <c r="BF10" s="151">
        <v>40</v>
      </c>
      <c r="BG10" s="93" t="s">
        <v>29</v>
      </c>
      <c r="BH10" s="106"/>
      <c r="BI10" s="101">
        <v>0</v>
      </c>
      <c r="BJ10" s="100">
        <v>0</v>
      </c>
      <c r="BK10" s="100">
        <v>0</v>
      </c>
      <c r="BL10" s="100">
        <v>0</v>
      </c>
      <c r="BM10" s="100">
        <v>0</v>
      </c>
      <c r="BN10" s="100">
        <v>0</v>
      </c>
      <c r="BO10" s="105">
        <v>0</v>
      </c>
      <c r="BP10" s="104">
        <v>0</v>
      </c>
      <c r="BQ10" s="104">
        <v>0</v>
      </c>
      <c r="BR10" s="104">
        <v>0</v>
      </c>
      <c r="BS10" s="104">
        <v>0</v>
      </c>
      <c r="BT10" s="104">
        <v>0</v>
      </c>
      <c r="BU10" s="105">
        <v>0</v>
      </c>
      <c r="BV10" s="104">
        <v>0</v>
      </c>
      <c r="BW10" s="104">
        <v>0</v>
      </c>
      <c r="BX10" s="104">
        <v>0</v>
      </c>
      <c r="BY10" s="104">
        <v>0</v>
      </c>
      <c r="BZ10" s="104">
        <v>0</v>
      </c>
      <c r="CA10" s="11" t="s">
        <v>55</v>
      </c>
      <c r="CB10" s="12">
        <v>5</v>
      </c>
      <c r="CC10" s="2"/>
      <c r="CD10" s="27" t="s">
        <v>31</v>
      </c>
      <c r="CE10" s="32">
        <v>5</v>
      </c>
      <c r="CH10" s="1">
        <v>21</v>
      </c>
      <c r="CI10" s="12">
        <v>1</v>
      </c>
    </row>
    <row r="11" spans="1:87" x14ac:dyDescent="0.2">
      <c r="A11" s="96">
        <v>1105</v>
      </c>
      <c r="B11" s="96">
        <v>100</v>
      </c>
      <c r="C11" s="96">
        <v>100</v>
      </c>
      <c r="D11" s="96">
        <v>100</v>
      </c>
      <c r="E11" s="96">
        <v>100</v>
      </c>
      <c r="F11" s="96">
        <v>100</v>
      </c>
      <c r="G11" s="96">
        <v>100</v>
      </c>
      <c r="H11" s="96">
        <v>100</v>
      </c>
      <c r="I11" s="96" t="s">
        <v>29</v>
      </c>
      <c r="J11" s="93"/>
      <c r="K11" s="93">
        <v>1204</v>
      </c>
      <c r="L11" s="93">
        <v>100</v>
      </c>
      <c r="M11" s="93">
        <v>100</v>
      </c>
      <c r="N11" s="93">
        <v>100</v>
      </c>
      <c r="O11" s="93">
        <v>100</v>
      </c>
      <c r="P11" s="93">
        <v>100</v>
      </c>
      <c r="Q11" s="93">
        <v>100</v>
      </c>
      <c r="R11" s="93">
        <v>100</v>
      </c>
      <c r="S11" s="93" t="s">
        <v>29</v>
      </c>
      <c r="T11" s="93"/>
      <c r="U11" s="96">
        <v>5</v>
      </c>
      <c r="V11" s="100">
        <v>0</v>
      </c>
      <c r="W11" s="100">
        <v>0</v>
      </c>
      <c r="X11" s="100">
        <v>0</v>
      </c>
      <c r="Y11" s="100">
        <v>0</v>
      </c>
      <c r="Z11" s="100">
        <v>5</v>
      </c>
      <c r="AA11" s="100">
        <v>15</v>
      </c>
      <c r="AB11" s="100">
        <v>20</v>
      </c>
      <c r="AC11" s="99" t="s">
        <v>48</v>
      </c>
      <c r="AD11" s="96"/>
      <c r="AE11" s="105">
        <v>5</v>
      </c>
      <c r="AF11" s="104">
        <v>0</v>
      </c>
      <c r="AG11" s="104">
        <v>0</v>
      </c>
      <c r="AH11" s="104">
        <v>10</v>
      </c>
      <c r="AI11" s="104">
        <v>20</v>
      </c>
      <c r="AJ11" s="104">
        <v>35</v>
      </c>
      <c r="AK11" s="105">
        <v>50</v>
      </c>
      <c r="AL11" s="105">
        <v>65</v>
      </c>
      <c r="AM11" s="93" t="s">
        <v>29</v>
      </c>
      <c r="AN11" s="93"/>
      <c r="AO11" s="113" t="s">
        <v>161</v>
      </c>
      <c r="AP11" s="100">
        <v>0</v>
      </c>
      <c r="AQ11" s="100">
        <v>0</v>
      </c>
      <c r="AR11" s="100">
        <v>0</v>
      </c>
      <c r="AS11" s="100">
        <v>0</v>
      </c>
      <c r="AT11" s="100">
        <v>10</v>
      </c>
      <c r="AU11" s="100">
        <v>20</v>
      </c>
      <c r="AV11" s="100">
        <v>50</v>
      </c>
      <c r="AW11" s="96" t="s">
        <v>29</v>
      </c>
      <c r="AX11" s="96"/>
      <c r="AY11" s="108" t="s">
        <v>161</v>
      </c>
      <c r="AZ11" s="104">
        <v>0</v>
      </c>
      <c r="BA11" s="104">
        <v>0</v>
      </c>
      <c r="BB11" s="104">
        <v>0</v>
      </c>
      <c r="BC11" s="104">
        <v>0</v>
      </c>
      <c r="BD11" s="151">
        <v>10</v>
      </c>
      <c r="BE11" s="151">
        <v>20</v>
      </c>
      <c r="BF11" s="151">
        <v>50</v>
      </c>
      <c r="BG11" s="93" t="s">
        <v>29</v>
      </c>
      <c r="BH11" s="106"/>
      <c r="BI11" s="101">
        <v>1</v>
      </c>
      <c r="BJ11" s="100">
        <v>0</v>
      </c>
      <c r="BK11" s="100">
        <v>10</v>
      </c>
      <c r="BL11" s="100">
        <v>20</v>
      </c>
      <c r="BM11" s="100">
        <v>40</v>
      </c>
      <c r="BN11" s="100">
        <v>50</v>
      </c>
      <c r="BO11" s="105">
        <v>0</v>
      </c>
      <c r="BP11" s="104">
        <v>0</v>
      </c>
      <c r="BQ11" s="104">
        <v>0</v>
      </c>
      <c r="BR11" s="104">
        <v>0</v>
      </c>
      <c r="BS11" s="104">
        <v>0</v>
      </c>
      <c r="BT11" s="104">
        <v>0</v>
      </c>
      <c r="BU11" s="105">
        <v>0</v>
      </c>
      <c r="BV11" s="104">
        <v>0</v>
      </c>
      <c r="BW11" s="104">
        <v>0</v>
      </c>
      <c r="BX11" s="104">
        <v>0</v>
      </c>
      <c r="BY11" s="104">
        <v>0</v>
      </c>
      <c r="BZ11" s="104">
        <v>0</v>
      </c>
      <c r="CA11" s="11" t="s">
        <v>56</v>
      </c>
      <c r="CB11" s="12">
        <v>6</v>
      </c>
      <c r="CC11" s="2"/>
      <c r="CD11" s="27" t="s">
        <v>32</v>
      </c>
      <c r="CE11" s="32">
        <v>6</v>
      </c>
      <c r="CH11" s="1">
        <v>22</v>
      </c>
      <c r="CI11" s="12">
        <v>1</v>
      </c>
    </row>
    <row r="12" spans="1:87" x14ac:dyDescent="0.2">
      <c r="A12" s="96">
        <v>1106</v>
      </c>
      <c r="B12" s="96">
        <v>100</v>
      </c>
      <c r="C12" s="96">
        <v>100</v>
      </c>
      <c r="D12" s="96">
        <v>100</v>
      </c>
      <c r="E12" s="96">
        <v>100</v>
      </c>
      <c r="F12" s="96">
        <v>100</v>
      </c>
      <c r="G12" s="96">
        <v>100</v>
      </c>
      <c r="H12" s="96">
        <v>100</v>
      </c>
      <c r="I12" s="96" t="s">
        <v>29</v>
      </c>
      <c r="J12" s="93"/>
      <c r="K12" s="93">
        <v>1205</v>
      </c>
      <c r="L12" s="93">
        <v>100</v>
      </c>
      <c r="M12" s="93">
        <v>100</v>
      </c>
      <c r="N12" s="93">
        <v>100</v>
      </c>
      <c r="O12" s="93">
        <v>100</v>
      </c>
      <c r="P12" s="93">
        <v>100</v>
      </c>
      <c r="Q12" s="93">
        <v>100</v>
      </c>
      <c r="R12" s="93">
        <v>100</v>
      </c>
      <c r="S12" s="93" t="s">
        <v>29</v>
      </c>
      <c r="T12" s="93"/>
      <c r="U12" s="96">
        <v>6</v>
      </c>
      <c r="V12" s="100">
        <v>0</v>
      </c>
      <c r="W12" s="100">
        <v>0</v>
      </c>
      <c r="X12" s="100">
        <v>0</v>
      </c>
      <c r="Y12" s="100">
        <v>0</v>
      </c>
      <c r="Z12" s="100">
        <v>10</v>
      </c>
      <c r="AA12" s="100">
        <v>20</v>
      </c>
      <c r="AB12" s="100">
        <v>25</v>
      </c>
      <c r="AC12" s="99" t="s">
        <v>48</v>
      </c>
      <c r="AD12" s="96"/>
      <c r="AE12" s="105">
        <v>6</v>
      </c>
      <c r="AF12" s="104">
        <v>0</v>
      </c>
      <c r="AG12" s="104">
        <v>0</v>
      </c>
      <c r="AH12" s="104">
        <v>15</v>
      </c>
      <c r="AI12" s="104">
        <v>25</v>
      </c>
      <c r="AJ12" s="104">
        <v>40</v>
      </c>
      <c r="AK12" s="105">
        <v>60</v>
      </c>
      <c r="AL12" s="105">
        <v>80</v>
      </c>
      <c r="AM12" s="93" t="s">
        <v>29</v>
      </c>
      <c r="AN12" s="93"/>
      <c r="AO12" s="113" t="s">
        <v>162</v>
      </c>
      <c r="AP12" s="100">
        <v>0</v>
      </c>
      <c r="AQ12" s="100">
        <v>0</v>
      </c>
      <c r="AR12" s="100">
        <v>0</v>
      </c>
      <c r="AS12" s="100">
        <v>0</v>
      </c>
      <c r="AT12" s="100">
        <v>20</v>
      </c>
      <c r="AU12" s="100">
        <v>30</v>
      </c>
      <c r="AV12" s="100">
        <v>60</v>
      </c>
      <c r="AW12" s="96" t="s">
        <v>29</v>
      </c>
      <c r="AX12" s="96"/>
      <c r="AY12" s="108" t="s">
        <v>162</v>
      </c>
      <c r="AZ12" s="104">
        <v>0</v>
      </c>
      <c r="BA12" s="104">
        <v>0</v>
      </c>
      <c r="BB12" s="104">
        <v>0</v>
      </c>
      <c r="BC12" s="104">
        <v>0</v>
      </c>
      <c r="BD12" s="151">
        <v>20</v>
      </c>
      <c r="BE12" s="151">
        <v>30</v>
      </c>
      <c r="BF12" s="151">
        <v>60</v>
      </c>
      <c r="BG12" s="93" t="s">
        <v>29</v>
      </c>
      <c r="BH12" s="106"/>
      <c r="BI12" s="101">
        <v>2</v>
      </c>
      <c r="BJ12" s="100">
        <v>10</v>
      </c>
      <c r="BK12" s="100">
        <v>20</v>
      </c>
      <c r="BL12" s="100">
        <v>40</v>
      </c>
      <c r="BM12" s="100">
        <v>50</v>
      </c>
      <c r="BN12" s="100">
        <v>60</v>
      </c>
      <c r="BO12" s="105">
        <v>0</v>
      </c>
      <c r="BP12" s="104">
        <v>0</v>
      </c>
      <c r="BQ12" s="104">
        <v>0</v>
      </c>
      <c r="BR12" s="104">
        <v>0</v>
      </c>
      <c r="BS12" s="104">
        <v>0</v>
      </c>
      <c r="BT12" s="104">
        <v>0</v>
      </c>
      <c r="BU12" s="105">
        <v>0</v>
      </c>
      <c r="BV12" s="104">
        <v>0</v>
      </c>
      <c r="BW12" s="104">
        <v>0</v>
      </c>
      <c r="BX12" s="104">
        <v>0</v>
      </c>
      <c r="BY12" s="104">
        <v>0</v>
      </c>
      <c r="BZ12" s="104">
        <v>0</v>
      </c>
      <c r="CA12" s="11" t="s">
        <v>57</v>
      </c>
      <c r="CB12" s="12">
        <v>7</v>
      </c>
      <c r="CC12" s="2"/>
      <c r="CD12" s="27" t="s">
        <v>33</v>
      </c>
      <c r="CE12" s="32">
        <v>7</v>
      </c>
      <c r="CH12" s="1">
        <v>23</v>
      </c>
      <c r="CI12" s="12">
        <v>1</v>
      </c>
    </row>
    <row r="13" spans="1:87" x14ac:dyDescent="0.2">
      <c r="A13" s="96">
        <v>1107</v>
      </c>
      <c r="B13" s="96">
        <v>100</v>
      </c>
      <c r="C13" s="96">
        <v>100</v>
      </c>
      <c r="D13" s="96">
        <v>100</v>
      </c>
      <c r="E13" s="96">
        <v>100</v>
      </c>
      <c r="F13" s="96">
        <v>100</v>
      </c>
      <c r="G13" s="96">
        <v>100</v>
      </c>
      <c r="H13" s="96">
        <v>100</v>
      </c>
      <c r="I13" s="96" t="s">
        <v>29</v>
      </c>
      <c r="J13" s="93"/>
      <c r="K13" s="93">
        <v>1206</v>
      </c>
      <c r="L13" s="93">
        <v>100</v>
      </c>
      <c r="M13" s="93">
        <v>100</v>
      </c>
      <c r="N13" s="93">
        <v>100</v>
      </c>
      <c r="O13" s="93">
        <v>100</v>
      </c>
      <c r="P13" s="93">
        <v>100</v>
      </c>
      <c r="Q13" s="93">
        <v>100</v>
      </c>
      <c r="R13" s="93">
        <v>100</v>
      </c>
      <c r="S13" s="93" t="s">
        <v>29</v>
      </c>
      <c r="T13" s="93"/>
      <c r="U13" s="96">
        <v>7</v>
      </c>
      <c r="V13" s="100">
        <v>0</v>
      </c>
      <c r="W13" s="100">
        <v>0</v>
      </c>
      <c r="X13" s="100">
        <v>0</v>
      </c>
      <c r="Y13" s="100">
        <v>5</v>
      </c>
      <c r="Z13" s="100">
        <v>15</v>
      </c>
      <c r="AA13" s="100">
        <v>25</v>
      </c>
      <c r="AB13" s="100">
        <v>30</v>
      </c>
      <c r="AC13" s="99" t="s">
        <v>48</v>
      </c>
      <c r="AD13" s="96"/>
      <c r="AE13" s="105">
        <v>7</v>
      </c>
      <c r="AF13" s="104">
        <v>0</v>
      </c>
      <c r="AG13" s="104">
        <v>0</v>
      </c>
      <c r="AH13" s="104">
        <v>20</v>
      </c>
      <c r="AI13" s="104">
        <v>30</v>
      </c>
      <c r="AJ13" s="104">
        <v>45</v>
      </c>
      <c r="AK13" s="105">
        <v>65</v>
      </c>
      <c r="AL13" s="105">
        <v>85</v>
      </c>
      <c r="AM13" s="93" t="s">
        <v>29</v>
      </c>
      <c r="AN13" s="93"/>
      <c r="AO13" s="113" t="s">
        <v>163</v>
      </c>
      <c r="AP13" s="100">
        <v>0</v>
      </c>
      <c r="AQ13" s="100">
        <v>0</v>
      </c>
      <c r="AR13" s="100">
        <v>0</v>
      </c>
      <c r="AS13" s="100">
        <v>0</v>
      </c>
      <c r="AT13" s="100">
        <v>20</v>
      </c>
      <c r="AU13" s="100">
        <v>30</v>
      </c>
      <c r="AV13" s="101">
        <v>70</v>
      </c>
      <c r="AW13" s="96" t="s">
        <v>29</v>
      </c>
      <c r="AX13" s="96"/>
      <c r="AY13" s="108" t="s">
        <v>163</v>
      </c>
      <c r="AZ13" s="104">
        <v>0</v>
      </c>
      <c r="BA13" s="104">
        <v>0</v>
      </c>
      <c r="BB13" s="104">
        <v>0</v>
      </c>
      <c r="BC13" s="104">
        <v>0</v>
      </c>
      <c r="BD13" s="151">
        <v>20</v>
      </c>
      <c r="BE13" s="151">
        <v>30</v>
      </c>
      <c r="BF13" s="152">
        <v>70</v>
      </c>
      <c r="BG13" s="93" t="s">
        <v>29</v>
      </c>
      <c r="BH13" s="106"/>
      <c r="BI13" s="101">
        <v>3</v>
      </c>
      <c r="BJ13" s="100">
        <v>20</v>
      </c>
      <c r="BK13" s="100">
        <v>30</v>
      </c>
      <c r="BL13" s="100">
        <v>50</v>
      </c>
      <c r="BM13" s="100">
        <v>60</v>
      </c>
      <c r="BN13" s="101">
        <v>70</v>
      </c>
      <c r="BO13" s="105">
        <v>0</v>
      </c>
      <c r="BP13" s="104">
        <v>0</v>
      </c>
      <c r="BQ13" s="104">
        <v>0</v>
      </c>
      <c r="BR13" s="104">
        <v>0</v>
      </c>
      <c r="BS13" s="104">
        <v>0</v>
      </c>
      <c r="BT13" s="104">
        <v>0</v>
      </c>
      <c r="BU13" s="105">
        <v>0</v>
      </c>
      <c r="BV13" s="104">
        <v>0</v>
      </c>
      <c r="BW13" s="104">
        <v>0</v>
      </c>
      <c r="BX13" s="104">
        <v>0</v>
      </c>
      <c r="BY13" s="104">
        <v>0</v>
      </c>
      <c r="BZ13" s="104">
        <v>0</v>
      </c>
      <c r="CA13" s="11" t="s">
        <v>69</v>
      </c>
      <c r="CB13" s="12">
        <v>8</v>
      </c>
      <c r="CC13" s="2"/>
      <c r="CD13" s="27" t="s">
        <v>34</v>
      </c>
      <c r="CE13" s="32">
        <v>8</v>
      </c>
      <c r="CH13" s="1">
        <v>24</v>
      </c>
      <c r="CI13" s="12">
        <v>1</v>
      </c>
    </row>
    <row r="14" spans="1:87" x14ac:dyDescent="0.2">
      <c r="A14" s="96">
        <v>1108</v>
      </c>
      <c r="B14" s="96">
        <v>100</v>
      </c>
      <c r="C14" s="96">
        <v>100</v>
      </c>
      <c r="D14" s="96">
        <v>100</v>
      </c>
      <c r="E14" s="96">
        <v>100</v>
      </c>
      <c r="F14" s="96">
        <v>100</v>
      </c>
      <c r="G14" s="96">
        <v>100</v>
      </c>
      <c r="H14" s="96">
        <v>100</v>
      </c>
      <c r="I14" s="96" t="s">
        <v>29</v>
      </c>
      <c r="J14" s="93"/>
      <c r="K14" s="93">
        <v>1207</v>
      </c>
      <c r="L14" s="93">
        <v>100</v>
      </c>
      <c r="M14" s="93">
        <v>100</v>
      </c>
      <c r="N14" s="93">
        <v>100</v>
      </c>
      <c r="O14" s="93">
        <v>100</v>
      </c>
      <c r="P14" s="93">
        <v>100</v>
      </c>
      <c r="Q14" s="93">
        <v>100</v>
      </c>
      <c r="R14" s="93">
        <v>100</v>
      </c>
      <c r="S14" s="93" t="s">
        <v>29</v>
      </c>
      <c r="T14" s="93"/>
      <c r="U14" s="96">
        <v>8</v>
      </c>
      <c r="V14" s="100">
        <v>0</v>
      </c>
      <c r="W14" s="100">
        <v>0</v>
      </c>
      <c r="X14" s="100">
        <v>0</v>
      </c>
      <c r="Y14" s="100">
        <v>10</v>
      </c>
      <c r="Z14" s="100">
        <v>20</v>
      </c>
      <c r="AA14" s="100">
        <v>30</v>
      </c>
      <c r="AB14" s="100">
        <v>35</v>
      </c>
      <c r="AC14" s="99" t="s">
        <v>48</v>
      </c>
      <c r="AD14" s="96"/>
      <c r="AE14" s="105">
        <v>8</v>
      </c>
      <c r="AF14" s="104">
        <v>0</v>
      </c>
      <c r="AG14" s="104">
        <v>5</v>
      </c>
      <c r="AH14" s="104">
        <v>25</v>
      </c>
      <c r="AI14" s="104">
        <v>35</v>
      </c>
      <c r="AJ14" s="105">
        <v>50</v>
      </c>
      <c r="AK14" s="105">
        <v>70</v>
      </c>
      <c r="AL14" s="105">
        <v>90</v>
      </c>
      <c r="AM14" s="93" t="s">
        <v>29</v>
      </c>
      <c r="AN14" s="93"/>
      <c r="AO14" s="113" t="s">
        <v>164</v>
      </c>
      <c r="AP14" s="100">
        <v>0</v>
      </c>
      <c r="AQ14" s="100">
        <v>0</v>
      </c>
      <c r="AR14" s="100">
        <v>0</v>
      </c>
      <c r="AS14" s="100">
        <v>0</v>
      </c>
      <c r="AT14" s="100">
        <v>30</v>
      </c>
      <c r="AU14" s="100">
        <v>40</v>
      </c>
      <c r="AV14" s="101">
        <v>80</v>
      </c>
      <c r="AW14" s="96" t="s">
        <v>29</v>
      </c>
      <c r="AX14" s="96"/>
      <c r="AY14" s="108" t="s">
        <v>164</v>
      </c>
      <c r="AZ14" s="104">
        <v>0</v>
      </c>
      <c r="BA14" s="104">
        <v>0</v>
      </c>
      <c r="BB14" s="104">
        <v>0</v>
      </c>
      <c r="BC14" s="104">
        <v>0</v>
      </c>
      <c r="BD14" s="151">
        <v>30</v>
      </c>
      <c r="BE14" s="151">
        <v>40</v>
      </c>
      <c r="BF14" s="152">
        <v>80</v>
      </c>
      <c r="BG14" s="93" t="s">
        <v>29</v>
      </c>
      <c r="BH14" s="106"/>
      <c r="BI14" s="101">
        <v>4</v>
      </c>
      <c r="BJ14" s="100">
        <v>30</v>
      </c>
      <c r="BK14" s="100">
        <v>40</v>
      </c>
      <c r="BL14" s="100">
        <v>60</v>
      </c>
      <c r="BM14" s="101">
        <v>70</v>
      </c>
      <c r="BN14" s="101">
        <v>80</v>
      </c>
      <c r="BO14" s="105">
        <v>0</v>
      </c>
      <c r="BP14" s="104">
        <v>0</v>
      </c>
      <c r="BQ14" s="104">
        <v>0</v>
      </c>
      <c r="BR14" s="104">
        <v>0</v>
      </c>
      <c r="BS14" s="104">
        <v>0</v>
      </c>
      <c r="BT14" s="104">
        <v>0</v>
      </c>
      <c r="BU14" s="105">
        <v>0</v>
      </c>
      <c r="BV14" s="104">
        <v>0</v>
      </c>
      <c r="BW14" s="104">
        <v>0</v>
      </c>
      <c r="BX14" s="104">
        <v>0</v>
      </c>
      <c r="BY14" s="104">
        <v>0</v>
      </c>
      <c r="BZ14" s="104">
        <v>0</v>
      </c>
      <c r="CA14" s="11" t="s">
        <v>70</v>
      </c>
      <c r="CB14" s="12">
        <v>9</v>
      </c>
      <c r="CC14" s="2"/>
      <c r="CD14" s="27" t="s">
        <v>35</v>
      </c>
      <c r="CE14" s="32">
        <v>9</v>
      </c>
      <c r="CH14" s="1">
        <v>25</v>
      </c>
      <c r="CI14" s="12">
        <v>1</v>
      </c>
    </row>
    <row r="15" spans="1:87" x14ac:dyDescent="0.2">
      <c r="A15" s="96">
        <v>1109</v>
      </c>
      <c r="B15" s="96">
        <v>100</v>
      </c>
      <c r="C15" s="96">
        <v>100</v>
      </c>
      <c r="D15" s="96">
        <v>100</v>
      </c>
      <c r="E15" s="96">
        <v>100</v>
      </c>
      <c r="F15" s="96">
        <v>100</v>
      </c>
      <c r="G15" s="96">
        <v>100</v>
      </c>
      <c r="H15" s="96">
        <v>100</v>
      </c>
      <c r="I15" s="96" t="s">
        <v>29</v>
      </c>
      <c r="J15" s="93"/>
      <c r="K15" s="93">
        <v>1208</v>
      </c>
      <c r="L15" s="93">
        <v>100</v>
      </c>
      <c r="M15" s="93">
        <v>100</v>
      </c>
      <c r="N15" s="93">
        <v>100</v>
      </c>
      <c r="O15" s="93">
        <v>100</v>
      </c>
      <c r="P15" s="93">
        <v>100</v>
      </c>
      <c r="Q15" s="93">
        <v>100</v>
      </c>
      <c r="R15" s="93">
        <v>100</v>
      </c>
      <c r="S15" s="93" t="s">
        <v>29</v>
      </c>
      <c r="T15" s="93"/>
      <c r="U15" s="96">
        <v>9</v>
      </c>
      <c r="V15" s="100">
        <v>0</v>
      </c>
      <c r="W15" s="100">
        <v>0</v>
      </c>
      <c r="X15" s="100">
        <v>0</v>
      </c>
      <c r="Y15" s="100">
        <v>15</v>
      </c>
      <c r="Z15" s="100">
        <v>25</v>
      </c>
      <c r="AA15" s="100">
        <v>35</v>
      </c>
      <c r="AB15" s="101">
        <v>40</v>
      </c>
      <c r="AC15" s="96" t="s">
        <v>29</v>
      </c>
      <c r="AD15" s="96"/>
      <c r="AE15" s="105">
        <v>9</v>
      </c>
      <c r="AF15" s="104">
        <v>0</v>
      </c>
      <c r="AG15" s="104">
        <v>10</v>
      </c>
      <c r="AH15" s="104">
        <v>30</v>
      </c>
      <c r="AI15" s="104">
        <v>40</v>
      </c>
      <c r="AJ15" s="105">
        <v>55</v>
      </c>
      <c r="AK15" s="105">
        <v>75</v>
      </c>
      <c r="AL15" s="105">
        <v>95</v>
      </c>
      <c r="AM15" s="93" t="s">
        <v>29</v>
      </c>
      <c r="AN15" s="93"/>
      <c r="AO15" s="113" t="s">
        <v>165</v>
      </c>
      <c r="AP15" s="100">
        <v>0</v>
      </c>
      <c r="AQ15" s="100">
        <v>0</v>
      </c>
      <c r="AR15" s="100">
        <v>0</v>
      </c>
      <c r="AS15" s="100">
        <v>0</v>
      </c>
      <c r="AT15" s="100">
        <v>30</v>
      </c>
      <c r="AU15" s="100">
        <v>40</v>
      </c>
      <c r="AV15" s="101">
        <v>90</v>
      </c>
      <c r="AW15" s="96" t="s">
        <v>29</v>
      </c>
      <c r="AX15" s="96"/>
      <c r="AY15" s="108" t="s">
        <v>165</v>
      </c>
      <c r="AZ15" s="104">
        <v>0</v>
      </c>
      <c r="BA15" s="104">
        <v>0</v>
      </c>
      <c r="BB15" s="104">
        <v>0</v>
      </c>
      <c r="BC15" s="104">
        <v>0</v>
      </c>
      <c r="BD15" s="151">
        <v>30</v>
      </c>
      <c r="BE15" s="151">
        <v>40</v>
      </c>
      <c r="BF15" s="152">
        <v>90</v>
      </c>
      <c r="BG15" s="93" t="s">
        <v>29</v>
      </c>
      <c r="BH15" s="106"/>
      <c r="BI15" s="101">
        <v>5</v>
      </c>
      <c r="BJ15" s="100">
        <v>40</v>
      </c>
      <c r="BK15" s="100">
        <v>50</v>
      </c>
      <c r="BL15" s="101">
        <v>70</v>
      </c>
      <c r="BM15" s="101">
        <v>80</v>
      </c>
      <c r="BN15" s="101">
        <v>90</v>
      </c>
      <c r="BO15" s="105">
        <v>1</v>
      </c>
      <c r="BP15" s="104">
        <v>50</v>
      </c>
      <c r="BQ15" s="104">
        <v>60</v>
      </c>
      <c r="BR15" s="105">
        <v>70</v>
      </c>
      <c r="BS15" s="105">
        <v>70</v>
      </c>
      <c r="BT15" s="105">
        <v>70</v>
      </c>
      <c r="BU15" s="105">
        <v>1</v>
      </c>
      <c r="BV15" s="104">
        <v>50</v>
      </c>
      <c r="BW15" s="104">
        <v>60</v>
      </c>
      <c r="BX15" s="105">
        <v>70</v>
      </c>
      <c r="BY15" s="105">
        <v>70</v>
      </c>
      <c r="BZ15" s="105">
        <v>70</v>
      </c>
      <c r="CA15" s="11" t="s">
        <v>71</v>
      </c>
      <c r="CB15" s="12">
        <v>10</v>
      </c>
      <c r="CC15" s="2"/>
      <c r="CD15" s="27" t="s">
        <v>36</v>
      </c>
      <c r="CE15" s="32">
        <v>10</v>
      </c>
      <c r="CH15" s="1">
        <v>26</v>
      </c>
      <c r="CI15" s="12">
        <v>2</v>
      </c>
    </row>
    <row r="16" spans="1:87" x14ac:dyDescent="0.2">
      <c r="A16" s="96">
        <v>1110</v>
      </c>
      <c r="B16" s="96">
        <v>100</v>
      </c>
      <c r="C16" s="96">
        <v>100</v>
      </c>
      <c r="D16" s="96">
        <v>100</v>
      </c>
      <c r="E16" s="96">
        <v>100</v>
      </c>
      <c r="F16" s="96">
        <v>100</v>
      </c>
      <c r="G16" s="96">
        <v>100</v>
      </c>
      <c r="H16" s="96">
        <v>100</v>
      </c>
      <c r="I16" s="96" t="s">
        <v>29</v>
      </c>
      <c r="J16" s="93"/>
      <c r="K16" s="93">
        <v>1209</v>
      </c>
      <c r="L16" s="93">
        <v>100</v>
      </c>
      <c r="M16" s="93">
        <v>100</v>
      </c>
      <c r="N16" s="93">
        <v>100</v>
      </c>
      <c r="O16" s="93">
        <v>100</v>
      </c>
      <c r="P16" s="93">
        <v>100</v>
      </c>
      <c r="Q16" s="93">
        <v>100</v>
      </c>
      <c r="R16" s="93">
        <v>100</v>
      </c>
      <c r="S16" s="93" t="s">
        <v>29</v>
      </c>
      <c r="T16" s="93"/>
      <c r="U16" s="96">
        <v>10</v>
      </c>
      <c r="V16" s="100">
        <v>0</v>
      </c>
      <c r="W16" s="100">
        <v>0</v>
      </c>
      <c r="X16" s="100">
        <v>0</v>
      </c>
      <c r="Y16" s="100">
        <v>20</v>
      </c>
      <c r="Z16" s="100">
        <v>30</v>
      </c>
      <c r="AA16" s="101">
        <v>40</v>
      </c>
      <c r="AB16" s="101">
        <v>45</v>
      </c>
      <c r="AC16" s="96" t="s">
        <v>29</v>
      </c>
      <c r="AD16" s="96"/>
      <c r="AE16" s="105">
        <v>10</v>
      </c>
      <c r="AF16" s="104">
        <v>0</v>
      </c>
      <c r="AG16" s="104">
        <v>15</v>
      </c>
      <c r="AH16" s="104">
        <v>35</v>
      </c>
      <c r="AI16" s="104">
        <v>45</v>
      </c>
      <c r="AJ16" s="105">
        <v>60</v>
      </c>
      <c r="AK16" s="105">
        <v>80</v>
      </c>
      <c r="AL16" s="105">
        <v>100</v>
      </c>
      <c r="AM16" s="93" t="s">
        <v>29</v>
      </c>
      <c r="AN16" s="93"/>
      <c r="AO16" s="113" t="s">
        <v>166</v>
      </c>
      <c r="AP16" s="100">
        <v>0</v>
      </c>
      <c r="AQ16" s="100">
        <v>0</v>
      </c>
      <c r="AR16" s="100">
        <v>0</v>
      </c>
      <c r="AS16" s="100">
        <v>0</v>
      </c>
      <c r="AT16" s="100">
        <v>40</v>
      </c>
      <c r="AU16" s="100">
        <v>50</v>
      </c>
      <c r="AV16" s="101">
        <v>100</v>
      </c>
      <c r="AW16" s="96" t="s">
        <v>29</v>
      </c>
      <c r="AX16" s="96"/>
      <c r="AY16" s="108" t="s">
        <v>166</v>
      </c>
      <c r="AZ16" s="104">
        <v>0</v>
      </c>
      <c r="BA16" s="104">
        <v>0</v>
      </c>
      <c r="BB16" s="104">
        <v>0</v>
      </c>
      <c r="BC16" s="104">
        <v>0</v>
      </c>
      <c r="BD16" s="151">
        <v>40</v>
      </c>
      <c r="BE16" s="151">
        <v>50</v>
      </c>
      <c r="BF16" s="152">
        <v>100</v>
      </c>
      <c r="BG16" s="93" t="s">
        <v>29</v>
      </c>
      <c r="BH16" s="106"/>
      <c r="BI16" s="101">
        <v>6</v>
      </c>
      <c r="BJ16" s="100">
        <v>50</v>
      </c>
      <c r="BK16" s="100">
        <v>60</v>
      </c>
      <c r="BL16" s="101">
        <v>80</v>
      </c>
      <c r="BM16" s="101">
        <v>90</v>
      </c>
      <c r="BN16" s="101">
        <v>100</v>
      </c>
      <c r="BO16" s="105">
        <v>2</v>
      </c>
      <c r="BP16" s="104">
        <v>60</v>
      </c>
      <c r="BQ16" s="105">
        <v>70</v>
      </c>
      <c r="BR16" s="105">
        <v>80</v>
      </c>
      <c r="BS16" s="105">
        <v>90</v>
      </c>
      <c r="BT16" s="105">
        <v>100</v>
      </c>
      <c r="BU16" s="105">
        <v>2</v>
      </c>
      <c r="BV16" s="104">
        <v>60</v>
      </c>
      <c r="BW16" s="105">
        <v>70</v>
      </c>
      <c r="BX16" s="105">
        <v>80</v>
      </c>
      <c r="BY16" s="105">
        <v>90</v>
      </c>
      <c r="BZ16" s="105">
        <v>100</v>
      </c>
      <c r="CA16" s="11" t="s">
        <v>58</v>
      </c>
      <c r="CB16" s="12">
        <v>11</v>
      </c>
      <c r="CC16" s="2"/>
      <c r="CD16" s="27" t="s">
        <v>37</v>
      </c>
      <c r="CE16" s="32">
        <v>11</v>
      </c>
      <c r="CH16" s="1">
        <v>27</v>
      </c>
      <c r="CI16" s="12">
        <v>2</v>
      </c>
    </row>
    <row r="17" spans="1:87" x14ac:dyDescent="0.2">
      <c r="A17" s="96">
        <v>1111</v>
      </c>
      <c r="B17" s="96">
        <v>100</v>
      </c>
      <c r="C17" s="96">
        <v>100</v>
      </c>
      <c r="D17" s="96">
        <v>100</v>
      </c>
      <c r="E17" s="96">
        <v>100</v>
      </c>
      <c r="F17" s="96">
        <v>100</v>
      </c>
      <c r="G17" s="96">
        <v>100</v>
      </c>
      <c r="H17" s="96">
        <v>100</v>
      </c>
      <c r="I17" s="96" t="s">
        <v>29</v>
      </c>
      <c r="J17" s="93"/>
      <c r="K17" s="93">
        <v>1210</v>
      </c>
      <c r="L17" s="93">
        <v>100</v>
      </c>
      <c r="M17" s="93">
        <v>100</v>
      </c>
      <c r="N17" s="93">
        <v>100</v>
      </c>
      <c r="O17" s="93">
        <v>100</v>
      </c>
      <c r="P17" s="93">
        <v>100</v>
      </c>
      <c r="Q17" s="93">
        <v>100</v>
      </c>
      <c r="R17" s="93">
        <v>100</v>
      </c>
      <c r="S17" s="93" t="s">
        <v>29</v>
      </c>
      <c r="T17" s="93"/>
      <c r="U17" s="96">
        <v>11</v>
      </c>
      <c r="V17" s="100">
        <v>0</v>
      </c>
      <c r="W17" s="100">
        <v>0</v>
      </c>
      <c r="X17" s="100">
        <v>5</v>
      </c>
      <c r="Y17" s="100">
        <v>25</v>
      </c>
      <c r="Z17" s="100">
        <v>35</v>
      </c>
      <c r="AA17" s="101">
        <v>45</v>
      </c>
      <c r="AB17" s="101">
        <v>50</v>
      </c>
      <c r="AC17" s="96" t="s">
        <v>29</v>
      </c>
      <c r="AD17" s="96"/>
      <c r="AE17" s="105">
        <v>11</v>
      </c>
      <c r="AF17" s="104">
        <v>0</v>
      </c>
      <c r="AG17" s="104">
        <v>20</v>
      </c>
      <c r="AH17" s="104">
        <v>40</v>
      </c>
      <c r="AI17" s="104">
        <v>50</v>
      </c>
      <c r="AJ17" s="105">
        <v>65</v>
      </c>
      <c r="AK17" s="105">
        <v>85</v>
      </c>
      <c r="AL17" s="105">
        <v>100</v>
      </c>
      <c r="AM17" s="93" t="s">
        <v>29</v>
      </c>
      <c r="AN17" s="93"/>
      <c r="AO17" s="113" t="s">
        <v>167</v>
      </c>
      <c r="AP17" s="100">
        <v>0</v>
      </c>
      <c r="AQ17" s="100">
        <v>0</v>
      </c>
      <c r="AR17" s="100">
        <v>0</v>
      </c>
      <c r="AS17" s="100">
        <v>0</v>
      </c>
      <c r="AT17" s="100">
        <v>50</v>
      </c>
      <c r="AU17" s="100">
        <v>60</v>
      </c>
      <c r="AV17" s="101">
        <v>100</v>
      </c>
      <c r="AW17" s="96" t="s">
        <v>29</v>
      </c>
      <c r="AX17" s="96"/>
      <c r="AY17" s="108" t="s">
        <v>167</v>
      </c>
      <c r="AZ17" s="104">
        <v>0</v>
      </c>
      <c r="BA17" s="104">
        <v>0</v>
      </c>
      <c r="BB17" s="104">
        <v>0</v>
      </c>
      <c r="BC17" s="104">
        <v>0</v>
      </c>
      <c r="BD17" s="151">
        <v>50</v>
      </c>
      <c r="BE17" s="151">
        <v>60</v>
      </c>
      <c r="BF17" s="152">
        <v>100</v>
      </c>
      <c r="BG17" s="93" t="s">
        <v>29</v>
      </c>
      <c r="BH17" s="106"/>
      <c r="BI17" s="101">
        <v>7</v>
      </c>
      <c r="BJ17" s="100">
        <v>60</v>
      </c>
      <c r="BK17" s="101">
        <v>70</v>
      </c>
      <c r="BL17" s="101">
        <v>90</v>
      </c>
      <c r="BM17" s="101">
        <v>100</v>
      </c>
      <c r="BN17" s="101">
        <v>100</v>
      </c>
      <c r="BO17" s="105">
        <v>3</v>
      </c>
      <c r="BP17" s="105">
        <v>70</v>
      </c>
      <c r="BQ17" s="105">
        <v>80</v>
      </c>
      <c r="BR17" s="105">
        <v>90</v>
      </c>
      <c r="BS17" s="105">
        <v>100</v>
      </c>
      <c r="BT17" s="105">
        <v>100</v>
      </c>
      <c r="BU17" s="105">
        <v>3</v>
      </c>
      <c r="BV17" s="105">
        <v>70</v>
      </c>
      <c r="BW17" s="105">
        <v>80</v>
      </c>
      <c r="BX17" s="105">
        <v>90</v>
      </c>
      <c r="BY17" s="105">
        <v>100</v>
      </c>
      <c r="BZ17" s="105">
        <v>100</v>
      </c>
      <c r="CA17" s="11" t="s">
        <v>59</v>
      </c>
      <c r="CB17" s="12">
        <v>12</v>
      </c>
      <c r="CC17" s="2"/>
      <c r="CD17" s="27" t="s">
        <v>38</v>
      </c>
      <c r="CE17" s="32">
        <v>12</v>
      </c>
      <c r="CH17" s="1">
        <v>28</v>
      </c>
      <c r="CI17" s="12">
        <v>2</v>
      </c>
    </row>
    <row r="18" spans="1:87" x14ac:dyDescent="0.2">
      <c r="A18" s="96">
        <v>1112</v>
      </c>
      <c r="B18" s="96">
        <v>100</v>
      </c>
      <c r="C18" s="96">
        <v>100</v>
      </c>
      <c r="D18" s="96">
        <v>100</v>
      </c>
      <c r="E18" s="96">
        <v>100</v>
      </c>
      <c r="F18" s="96">
        <v>100</v>
      </c>
      <c r="G18" s="96">
        <v>100</v>
      </c>
      <c r="H18" s="96">
        <v>100</v>
      </c>
      <c r="I18" s="96" t="s">
        <v>29</v>
      </c>
      <c r="J18" s="93"/>
      <c r="K18" s="93">
        <v>1211</v>
      </c>
      <c r="L18" s="93">
        <v>100</v>
      </c>
      <c r="M18" s="93">
        <v>100</v>
      </c>
      <c r="N18" s="93">
        <v>100</v>
      </c>
      <c r="O18" s="93">
        <v>100</v>
      </c>
      <c r="P18" s="93">
        <v>100</v>
      </c>
      <c r="Q18" s="93">
        <v>100</v>
      </c>
      <c r="R18" s="93">
        <v>100</v>
      </c>
      <c r="S18" s="93" t="s">
        <v>29</v>
      </c>
      <c r="T18" s="93"/>
      <c r="U18" s="96">
        <v>12</v>
      </c>
      <c r="V18" s="100">
        <v>0</v>
      </c>
      <c r="W18" s="100">
        <v>0</v>
      </c>
      <c r="X18" s="100">
        <v>10</v>
      </c>
      <c r="Y18" s="100">
        <v>30</v>
      </c>
      <c r="Z18" s="101">
        <v>40</v>
      </c>
      <c r="AA18" s="101">
        <v>45</v>
      </c>
      <c r="AB18" s="101">
        <v>55</v>
      </c>
      <c r="AC18" s="96" t="s">
        <v>29</v>
      </c>
      <c r="AD18" s="96"/>
      <c r="AE18" s="105">
        <v>12</v>
      </c>
      <c r="AF18" s="104">
        <v>5</v>
      </c>
      <c r="AG18" s="104">
        <v>25</v>
      </c>
      <c r="AH18" s="104">
        <v>45</v>
      </c>
      <c r="AI18" s="105">
        <v>55</v>
      </c>
      <c r="AJ18" s="105">
        <v>70</v>
      </c>
      <c r="AK18" s="105">
        <v>90</v>
      </c>
      <c r="AL18" s="105">
        <v>100</v>
      </c>
      <c r="AM18" s="93" t="s">
        <v>29</v>
      </c>
      <c r="AN18" s="93"/>
      <c r="AO18" s="113" t="s">
        <v>168</v>
      </c>
      <c r="AP18" s="100">
        <v>0</v>
      </c>
      <c r="AQ18" s="100">
        <v>0</v>
      </c>
      <c r="AR18" s="100">
        <v>0</v>
      </c>
      <c r="AS18" s="100">
        <v>0</v>
      </c>
      <c r="AT18" s="100">
        <v>50</v>
      </c>
      <c r="AU18" s="101">
        <v>70</v>
      </c>
      <c r="AV18" s="101">
        <v>100</v>
      </c>
      <c r="AW18" s="96" t="s">
        <v>29</v>
      </c>
      <c r="AX18" s="96"/>
      <c r="AY18" s="108" t="s">
        <v>168</v>
      </c>
      <c r="AZ18" s="104">
        <v>0</v>
      </c>
      <c r="BA18" s="104">
        <v>0</v>
      </c>
      <c r="BB18" s="104">
        <v>0</v>
      </c>
      <c r="BC18" s="104">
        <v>0</v>
      </c>
      <c r="BD18" s="151">
        <v>50</v>
      </c>
      <c r="BE18" s="152">
        <v>70</v>
      </c>
      <c r="BF18" s="152">
        <v>100</v>
      </c>
      <c r="BG18" s="93" t="s">
        <v>29</v>
      </c>
      <c r="BH18" s="106"/>
      <c r="BI18" s="101">
        <v>8</v>
      </c>
      <c r="BJ18" s="101">
        <v>70</v>
      </c>
      <c r="BK18" s="101">
        <v>80</v>
      </c>
      <c r="BL18" s="101">
        <v>100</v>
      </c>
      <c r="BM18" s="101">
        <v>100</v>
      </c>
      <c r="BN18" s="101">
        <v>100</v>
      </c>
      <c r="BO18" s="105">
        <v>4</v>
      </c>
      <c r="BP18" s="105">
        <v>80</v>
      </c>
      <c r="BQ18" s="105">
        <v>90</v>
      </c>
      <c r="BR18" s="105">
        <v>100</v>
      </c>
      <c r="BS18" s="105">
        <v>100</v>
      </c>
      <c r="BT18" s="105">
        <v>100</v>
      </c>
      <c r="BU18" s="105">
        <v>4</v>
      </c>
      <c r="BV18" s="105">
        <v>80</v>
      </c>
      <c r="BW18" s="105">
        <v>90</v>
      </c>
      <c r="BX18" s="105">
        <v>100</v>
      </c>
      <c r="BY18" s="105">
        <v>100</v>
      </c>
      <c r="BZ18" s="105">
        <v>100</v>
      </c>
      <c r="CA18" s="11" t="s">
        <v>60</v>
      </c>
      <c r="CB18" s="12">
        <v>13</v>
      </c>
      <c r="CC18" s="2"/>
      <c r="CD18" s="27" t="s">
        <v>43</v>
      </c>
      <c r="CE18" s="32">
        <v>13</v>
      </c>
      <c r="CH18" s="1">
        <v>29</v>
      </c>
      <c r="CI18" s="12">
        <v>2</v>
      </c>
    </row>
    <row r="19" spans="1:87" x14ac:dyDescent="0.2">
      <c r="A19" s="96">
        <v>1113</v>
      </c>
      <c r="B19" s="96">
        <v>100</v>
      </c>
      <c r="C19" s="96">
        <v>100</v>
      </c>
      <c r="D19" s="96">
        <v>100</v>
      </c>
      <c r="E19" s="96">
        <v>100</v>
      </c>
      <c r="F19" s="96">
        <v>100</v>
      </c>
      <c r="G19" s="96">
        <v>100</v>
      </c>
      <c r="H19" s="96">
        <v>100</v>
      </c>
      <c r="I19" s="96" t="s">
        <v>29</v>
      </c>
      <c r="J19" s="93"/>
      <c r="K19" s="93">
        <v>1212</v>
      </c>
      <c r="L19" s="93">
        <v>100</v>
      </c>
      <c r="M19" s="93">
        <v>100</v>
      </c>
      <c r="N19" s="93">
        <v>100</v>
      </c>
      <c r="O19" s="93">
        <v>100</v>
      </c>
      <c r="P19" s="93">
        <v>100</v>
      </c>
      <c r="Q19" s="93">
        <v>100</v>
      </c>
      <c r="R19" s="93">
        <v>100</v>
      </c>
      <c r="S19" s="93" t="s">
        <v>29</v>
      </c>
      <c r="T19" s="93"/>
      <c r="U19" s="96">
        <v>13</v>
      </c>
      <c r="V19" s="100">
        <v>0</v>
      </c>
      <c r="W19" s="100">
        <v>0</v>
      </c>
      <c r="X19" s="100">
        <v>15</v>
      </c>
      <c r="Y19" s="100">
        <v>35</v>
      </c>
      <c r="Z19" s="101">
        <v>40</v>
      </c>
      <c r="AA19" s="101">
        <v>50</v>
      </c>
      <c r="AB19" s="101">
        <v>55</v>
      </c>
      <c r="AC19" s="96" t="s">
        <v>29</v>
      </c>
      <c r="AD19" s="96"/>
      <c r="AE19" s="105">
        <v>13</v>
      </c>
      <c r="AF19" s="104">
        <v>10</v>
      </c>
      <c r="AG19" s="104">
        <v>30</v>
      </c>
      <c r="AH19" s="104">
        <v>45</v>
      </c>
      <c r="AI19" s="105">
        <v>60</v>
      </c>
      <c r="AJ19" s="105">
        <v>75</v>
      </c>
      <c r="AK19" s="105">
        <v>95</v>
      </c>
      <c r="AL19" s="105">
        <v>100</v>
      </c>
      <c r="AM19" s="93" t="s">
        <v>29</v>
      </c>
      <c r="AN19" s="93"/>
      <c r="AO19" s="113" t="s">
        <v>169</v>
      </c>
      <c r="AP19" s="100">
        <v>0</v>
      </c>
      <c r="AQ19" s="100">
        <v>0</v>
      </c>
      <c r="AR19" s="100">
        <v>0</v>
      </c>
      <c r="AS19" s="100">
        <v>0</v>
      </c>
      <c r="AT19" s="100">
        <v>60</v>
      </c>
      <c r="AU19" s="101">
        <v>80</v>
      </c>
      <c r="AV19" s="101">
        <v>100</v>
      </c>
      <c r="AW19" s="96" t="s">
        <v>29</v>
      </c>
      <c r="AX19" s="96"/>
      <c r="AY19" s="108" t="s">
        <v>169</v>
      </c>
      <c r="AZ19" s="104">
        <v>0</v>
      </c>
      <c r="BA19" s="104">
        <v>0</v>
      </c>
      <c r="BB19" s="104">
        <v>0</v>
      </c>
      <c r="BC19" s="104">
        <v>0</v>
      </c>
      <c r="BD19" s="167">
        <v>60</v>
      </c>
      <c r="BE19" s="152">
        <v>80</v>
      </c>
      <c r="BF19" s="152">
        <v>100</v>
      </c>
      <c r="BG19" s="93" t="s">
        <v>29</v>
      </c>
      <c r="BH19" s="106"/>
      <c r="BI19" s="101">
        <v>9</v>
      </c>
      <c r="BJ19" s="101">
        <v>80</v>
      </c>
      <c r="BK19" s="101">
        <v>90</v>
      </c>
      <c r="BL19" s="101">
        <v>100</v>
      </c>
      <c r="BM19" s="101">
        <v>100</v>
      </c>
      <c r="BN19" s="101">
        <v>100</v>
      </c>
      <c r="BO19" s="105">
        <v>5</v>
      </c>
      <c r="BP19" s="105">
        <v>90</v>
      </c>
      <c r="BQ19" s="105">
        <v>100</v>
      </c>
      <c r="BR19" s="105">
        <v>100</v>
      </c>
      <c r="BS19" s="105">
        <v>100</v>
      </c>
      <c r="BT19" s="105">
        <v>100</v>
      </c>
      <c r="BU19" s="105">
        <v>5</v>
      </c>
      <c r="BV19" s="105">
        <v>90</v>
      </c>
      <c r="BW19" s="105">
        <v>100</v>
      </c>
      <c r="BX19" s="105">
        <v>100</v>
      </c>
      <c r="BY19" s="105">
        <v>100</v>
      </c>
      <c r="BZ19" s="105">
        <v>100</v>
      </c>
      <c r="CA19" s="11" t="s">
        <v>61</v>
      </c>
      <c r="CB19" s="12">
        <v>14</v>
      </c>
      <c r="CC19" s="2"/>
      <c r="CD19" s="27" t="s">
        <v>39</v>
      </c>
      <c r="CE19" s="32">
        <v>14</v>
      </c>
      <c r="CH19" s="1">
        <v>30</v>
      </c>
      <c r="CI19" s="12">
        <v>2</v>
      </c>
    </row>
    <row r="20" spans="1:87" x14ac:dyDescent="0.2">
      <c r="A20" s="96">
        <v>1114</v>
      </c>
      <c r="B20" s="96">
        <v>100</v>
      </c>
      <c r="C20" s="96">
        <v>100</v>
      </c>
      <c r="D20" s="96">
        <v>100</v>
      </c>
      <c r="E20" s="96">
        <v>100</v>
      </c>
      <c r="F20" s="96">
        <v>100</v>
      </c>
      <c r="G20" s="96">
        <v>100</v>
      </c>
      <c r="H20" s="96">
        <v>100</v>
      </c>
      <c r="I20" s="96" t="s">
        <v>29</v>
      </c>
      <c r="J20" s="93"/>
      <c r="K20" s="93">
        <v>1213</v>
      </c>
      <c r="L20" s="93">
        <v>100</v>
      </c>
      <c r="M20" s="93">
        <v>100</v>
      </c>
      <c r="N20" s="93">
        <v>100</v>
      </c>
      <c r="O20" s="93">
        <v>100</v>
      </c>
      <c r="P20" s="93">
        <v>100</v>
      </c>
      <c r="Q20" s="93">
        <v>100</v>
      </c>
      <c r="R20" s="93">
        <v>100</v>
      </c>
      <c r="S20" s="93" t="s">
        <v>29</v>
      </c>
      <c r="T20" s="93"/>
      <c r="U20" s="96">
        <v>14</v>
      </c>
      <c r="V20" s="100">
        <v>0</v>
      </c>
      <c r="W20" s="100">
        <v>0</v>
      </c>
      <c r="X20" s="100">
        <v>20</v>
      </c>
      <c r="Y20" s="101">
        <v>40</v>
      </c>
      <c r="Z20" s="101">
        <v>45</v>
      </c>
      <c r="AA20" s="101">
        <v>55</v>
      </c>
      <c r="AB20" s="101">
        <v>60</v>
      </c>
      <c r="AC20" s="96" t="s">
        <v>29</v>
      </c>
      <c r="AD20" s="96"/>
      <c r="AE20" s="105">
        <v>14</v>
      </c>
      <c r="AF20" s="104">
        <v>15</v>
      </c>
      <c r="AG20" s="104">
        <v>35</v>
      </c>
      <c r="AH20" s="105">
        <v>50</v>
      </c>
      <c r="AI20" s="105">
        <v>65</v>
      </c>
      <c r="AJ20" s="105">
        <v>80</v>
      </c>
      <c r="AK20" s="105">
        <v>100</v>
      </c>
      <c r="AL20" s="105">
        <v>100</v>
      </c>
      <c r="AM20" s="93" t="s">
        <v>29</v>
      </c>
      <c r="AN20" s="93"/>
      <c r="AO20" s="113" t="s">
        <v>170</v>
      </c>
      <c r="AP20" s="100">
        <v>0</v>
      </c>
      <c r="AQ20" s="100">
        <v>0</v>
      </c>
      <c r="AR20" s="100">
        <v>0</v>
      </c>
      <c r="AS20" s="100">
        <v>0</v>
      </c>
      <c r="AT20" s="100">
        <v>60</v>
      </c>
      <c r="AU20" s="101">
        <v>90</v>
      </c>
      <c r="AV20" s="101">
        <v>100</v>
      </c>
      <c r="AW20" s="96" t="s">
        <v>29</v>
      </c>
      <c r="AX20" s="96"/>
      <c r="AY20" s="108" t="s">
        <v>170</v>
      </c>
      <c r="AZ20" s="104">
        <v>0</v>
      </c>
      <c r="BA20" s="104">
        <v>0</v>
      </c>
      <c r="BB20" s="104">
        <v>0</v>
      </c>
      <c r="BC20" s="104">
        <v>0</v>
      </c>
      <c r="BD20" s="167">
        <v>60</v>
      </c>
      <c r="BE20" s="152">
        <v>90</v>
      </c>
      <c r="BF20" s="152">
        <v>100</v>
      </c>
      <c r="BG20" s="93" t="s">
        <v>29</v>
      </c>
      <c r="BH20" s="106"/>
      <c r="BI20" s="101">
        <v>10</v>
      </c>
      <c r="BJ20" s="101">
        <v>90</v>
      </c>
      <c r="BK20" s="101">
        <v>100</v>
      </c>
      <c r="BL20" s="101">
        <v>100</v>
      </c>
      <c r="BM20" s="101">
        <v>100</v>
      </c>
      <c r="BN20" s="101">
        <v>100</v>
      </c>
      <c r="BO20" s="105">
        <v>6</v>
      </c>
      <c r="BP20" s="105">
        <v>100</v>
      </c>
      <c r="BQ20" s="105">
        <v>100</v>
      </c>
      <c r="BR20" s="105">
        <v>100</v>
      </c>
      <c r="BS20" s="105">
        <v>100</v>
      </c>
      <c r="BT20" s="105">
        <v>100</v>
      </c>
      <c r="BU20" s="105">
        <v>6</v>
      </c>
      <c r="BV20" s="105">
        <v>100</v>
      </c>
      <c r="BW20" s="105">
        <v>100</v>
      </c>
      <c r="BX20" s="105">
        <v>100</v>
      </c>
      <c r="BY20" s="105">
        <v>100</v>
      </c>
      <c r="BZ20" s="105">
        <v>100</v>
      </c>
      <c r="CA20" s="11" t="s">
        <v>62</v>
      </c>
      <c r="CB20" s="12">
        <v>15</v>
      </c>
      <c r="CC20" s="2"/>
      <c r="CD20" s="28" t="s">
        <v>40</v>
      </c>
      <c r="CE20" s="32">
        <v>15</v>
      </c>
      <c r="CH20" s="1">
        <v>31</v>
      </c>
      <c r="CI20" s="12">
        <v>3</v>
      </c>
    </row>
    <row r="21" spans="1:87" x14ac:dyDescent="0.2">
      <c r="A21" s="96">
        <v>1115</v>
      </c>
      <c r="B21" s="96">
        <v>100</v>
      </c>
      <c r="C21" s="96">
        <v>100</v>
      </c>
      <c r="D21" s="96">
        <v>100</v>
      </c>
      <c r="E21" s="96">
        <v>100</v>
      </c>
      <c r="F21" s="96">
        <v>100</v>
      </c>
      <c r="G21" s="96">
        <v>100</v>
      </c>
      <c r="H21" s="96">
        <v>100</v>
      </c>
      <c r="I21" s="96" t="s">
        <v>29</v>
      </c>
      <c r="J21" s="93"/>
      <c r="K21" s="93">
        <v>1214</v>
      </c>
      <c r="L21" s="93">
        <v>100</v>
      </c>
      <c r="M21" s="93">
        <v>100</v>
      </c>
      <c r="N21" s="93">
        <v>100</v>
      </c>
      <c r="O21" s="93">
        <v>100</v>
      </c>
      <c r="P21" s="93">
        <v>100</v>
      </c>
      <c r="Q21" s="93">
        <v>100</v>
      </c>
      <c r="R21" s="93">
        <v>100</v>
      </c>
      <c r="S21" s="93" t="s">
        <v>29</v>
      </c>
      <c r="T21" s="93"/>
      <c r="U21" s="96">
        <v>15</v>
      </c>
      <c r="V21" s="100">
        <v>0</v>
      </c>
      <c r="W21" s="100">
        <v>5</v>
      </c>
      <c r="X21" s="100">
        <v>25</v>
      </c>
      <c r="Y21" s="101">
        <v>40</v>
      </c>
      <c r="Z21" s="101">
        <v>45</v>
      </c>
      <c r="AA21" s="101">
        <v>60</v>
      </c>
      <c r="AB21" s="101">
        <v>65</v>
      </c>
      <c r="AC21" s="96" t="s">
        <v>29</v>
      </c>
      <c r="AD21" s="96"/>
      <c r="AE21" s="105">
        <v>15</v>
      </c>
      <c r="AF21" s="104">
        <v>20</v>
      </c>
      <c r="AG21" s="104">
        <v>40</v>
      </c>
      <c r="AH21" s="105">
        <v>55</v>
      </c>
      <c r="AI21" s="105">
        <v>70</v>
      </c>
      <c r="AJ21" s="105">
        <v>85</v>
      </c>
      <c r="AK21" s="105">
        <v>100</v>
      </c>
      <c r="AL21" s="105">
        <v>100</v>
      </c>
      <c r="AM21" s="93" t="s">
        <v>29</v>
      </c>
      <c r="AN21" s="93"/>
      <c r="AO21" s="113" t="s">
        <v>171</v>
      </c>
      <c r="AP21" s="100">
        <v>0</v>
      </c>
      <c r="AQ21" s="100">
        <v>0</v>
      </c>
      <c r="AR21" s="100">
        <v>0</v>
      </c>
      <c r="AS21" s="100">
        <v>0</v>
      </c>
      <c r="AT21" s="101">
        <v>70</v>
      </c>
      <c r="AU21" s="101">
        <v>100</v>
      </c>
      <c r="AV21" s="101">
        <v>100</v>
      </c>
      <c r="AW21" s="96" t="s">
        <v>29</v>
      </c>
      <c r="AX21" s="96"/>
      <c r="AY21" s="108" t="s">
        <v>171</v>
      </c>
      <c r="AZ21" s="104">
        <v>0</v>
      </c>
      <c r="BA21" s="104">
        <v>0</v>
      </c>
      <c r="BB21" s="104">
        <v>0</v>
      </c>
      <c r="BC21" s="104">
        <v>0</v>
      </c>
      <c r="BD21" s="152">
        <v>70</v>
      </c>
      <c r="BE21" s="152">
        <v>100</v>
      </c>
      <c r="BF21" s="152">
        <v>100</v>
      </c>
      <c r="BG21" s="93" t="s">
        <v>29</v>
      </c>
      <c r="BH21" s="106"/>
      <c r="BI21" s="101">
        <v>11</v>
      </c>
      <c r="BJ21" s="101">
        <v>100</v>
      </c>
      <c r="BK21" s="101">
        <v>100</v>
      </c>
      <c r="BL21" s="101">
        <v>100</v>
      </c>
      <c r="BM21" s="101">
        <v>100</v>
      </c>
      <c r="BN21" s="101">
        <v>100</v>
      </c>
      <c r="BO21" s="105">
        <v>7</v>
      </c>
      <c r="BP21" s="105">
        <v>100</v>
      </c>
      <c r="BQ21" s="105">
        <v>100</v>
      </c>
      <c r="BR21" s="105">
        <v>100</v>
      </c>
      <c r="BS21" s="105">
        <v>100</v>
      </c>
      <c r="BT21" s="105">
        <v>100</v>
      </c>
      <c r="BU21" s="105">
        <v>7</v>
      </c>
      <c r="BV21" s="105">
        <v>100</v>
      </c>
      <c r="BW21" s="105">
        <v>100</v>
      </c>
      <c r="BX21" s="105">
        <v>100</v>
      </c>
      <c r="BY21" s="105">
        <v>100</v>
      </c>
      <c r="BZ21" s="105">
        <v>100</v>
      </c>
      <c r="CA21" s="11" t="s">
        <v>63</v>
      </c>
      <c r="CB21" s="12">
        <v>16</v>
      </c>
      <c r="CC21" s="2"/>
      <c r="CD21" s="28" t="s">
        <v>41</v>
      </c>
      <c r="CE21" s="32">
        <v>16</v>
      </c>
      <c r="CH21" s="1">
        <v>32</v>
      </c>
      <c r="CI21" s="12">
        <v>3</v>
      </c>
    </row>
    <row r="22" spans="1:87" x14ac:dyDescent="0.2">
      <c r="A22" s="96">
        <v>1116</v>
      </c>
      <c r="B22" s="96">
        <v>100</v>
      </c>
      <c r="C22" s="96">
        <v>100</v>
      </c>
      <c r="D22" s="96">
        <v>100</v>
      </c>
      <c r="E22" s="96">
        <v>100</v>
      </c>
      <c r="F22" s="96">
        <v>100</v>
      </c>
      <c r="G22" s="96">
        <v>100</v>
      </c>
      <c r="H22" s="96">
        <v>100</v>
      </c>
      <c r="I22" s="96" t="s">
        <v>29</v>
      </c>
      <c r="J22" s="93"/>
      <c r="K22" s="93">
        <v>1215</v>
      </c>
      <c r="L22" s="93">
        <v>100</v>
      </c>
      <c r="M22" s="93">
        <v>100</v>
      </c>
      <c r="N22" s="93">
        <v>100</v>
      </c>
      <c r="O22" s="93">
        <v>100</v>
      </c>
      <c r="P22" s="93">
        <v>100</v>
      </c>
      <c r="Q22" s="93">
        <v>100</v>
      </c>
      <c r="R22" s="93">
        <v>100</v>
      </c>
      <c r="S22" s="93" t="s">
        <v>29</v>
      </c>
      <c r="T22" s="93"/>
      <c r="U22" s="96">
        <v>16</v>
      </c>
      <c r="V22" s="100">
        <v>0</v>
      </c>
      <c r="W22" s="100">
        <v>10</v>
      </c>
      <c r="X22" s="100">
        <v>30</v>
      </c>
      <c r="Y22" s="101">
        <v>45</v>
      </c>
      <c r="Z22" s="101">
        <v>50</v>
      </c>
      <c r="AA22" s="101">
        <v>65</v>
      </c>
      <c r="AB22" s="101">
        <v>65</v>
      </c>
      <c r="AC22" s="96" t="s">
        <v>29</v>
      </c>
      <c r="AD22" s="96"/>
      <c r="AE22" s="105">
        <v>16</v>
      </c>
      <c r="AF22" s="104">
        <v>25</v>
      </c>
      <c r="AG22" s="104">
        <v>45</v>
      </c>
      <c r="AH22" s="105">
        <v>60</v>
      </c>
      <c r="AI22" s="105">
        <v>75</v>
      </c>
      <c r="AJ22" s="105">
        <v>90</v>
      </c>
      <c r="AK22" s="105">
        <v>100</v>
      </c>
      <c r="AL22" s="105">
        <v>100</v>
      </c>
      <c r="AM22" s="93" t="s">
        <v>29</v>
      </c>
      <c r="AN22" s="93"/>
      <c r="AO22" s="113" t="s">
        <v>152</v>
      </c>
      <c r="AP22" s="100">
        <v>0</v>
      </c>
      <c r="AQ22" s="100">
        <v>0</v>
      </c>
      <c r="AR22" s="100">
        <v>0</v>
      </c>
      <c r="AS22" s="100">
        <v>0</v>
      </c>
      <c r="AT22" s="101">
        <v>80</v>
      </c>
      <c r="AU22" s="101">
        <v>100</v>
      </c>
      <c r="AV22" s="101">
        <v>100</v>
      </c>
      <c r="AW22" s="96" t="s">
        <v>29</v>
      </c>
      <c r="AX22" s="96"/>
      <c r="AY22" s="108" t="s">
        <v>152</v>
      </c>
      <c r="AZ22" s="104">
        <v>0</v>
      </c>
      <c r="BA22" s="104">
        <v>0</v>
      </c>
      <c r="BB22" s="104">
        <v>0</v>
      </c>
      <c r="BC22" s="104">
        <v>0</v>
      </c>
      <c r="BD22" s="152">
        <v>80</v>
      </c>
      <c r="BE22" s="152">
        <v>100</v>
      </c>
      <c r="BF22" s="152">
        <v>100</v>
      </c>
      <c r="BG22" s="93" t="s">
        <v>29</v>
      </c>
      <c r="BH22" s="106"/>
      <c r="BI22" s="101">
        <v>12</v>
      </c>
      <c r="BJ22" s="101">
        <v>100</v>
      </c>
      <c r="BK22" s="101">
        <v>100</v>
      </c>
      <c r="BL22" s="101">
        <v>100</v>
      </c>
      <c r="BM22" s="101">
        <v>100</v>
      </c>
      <c r="BN22" s="101">
        <v>100</v>
      </c>
      <c r="BO22" s="105">
        <v>8</v>
      </c>
      <c r="BP22" s="105">
        <v>100</v>
      </c>
      <c r="BQ22" s="105">
        <v>100</v>
      </c>
      <c r="BR22" s="105">
        <v>100</v>
      </c>
      <c r="BS22" s="105">
        <v>100</v>
      </c>
      <c r="BT22" s="105">
        <v>100</v>
      </c>
      <c r="BU22" s="105">
        <v>8</v>
      </c>
      <c r="BV22" s="105">
        <v>100</v>
      </c>
      <c r="BW22" s="105">
        <v>100</v>
      </c>
      <c r="BX22" s="105">
        <v>100</v>
      </c>
      <c r="BY22" s="105">
        <v>100</v>
      </c>
      <c r="BZ22" s="105">
        <v>100</v>
      </c>
      <c r="CA22" s="11" t="s">
        <v>135</v>
      </c>
      <c r="CB22" s="12">
        <v>17</v>
      </c>
      <c r="CC22" s="2"/>
      <c r="CD22" s="28" t="s">
        <v>42</v>
      </c>
      <c r="CE22" s="33">
        <v>17</v>
      </c>
      <c r="CH22" s="1">
        <v>33</v>
      </c>
      <c r="CI22" s="12">
        <v>3</v>
      </c>
    </row>
    <row r="23" spans="1:87" x14ac:dyDescent="0.2">
      <c r="A23" s="96">
        <v>1117</v>
      </c>
      <c r="B23" s="96">
        <v>100</v>
      </c>
      <c r="C23" s="96">
        <v>100</v>
      </c>
      <c r="D23" s="96">
        <v>100</v>
      </c>
      <c r="E23" s="96">
        <v>100</v>
      </c>
      <c r="F23" s="96">
        <v>100</v>
      </c>
      <c r="G23" s="96">
        <v>100</v>
      </c>
      <c r="H23" s="96">
        <v>100</v>
      </c>
      <c r="I23" s="96" t="s">
        <v>29</v>
      </c>
      <c r="J23" s="93"/>
      <c r="K23" s="93">
        <v>1216</v>
      </c>
      <c r="L23" s="93">
        <v>100</v>
      </c>
      <c r="M23" s="93">
        <v>100</v>
      </c>
      <c r="N23" s="93">
        <v>100</v>
      </c>
      <c r="O23" s="93">
        <v>100</v>
      </c>
      <c r="P23" s="93">
        <v>100</v>
      </c>
      <c r="Q23" s="93">
        <v>100</v>
      </c>
      <c r="R23" s="93">
        <v>100</v>
      </c>
      <c r="S23" s="93" t="s">
        <v>29</v>
      </c>
      <c r="T23" s="93"/>
      <c r="U23" s="96">
        <v>17</v>
      </c>
      <c r="V23" s="100">
        <v>0</v>
      </c>
      <c r="W23" s="100">
        <v>15</v>
      </c>
      <c r="X23" s="100">
        <v>35</v>
      </c>
      <c r="Y23" s="101">
        <v>45</v>
      </c>
      <c r="Z23" s="101">
        <v>50</v>
      </c>
      <c r="AA23" s="101">
        <v>65</v>
      </c>
      <c r="AB23" s="101">
        <v>70</v>
      </c>
      <c r="AC23" s="96" t="s">
        <v>29</v>
      </c>
      <c r="AD23" s="96"/>
      <c r="AE23" s="105">
        <v>17</v>
      </c>
      <c r="AF23" s="104">
        <v>30</v>
      </c>
      <c r="AG23" s="105">
        <v>50</v>
      </c>
      <c r="AH23" s="105">
        <v>65</v>
      </c>
      <c r="AI23" s="105">
        <v>80</v>
      </c>
      <c r="AJ23" s="105">
        <v>95</v>
      </c>
      <c r="AK23" s="105">
        <v>100</v>
      </c>
      <c r="AL23" s="105">
        <v>100</v>
      </c>
      <c r="AM23" s="93" t="s">
        <v>29</v>
      </c>
      <c r="AN23" s="93"/>
      <c r="AO23" s="113" t="s">
        <v>153</v>
      </c>
      <c r="AP23" s="100">
        <v>0</v>
      </c>
      <c r="AQ23" s="100">
        <v>0</v>
      </c>
      <c r="AR23" s="100">
        <v>0</v>
      </c>
      <c r="AS23" s="100">
        <v>0</v>
      </c>
      <c r="AT23" s="101">
        <v>90</v>
      </c>
      <c r="AU23" s="101">
        <v>100</v>
      </c>
      <c r="AV23" s="101">
        <v>100</v>
      </c>
      <c r="AW23" s="96" t="s">
        <v>29</v>
      </c>
      <c r="AX23" s="96"/>
      <c r="AY23" s="93" t="s">
        <v>153</v>
      </c>
      <c r="AZ23" s="103">
        <v>0</v>
      </c>
      <c r="BA23" s="103">
        <v>0</v>
      </c>
      <c r="BB23" s="103">
        <v>0</v>
      </c>
      <c r="BC23" s="103">
        <v>0</v>
      </c>
      <c r="BD23" s="152">
        <v>90</v>
      </c>
      <c r="BE23" s="152">
        <v>100</v>
      </c>
      <c r="BF23" s="152">
        <v>100</v>
      </c>
      <c r="BG23" s="93" t="s">
        <v>29</v>
      </c>
      <c r="BH23" s="93"/>
      <c r="BI23" s="101">
        <v>13</v>
      </c>
      <c r="BJ23" s="101">
        <v>100</v>
      </c>
      <c r="BK23" s="101">
        <v>100</v>
      </c>
      <c r="BL23" s="101">
        <v>100</v>
      </c>
      <c r="BM23" s="101">
        <v>100</v>
      </c>
      <c r="BN23" s="101">
        <v>100</v>
      </c>
      <c r="BO23" s="105">
        <v>9</v>
      </c>
      <c r="BP23" s="105">
        <v>100</v>
      </c>
      <c r="BQ23" s="105">
        <v>100</v>
      </c>
      <c r="BR23" s="105">
        <v>100</v>
      </c>
      <c r="BS23" s="105">
        <v>100</v>
      </c>
      <c r="BT23" s="105">
        <v>100</v>
      </c>
      <c r="BU23" s="105">
        <v>9</v>
      </c>
      <c r="BV23" s="105">
        <v>100</v>
      </c>
      <c r="BW23" s="105">
        <v>100</v>
      </c>
      <c r="BX23" s="105">
        <v>100</v>
      </c>
      <c r="BY23" s="105">
        <v>100</v>
      </c>
      <c r="BZ23" s="105">
        <v>100</v>
      </c>
      <c r="CA23" s="11" t="s">
        <v>136</v>
      </c>
      <c r="CB23" s="12">
        <v>18</v>
      </c>
      <c r="CC23" s="2"/>
      <c r="CD23" s="29" t="s">
        <v>73</v>
      </c>
      <c r="CE23" s="30">
        <v>18</v>
      </c>
      <c r="CH23" s="1">
        <v>34</v>
      </c>
      <c r="CI23" s="12">
        <v>3</v>
      </c>
    </row>
    <row r="24" spans="1:87" x14ac:dyDescent="0.2">
      <c r="A24" s="96">
        <v>1118</v>
      </c>
      <c r="B24" s="96">
        <v>100</v>
      </c>
      <c r="C24" s="96">
        <v>100</v>
      </c>
      <c r="D24" s="96">
        <v>100</v>
      </c>
      <c r="E24" s="96">
        <v>100</v>
      </c>
      <c r="F24" s="96">
        <v>100</v>
      </c>
      <c r="G24" s="96">
        <v>100</v>
      </c>
      <c r="H24" s="96">
        <v>100</v>
      </c>
      <c r="I24" s="96" t="s">
        <v>29</v>
      </c>
      <c r="J24" s="93"/>
      <c r="K24" s="93">
        <v>1217</v>
      </c>
      <c r="L24" s="93">
        <v>100</v>
      </c>
      <c r="M24" s="93">
        <v>100</v>
      </c>
      <c r="N24" s="93">
        <v>100</v>
      </c>
      <c r="O24" s="93">
        <v>100</v>
      </c>
      <c r="P24" s="93">
        <v>100</v>
      </c>
      <c r="Q24" s="93">
        <v>100</v>
      </c>
      <c r="R24" s="93">
        <v>100</v>
      </c>
      <c r="S24" s="93" t="s">
        <v>29</v>
      </c>
      <c r="T24" s="93"/>
      <c r="U24" s="96">
        <v>18</v>
      </c>
      <c r="V24" s="100">
        <v>0</v>
      </c>
      <c r="W24" s="100">
        <v>20</v>
      </c>
      <c r="X24" s="101">
        <v>40</v>
      </c>
      <c r="Y24" s="101">
        <v>50</v>
      </c>
      <c r="Z24" s="101">
        <v>55</v>
      </c>
      <c r="AA24" s="101">
        <v>70</v>
      </c>
      <c r="AB24" s="101">
        <v>70</v>
      </c>
      <c r="AC24" s="96" t="s">
        <v>29</v>
      </c>
      <c r="AD24" s="96"/>
      <c r="AE24" s="105">
        <v>18</v>
      </c>
      <c r="AF24" s="104">
        <v>35</v>
      </c>
      <c r="AG24" s="105">
        <v>55</v>
      </c>
      <c r="AH24" s="105">
        <v>70</v>
      </c>
      <c r="AI24" s="105">
        <v>85</v>
      </c>
      <c r="AJ24" s="105">
        <v>100</v>
      </c>
      <c r="AK24" s="105">
        <v>100</v>
      </c>
      <c r="AL24" s="105">
        <v>100</v>
      </c>
      <c r="AM24" s="93" t="s">
        <v>29</v>
      </c>
      <c r="AN24" s="93"/>
      <c r="AO24" s="113" t="s">
        <v>154</v>
      </c>
      <c r="AP24" s="100">
        <v>0</v>
      </c>
      <c r="AQ24" s="100">
        <v>0</v>
      </c>
      <c r="AR24" s="100">
        <v>0</v>
      </c>
      <c r="AS24" s="100">
        <v>0</v>
      </c>
      <c r="AT24" s="101">
        <v>100</v>
      </c>
      <c r="AU24" s="101">
        <v>100</v>
      </c>
      <c r="AV24" s="101">
        <v>100</v>
      </c>
      <c r="AW24" s="96" t="s">
        <v>29</v>
      </c>
      <c r="AX24" s="96"/>
      <c r="AY24" s="93" t="s">
        <v>154</v>
      </c>
      <c r="AZ24" s="103">
        <v>0</v>
      </c>
      <c r="BA24" s="103">
        <v>0</v>
      </c>
      <c r="BB24" s="103">
        <v>0</v>
      </c>
      <c r="BC24" s="103">
        <v>0</v>
      </c>
      <c r="BD24" s="152">
        <v>100</v>
      </c>
      <c r="BE24" s="152">
        <v>100</v>
      </c>
      <c r="BF24" s="152">
        <v>100</v>
      </c>
      <c r="BG24" s="93" t="s">
        <v>29</v>
      </c>
      <c r="BH24" s="93"/>
      <c r="BI24" s="101">
        <v>14</v>
      </c>
      <c r="BJ24" s="101">
        <v>100</v>
      </c>
      <c r="BK24" s="101">
        <v>100</v>
      </c>
      <c r="BL24" s="101">
        <v>100</v>
      </c>
      <c r="BM24" s="101">
        <v>100</v>
      </c>
      <c r="BN24" s="101">
        <v>100</v>
      </c>
      <c r="BO24" s="105">
        <v>10</v>
      </c>
      <c r="BP24" s="105">
        <v>100</v>
      </c>
      <c r="BQ24" s="105">
        <v>100</v>
      </c>
      <c r="BR24" s="105">
        <v>100</v>
      </c>
      <c r="BS24" s="105">
        <v>100</v>
      </c>
      <c r="BT24" s="105">
        <v>100</v>
      </c>
      <c r="BU24" s="105">
        <v>10</v>
      </c>
      <c r="BV24" s="105">
        <v>100</v>
      </c>
      <c r="BW24" s="105">
        <v>100</v>
      </c>
      <c r="BX24" s="105">
        <v>100</v>
      </c>
      <c r="BY24" s="105">
        <v>100</v>
      </c>
      <c r="BZ24" s="105">
        <v>100</v>
      </c>
      <c r="CA24" s="11" t="s">
        <v>64</v>
      </c>
      <c r="CB24" s="12">
        <v>19</v>
      </c>
      <c r="CC24" s="2"/>
      <c r="CD24" s="29" t="s">
        <v>74</v>
      </c>
      <c r="CE24" s="30">
        <v>19</v>
      </c>
      <c r="CH24" s="1">
        <v>35</v>
      </c>
      <c r="CI24" s="12">
        <v>3</v>
      </c>
    </row>
    <row r="25" spans="1:87" x14ac:dyDescent="0.2">
      <c r="A25" s="96">
        <v>1119</v>
      </c>
      <c r="B25" s="96">
        <v>100</v>
      </c>
      <c r="C25" s="96">
        <v>100</v>
      </c>
      <c r="D25" s="96">
        <v>100</v>
      </c>
      <c r="E25" s="96">
        <v>100</v>
      </c>
      <c r="F25" s="96">
        <v>100</v>
      </c>
      <c r="G25" s="96">
        <v>100</v>
      </c>
      <c r="H25" s="96">
        <v>100</v>
      </c>
      <c r="I25" s="96" t="s">
        <v>29</v>
      </c>
      <c r="J25" s="93"/>
      <c r="K25" s="93">
        <v>1218</v>
      </c>
      <c r="L25" s="93">
        <v>100</v>
      </c>
      <c r="M25" s="93">
        <v>100</v>
      </c>
      <c r="N25" s="93">
        <v>100</v>
      </c>
      <c r="O25" s="93">
        <v>100</v>
      </c>
      <c r="P25" s="93">
        <v>100</v>
      </c>
      <c r="Q25" s="93">
        <v>100</v>
      </c>
      <c r="R25" s="93">
        <v>100</v>
      </c>
      <c r="S25" s="93" t="s">
        <v>29</v>
      </c>
      <c r="T25" s="93"/>
      <c r="U25" s="96">
        <v>19</v>
      </c>
      <c r="V25" s="100">
        <v>5</v>
      </c>
      <c r="W25" s="100">
        <v>25</v>
      </c>
      <c r="X25" s="101">
        <v>40</v>
      </c>
      <c r="Y25" s="101">
        <v>50</v>
      </c>
      <c r="Z25" s="101">
        <v>55</v>
      </c>
      <c r="AA25" s="101">
        <v>70</v>
      </c>
      <c r="AB25" s="101">
        <v>75</v>
      </c>
      <c r="AC25" s="96" t="s">
        <v>29</v>
      </c>
      <c r="AD25" s="96"/>
      <c r="AE25" s="105">
        <v>19</v>
      </c>
      <c r="AF25" s="104">
        <v>40</v>
      </c>
      <c r="AG25" s="105">
        <v>55</v>
      </c>
      <c r="AH25" s="105">
        <v>70</v>
      </c>
      <c r="AI25" s="105">
        <v>90</v>
      </c>
      <c r="AJ25" s="105">
        <v>100</v>
      </c>
      <c r="AK25" s="105">
        <v>100</v>
      </c>
      <c r="AL25" s="105">
        <v>100</v>
      </c>
      <c r="AM25" s="93" t="s">
        <v>29</v>
      </c>
      <c r="AN25" s="93"/>
      <c r="AO25" s="23" t="s">
        <v>20</v>
      </c>
      <c r="AP25" s="125" t="s">
        <v>184</v>
      </c>
      <c r="AQ25" s="125" t="s">
        <v>184</v>
      </c>
      <c r="AR25" s="125" t="s">
        <v>184</v>
      </c>
      <c r="AS25" s="125" t="s">
        <v>184</v>
      </c>
      <c r="AT25" s="125" t="s">
        <v>184</v>
      </c>
      <c r="AU25" s="125" t="s">
        <v>184</v>
      </c>
      <c r="AV25" s="125" t="s">
        <v>184</v>
      </c>
      <c r="AW25" s="125" t="s">
        <v>184</v>
      </c>
      <c r="AX25" s="96"/>
      <c r="AY25" s="93" t="s">
        <v>20</v>
      </c>
      <c r="AZ25" s="103" t="s">
        <v>184</v>
      </c>
      <c r="BA25" s="103" t="s">
        <v>184</v>
      </c>
      <c r="BB25" s="103" t="s">
        <v>184</v>
      </c>
      <c r="BC25" s="103" t="s">
        <v>184</v>
      </c>
      <c r="BD25" s="103" t="s">
        <v>184</v>
      </c>
      <c r="BE25" s="103" t="s">
        <v>184</v>
      </c>
      <c r="BF25" s="103" t="s">
        <v>184</v>
      </c>
      <c r="BG25" s="103" t="s">
        <v>184</v>
      </c>
      <c r="BH25" s="106"/>
      <c r="BI25" s="101">
        <v>15</v>
      </c>
      <c r="BJ25" s="101">
        <v>100</v>
      </c>
      <c r="BK25" s="101">
        <v>100</v>
      </c>
      <c r="BL25" s="101">
        <v>100</v>
      </c>
      <c r="BM25" s="101">
        <v>100</v>
      </c>
      <c r="BN25" s="101">
        <v>100</v>
      </c>
      <c r="BO25" s="105">
        <v>11</v>
      </c>
      <c r="BP25" s="105">
        <v>100</v>
      </c>
      <c r="BQ25" s="105">
        <v>100</v>
      </c>
      <c r="BR25" s="105">
        <v>100</v>
      </c>
      <c r="BS25" s="105">
        <v>100</v>
      </c>
      <c r="BT25" s="105">
        <v>100</v>
      </c>
      <c r="BU25" s="105">
        <v>11</v>
      </c>
      <c r="BV25" s="105">
        <v>100</v>
      </c>
      <c r="BW25" s="105">
        <v>100</v>
      </c>
      <c r="BX25" s="105">
        <v>100</v>
      </c>
      <c r="BY25" s="105">
        <v>100</v>
      </c>
      <c r="BZ25" s="105">
        <v>100</v>
      </c>
      <c r="CA25" s="11" t="s">
        <v>137</v>
      </c>
      <c r="CB25" s="12">
        <v>20</v>
      </c>
      <c r="CC25" s="2"/>
      <c r="CD25" s="29" t="s">
        <v>75</v>
      </c>
      <c r="CE25" s="30">
        <v>20</v>
      </c>
      <c r="CH25" s="1">
        <v>36</v>
      </c>
      <c r="CI25" s="12">
        <v>4</v>
      </c>
    </row>
    <row r="26" spans="1:87" x14ac:dyDescent="0.2">
      <c r="A26" s="96">
        <v>1120</v>
      </c>
      <c r="B26" s="96">
        <v>100</v>
      </c>
      <c r="C26" s="96">
        <v>100</v>
      </c>
      <c r="D26" s="96">
        <v>100</v>
      </c>
      <c r="E26" s="96">
        <v>100</v>
      </c>
      <c r="F26" s="96">
        <v>100</v>
      </c>
      <c r="G26" s="96">
        <v>100</v>
      </c>
      <c r="H26" s="96">
        <v>100</v>
      </c>
      <c r="I26" s="96" t="s">
        <v>29</v>
      </c>
      <c r="J26" s="93"/>
      <c r="K26" s="93">
        <v>1219</v>
      </c>
      <c r="L26" s="93">
        <v>100</v>
      </c>
      <c r="M26" s="93">
        <v>100</v>
      </c>
      <c r="N26" s="93">
        <v>100</v>
      </c>
      <c r="O26" s="93">
        <v>100</v>
      </c>
      <c r="P26" s="93">
        <v>100</v>
      </c>
      <c r="Q26" s="93">
        <v>100</v>
      </c>
      <c r="R26" s="93">
        <v>100</v>
      </c>
      <c r="S26" s="93" t="s">
        <v>29</v>
      </c>
      <c r="T26" s="93"/>
      <c r="U26" s="96">
        <v>20</v>
      </c>
      <c r="V26" s="100">
        <v>10</v>
      </c>
      <c r="W26" s="100">
        <v>30</v>
      </c>
      <c r="X26" s="101">
        <v>45</v>
      </c>
      <c r="Y26" s="101">
        <v>55</v>
      </c>
      <c r="Z26" s="101">
        <v>60</v>
      </c>
      <c r="AA26" s="101">
        <v>75</v>
      </c>
      <c r="AB26" s="101">
        <v>75</v>
      </c>
      <c r="AC26" s="96" t="s">
        <v>29</v>
      </c>
      <c r="AD26" s="96"/>
      <c r="AE26" s="105">
        <v>20</v>
      </c>
      <c r="AF26" s="104">
        <v>45</v>
      </c>
      <c r="AG26" s="105">
        <v>60</v>
      </c>
      <c r="AH26" s="105">
        <v>75</v>
      </c>
      <c r="AI26" s="105">
        <v>95</v>
      </c>
      <c r="AJ26" s="105">
        <v>100</v>
      </c>
      <c r="AK26" s="105">
        <v>100</v>
      </c>
      <c r="AL26" s="105">
        <v>100</v>
      </c>
      <c r="AM26" s="93" t="s">
        <v>29</v>
      </c>
      <c r="AN26" s="93"/>
      <c r="AO26" s="23">
        <v>0</v>
      </c>
      <c r="AP26" s="125">
        <v>0</v>
      </c>
      <c r="AQ26" s="125">
        <v>0</v>
      </c>
      <c r="AR26" s="125">
        <v>0</v>
      </c>
      <c r="AS26" s="125">
        <v>0</v>
      </c>
      <c r="AT26" s="125">
        <v>0</v>
      </c>
      <c r="AU26" s="125">
        <v>0</v>
      </c>
      <c r="AV26" s="125">
        <v>0</v>
      </c>
      <c r="AW26" s="125" t="s">
        <v>48</v>
      </c>
      <c r="AX26" s="23"/>
      <c r="AY26" s="93">
        <v>0</v>
      </c>
      <c r="AZ26" s="104">
        <v>0</v>
      </c>
      <c r="BA26" s="104">
        <v>0</v>
      </c>
      <c r="BB26" s="103">
        <v>0</v>
      </c>
      <c r="BC26" s="104">
        <v>0</v>
      </c>
      <c r="BD26" s="103">
        <v>0</v>
      </c>
      <c r="BE26" s="103">
        <v>0</v>
      </c>
      <c r="BF26" s="103">
        <v>0</v>
      </c>
      <c r="BG26" s="103" t="s">
        <v>48</v>
      </c>
      <c r="BH26" s="106"/>
      <c r="BI26" s="101">
        <v>16</v>
      </c>
      <c r="BJ26" s="101">
        <v>100</v>
      </c>
      <c r="BK26" s="101">
        <v>100</v>
      </c>
      <c r="BL26" s="101">
        <v>100</v>
      </c>
      <c r="BM26" s="101">
        <v>100</v>
      </c>
      <c r="BN26" s="101">
        <v>100</v>
      </c>
      <c r="BO26" s="105">
        <v>12</v>
      </c>
      <c r="BP26" s="105">
        <v>100</v>
      </c>
      <c r="BQ26" s="105">
        <v>100</v>
      </c>
      <c r="BR26" s="105">
        <v>100</v>
      </c>
      <c r="BS26" s="105">
        <v>100</v>
      </c>
      <c r="BT26" s="105">
        <v>100</v>
      </c>
      <c r="BU26" s="105">
        <v>12</v>
      </c>
      <c r="BV26" s="105">
        <v>100</v>
      </c>
      <c r="BW26" s="105">
        <v>100</v>
      </c>
      <c r="BX26" s="105">
        <v>100</v>
      </c>
      <c r="BY26" s="105">
        <v>100</v>
      </c>
      <c r="BZ26" s="105">
        <v>100</v>
      </c>
      <c r="CA26" s="11" t="s">
        <v>138</v>
      </c>
      <c r="CB26" s="12">
        <v>21</v>
      </c>
      <c r="CC26" s="2"/>
      <c r="CD26" s="29" t="s">
        <v>76</v>
      </c>
      <c r="CE26" s="30">
        <v>21</v>
      </c>
      <c r="CH26" s="1">
        <v>37</v>
      </c>
      <c r="CI26" s="12">
        <v>4</v>
      </c>
    </row>
    <row r="27" spans="1:87" x14ac:dyDescent="0.2">
      <c r="A27" s="96">
        <v>1121</v>
      </c>
      <c r="B27" s="96">
        <v>100</v>
      </c>
      <c r="C27" s="96">
        <v>100</v>
      </c>
      <c r="D27" s="96">
        <v>100</v>
      </c>
      <c r="E27" s="96">
        <v>100</v>
      </c>
      <c r="F27" s="96">
        <v>100</v>
      </c>
      <c r="G27" s="96">
        <v>100</v>
      </c>
      <c r="H27" s="96">
        <v>100</v>
      </c>
      <c r="I27" s="96" t="s">
        <v>29</v>
      </c>
      <c r="J27" s="93"/>
      <c r="K27" s="93">
        <v>1220</v>
      </c>
      <c r="L27" s="93">
        <v>100</v>
      </c>
      <c r="M27" s="93">
        <v>100</v>
      </c>
      <c r="N27" s="93">
        <v>100</v>
      </c>
      <c r="O27" s="93">
        <v>100</v>
      </c>
      <c r="P27" s="93">
        <v>100</v>
      </c>
      <c r="Q27" s="93">
        <v>100</v>
      </c>
      <c r="R27" s="93">
        <v>100</v>
      </c>
      <c r="S27" s="93" t="s">
        <v>29</v>
      </c>
      <c r="T27" s="93"/>
      <c r="U27" s="96">
        <v>21</v>
      </c>
      <c r="V27" s="100">
        <v>15</v>
      </c>
      <c r="W27" s="101">
        <v>35</v>
      </c>
      <c r="X27" s="101">
        <v>45</v>
      </c>
      <c r="Y27" s="101">
        <v>55</v>
      </c>
      <c r="Z27" s="101">
        <v>60</v>
      </c>
      <c r="AA27" s="101">
        <v>75</v>
      </c>
      <c r="AB27" s="101">
        <v>80</v>
      </c>
      <c r="AC27" s="96" t="s">
        <v>29</v>
      </c>
      <c r="AD27" s="96"/>
      <c r="AE27" s="105">
        <v>21</v>
      </c>
      <c r="AF27" s="104">
        <v>50</v>
      </c>
      <c r="AG27" s="105">
        <v>65</v>
      </c>
      <c r="AH27" s="105">
        <v>80</v>
      </c>
      <c r="AI27" s="105">
        <v>100</v>
      </c>
      <c r="AJ27" s="105">
        <v>100</v>
      </c>
      <c r="AK27" s="105">
        <v>100</v>
      </c>
      <c r="AL27" s="105">
        <v>100</v>
      </c>
      <c r="AM27" s="93" t="s">
        <v>29</v>
      </c>
      <c r="AN27" s="93"/>
      <c r="AO27" s="23">
        <v>1</v>
      </c>
      <c r="AP27" s="125">
        <v>0</v>
      </c>
      <c r="AQ27" s="125">
        <v>0</v>
      </c>
      <c r="AR27" s="125">
        <v>0</v>
      </c>
      <c r="AS27" s="125">
        <v>0</v>
      </c>
      <c r="AT27" s="125">
        <v>0</v>
      </c>
      <c r="AU27" s="125">
        <v>0</v>
      </c>
      <c r="AV27" s="125">
        <v>0</v>
      </c>
      <c r="AW27" s="125" t="s">
        <v>48</v>
      </c>
      <c r="AX27" s="23"/>
      <c r="AY27" s="93">
        <v>1</v>
      </c>
      <c r="AZ27" s="104">
        <v>0</v>
      </c>
      <c r="BA27" s="104">
        <v>0</v>
      </c>
      <c r="BB27" s="103">
        <v>0</v>
      </c>
      <c r="BC27" s="104">
        <v>0</v>
      </c>
      <c r="BD27" s="103">
        <v>0</v>
      </c>
      <c r="BE27" s="103">
        <v>0</v>
      </c>
      <c r="BF27" s="103">
        <v>0</v>
      </c>
      <c r="BG27" s="103" t="s">
        <v>48</v>
      </c>
      <c r="BH27" s="106"/>
      <c r="BI27" s="101">
        <v>17</v>
      </c>
      <c r="BJ27" s="101">
        <v>100</v>
      </c>
      <c r="BK27" s="101">
        <v>100</v>
      </c>
      <c r="BL27" s="101">
        <v>100</v>
      </c>
      <c r="BM27" s="101">
        <v>100</v>
      </c>
      <c r="BN27" s="101">
        <v>100</v>
      </c>
      <c r="BO27" s="105">
        <v>13</v>
      </c>
      <c r="BP27" s="105">
        <v>100</v>
      </c>
      <c r="BQ27" s="105">
        <v>100</v>
      </c>
      <c r="BR27" s="105">
        <v>100</v>
      </c>
      <c r="BS27" s="105">
        <v>100</v>
      </c>
      <c r="BT27" s="105">
        <v>100</v>
      </c>
      <c r="BU27" s="105">
        <v>13</v>
      </c>
      <c r="BV27" s="105">
        <v>100</v>
      </c>
      <c r="BW27" s="105">
        <v>100</v>
      </c>
      <c r="BX27" s="105">
        <v>100</v>
      </c>
      <c r="BY27" s="105">
        <v>100</v>
      </c>
      <c r="BZ27" s="105">
        <v>100</v>
      </c>
      <c r="CA27" s="11" t="s">
        <v>72</v>
      </c>
      <c r="CB27" s="12">
        <v>22</v>
      </c>
      <c r="CC27" s="2"/>
      <c r="CD27" s="29" t="s">
        <v>77</v>
      </c>
      <c r="CE27" s="30">
        <v>22</v>
      </c>
      <c r="CH27" s="1">
        <v>38</v>
      </c>
      <c r="CI27" s="12">
        <v>4</v>
      </c>
    </row>
    <row r="28" spans="1:87" x14ac:dyDescent="0.2">
      <c r="A28" s="96">
        <v>1122</v>
      </c>
      <c r="B28" s="96">
        <v>100</v>
      </c>
      <c r="C28" s="96">
        <v>100</v>
      </c>
      <c r="D28" s="96">
        <v>100</v>
      </c>
      <c r="E28" s="96">
        <v>100</v>
      </c>
      <c r="F28" s="96">
        <v>100</v>
      </c>
      <c r="G28" s="96">
        <v>100</v>
      </c>
      <c r="H28" s="96">
        <v>100</v>
      </c>
      <c r="I28" s="96" t="s">
        <v>29</v>
      </c>
      <c r="J28" s="93"/>
      <c r="K28" s="93">
        <v>1221</v>
      </c>
      <c r="L28" s="93">
        <v>100</v>
      </c>
      <c r="M28" s="93">
        <v>100</v>
      </c>
      <c r="N28" s="93">
        <v>100</v>
      </c>
      <c r="O28" s="93">
        <v>100</v>
      </c>
      <c r="P28" s="93">
        <v>100</v>
      </c>
      <c r="Q28" s="93">
        <v>100</v>
      </c>
      <c r="R28" s="93">
        <v>100</v>
      </c>
      <c r="S28" s="93" t="s">
        <v>29</v>
      </c>
      <c r="T28" s="93"/>
      <c r="U28" s="96">
        <v>22</v>
      </c>
      <c r="V28" s="100">
        <v>20</v>
      </c>
      <c r="W28" s="101">
        <v>40</v>
      </c>
      <c r="X28" s="101">
        <v>50</v>
      </c>
      <c r="Y28" s="101">
        <v>60</v>
      </c>
      <c r="Z28" s="101">
        <v>65</v>
      </c>
      <c r="AA28" s="101">
        <v>80</v>
      </c>
      <c r="AB28" s="101">
        <v>80</v>
      </c>
      <c r="AC28" s="96" t="s">
        <v>29</v>
      </c>
      <c r="AD28" s="96"/>
      <c r="AE28" s="105">
        <v>22</v>
      </c>
      <c r="AF28" s="104">
        <v>55</v>
      </c>
      <c r="AG28" s="105">
        <v>70</v>
      </c>
      <c r="AH28" s="105">
        <v>85</v>
      </c>
      <c r="AI28" s="105">
        <v>100</v>
      </c>
      <c r="AJ28" s="105">
        <v>100</v>
      </c>
      <c r="AK28" s="105">
        <v>100</v>
      </c>
      <c r="AL28" s="105">
        <v>100</v>
      </c>
      <c r="AM28" s="93" t="s">
        <v>29</v>
      </c>
      <c r="AN28" s="93"/>
      <c r="AO28" s="23">
        <v>2</v>
      </c>
      <c r="AP28" s="125">
        <v>0</v>
      </c>
      <c r="AQ28" s="125">
        <v>0</v>
      </c>
      <c r="AR28" s="125">
        <v>0</v>
      </c>
      <c r="AS28" s="125">
        <v>0</v>
      </c>
      <c r="AT28" s="125">
        <v>0</v>
      </c>
      <c r="AU28" s="125">
        <v>0</v>
      </c>
      <c r="AV28" s="125">
        <v>0</v>
      </c>
      <c r="AW28" s="125" t="s">
        <v>48</v>
      </c>
      <c r="AX28" s="23"/>
      <c r="AY28" s="93">
        <v>2</v>
      </c>
      <c r="AZ28" s="104">
        <v>0</v>
      </c>
      <c r="BA28" s="104">
        <v>0</v>
      </c>
      <c r="BB28" s="103">
        <v>0</v>
      </c>
      <c r="BC28" s="104">
        <v>0</v>
      </c>
      <c r="BD28" s="103">
        <v>0</v>
      </c>
      <c r="BE28" s="104">
        <v>10</v>
      </c>
      <c r="BF28" s="104">
        <v>10</v>
      </c>
      <c r="BG28" s="103" t="s">
        <v>48</v>
      </c>
      <c r="BH28" s="106"/>
      <c r="BI28" s="101">
        <v>18</v>
      </c>
      <c r="BJ28" s="101">
        <v>100</v>
      </c>
      <c r="BK28" s="101">
        <v>100</v>
      </c>
      <c r="BL28" s="101">
        <v>100</v>
      </c>
      <c r="BM28" s="101">
        <v>100</v>
      </c>
      <c r="BN28" s="101">
        <v>100</v>
      </c>
      <c r="BO28" s="105">
        <v>14</v>
      </c>
      <c r="BP28" s="105">
        <v>100</v>
      </c>
      <c r="BQ28" s="105">
        <v>100</v>
      </c>
      <c r="BR28" s="105">
        <v>100</v>
      </c>
      <c r="BS28" s="105">
        <v>100</v>
      </c>
      <c r="BT28" s="105">
        <v>100</v>
      </c>
      <c r="BU28" s="105">
        <v>14</v>
      </c>
      <c r="BV28" s="105">
        <v>100</v>
      </c>
      <c r="BW28" s="105">
        <v>100</v>
      </c>
      <c r="BX28" s="105">
        <v>100</v>
      </c>
      <c r="BY28" s="105">
        <v>100</v>
      </c>
      <c r="BZ28" s="105">
        <v>100</v>
      </c>
      <c r="CA28" s="11" t="s">
        <v>65</v>
      </c>
      <c r="CB28" s="12">
        <v>23</v>
      </c>
      <c r="CC28" s="2"/>
      <c r="CD28" s="29" t="s">
        <v>78</v>
      </c>
      <c r="CE28" s="30">
        <v>23</v>
      </c>
      <c r="CH28" s="1">
        <v>39</v>
      </c>
      <c r="CI28" s="12">
        <v>4</v>
      </c>
    </row>
    <row r="29" spans="1:87" x14ac:dyDescent="0.2">
      <c r="A29" s="96">
        <v>1123</v>
      </c>
      <c r="B29" s="96">
        <v>100</v>
      </c>
      <c r="C29" s="96">
        <v>100</v>
      </c>
      <c r="D29" s="96">
        <v>100</v>
      </c>
      <c r="E29" s="96">
        <v>100</v>
      </c>
      <c r="F29" s="96">
        <v>100</v>
      </c>
      <c r="G29" s="96">
        <v>100</v>
      </c>
      <c r="H29" s="96">
        <v>100</v>
      </c>
      <c r="I29" s="96" t="s">
        <v>29</v>
      </c>
      <c r="J29" s="93"/>
      <c r="K29" s="93">
        <v>1222</v>
      </c>
      <c r="L29" s="93">
        <v>100</v>
      </c>
      <c r="M29" s="93">
        <v>100</v>
      </c>
      <c r="N29" s="93">
        <v>100</v>
      </c>
      <c r="O29" s="93">
        <v>100</v>
      </c>
      <c r="P29" s="93">
        <v>100</v>
      </c>
      <c r="Q29" s="93">
        <v>100</v>
      </c>
      <c r="R29" s="93">
        <v>100</v>
      </c>
      <c r="S29" s="93" t="s">
        <v>29</v>
      </c>
      <c r="T29" s="93"/>
      <c r="U29" s="96">
        <v>23</v>
      </c>
      <c r="V29" s="100">
        <v>25</v>
      </c>
      <c r="W29" s="101">
        <v>40</v>
      </c>
      <c r="X29" s="101">
        <v>50</v>
      </c>
      <c r="Y29" s="101">
        <v>60</v>
      </c>
      <c r="Z29" s="101">
        <v>65</v>
      </c>
      <c r="AA29" s="101">
        <v>80</v>
      </c>
      <c r="AB29" s="101">
        <v>85</v>
      </c>
      <c r="AC29" s="96" t="s">
        <v>29</v>
      </c>
      <c r="AD29" s="96"/>
      <c r="AE29" s="105">
        <v>23</v>
      </c>
      <c r="AF29" s="104">
        <v>55</v>
      </c>
      <c r="AG29" s="105">
        <v>70</v>
      </c>
      <c r="AH29" s="105">
        <v>90</v>
      </c>
      <c r="AI29" s="105">
        <v>100</v>
      </c>
      <c r="AJ29" s="105">
        <v>100</v>
      </c>
      <c r="AK29" s="105">
        <v>100</v>
      </c>
      <c r="AL29" s="105">
        <v>100</v>
      </c>
      <c r="AM29" s="93" t="s">
        <v>29</v>
      </c>
      <c r="AN29" s="93"/>
      <c r="AO29" s="23">
        <v>3</v>
      </c>
      <c r="AP29" s="125">
        <v>0</v>
      </c>
      <c r="AQ29" s="125">
        <v>0</v>
      </c>
      <c r="AR29" s="125">
        <v>0</v>
      </c>
      <c r="AS29" s="125">
        <v>0</v>
      </c>
      <c r="AT29" s="125">
        <v>0</v>
      </c>
      <c r="AU29" s="125">
        <v>0</v>
      </c>
      <c r="AV29" s="125">
        <v>0</v>
      </c>
      <c r="AW29" s="125" t="s">
        <v>48</v>
      </c>
      <c r="AX29" s="23"/>
      <c r="AY29" s="93">
        <v>3</v>
      </c>
      <c r="AZ29" s="104">
        <v>0</v>
      </c>
      <c r="BA29" s="104">
        <v>0</v>
      </c>
      <c r="BB29" s="103">
        <v>0</v>
      </c>
      <c r="BC29" s="104">
        <v>0</v>
      </c>
      <c r="BD29" s="103">
        <v>0</v>
      </c>
      <c r="BE29" s="104">
        <v>15</v>
      </c>
      <c r="BF29" s="103">
        <v>20</v>
      </c>
      <c r="BG29" s="103" t="s">
        <v>48</v>
      </c>
      <c r="BH29" s="106"/>
      <c r="BI29" s="101">
        <v>19</v>
      </c>
      <c r="BJ29" s="101">
        <v>100</v>
      </c>
      <c r="BK29" s="101">
        <v>100</v>
      </c>
      <c r="BL29" s="101">
        <v>100</v>
      </c>
      <c r="BM29" s="101">
        <v>100</v>
      </c>
      <c r="BN29" s="101">
        <v>100</v>
      </c>
      <c r="BO29" s="105">
        <v>15</v>
      </c>
      <c r="BP29" s="105">
        <v>100</v>
      </c>
      <c r="BQ29" s="105">
        <v>100</v>
      </c>
      <c r="BR29" s="105">
        <v>100</v>
      </c>
      <c r="BS29" s="105">
        <v>100</v>
      </c>
      <c r="BT29" s="105">
        <v>100</v>
      </c>
      <c r="BU29" s="105">
        <v>15</v>
      </c>
      <c r="BV29" s="105">
        <v>100</v>
      </c>
      <c r="BW29" s="105">
        <v>100</v>
      </c>
      <c r="BX29" s="105">
        <v>100</v>
      </c>
      <c r="BY29" s="105">
        <v>100</v>
      </c>
      <c r="BZ29" s="105">
        <v>100</v>
      </c>
      <c r="CA29" s="12"/>
      <c r="CB29" s="12"/>
      <c r="CC29" s="2"/>
      <c r="CD29" s="29" t="s">
        <v>79</v>
      </c>
      <c r="CE29" s="30">
        <v>24</v>
      </c>
      <c r="CH29" s="1">
        <v>40</v>
      </c>
      <c r="CI29" s="12">
        <v>4</v>
      </c>
    </row>
    <row r="30" spans="1:87" x14ac:dyDescent="0.2">
      <c r="A30" s="96">
        <v>1124</v>
      </c>
      <c r="B30" s="96">
        <v>100</v>
      </c>
      <c r="C30" s="96">
        <v>100</v>
      </c>
      <c r="D30" s="96">
        <v>100</v>
      </c>
      <c r="E30" s="96">
        <v>100</v>
      </c>
      <c r="F30" s="96">
        <v>100</v>
      </c>
      <c r="G30" s="96">
        <v>100</v>
      </c>
      <c r="H30" s="96">
        <v>100</v>
      </c>
      <c r="I30" s="96" t="s">
        <v>29</v>
      </c>
      <c r="J30" s="93"/>
      <c r="K30" s="93">
        <v>1223</v>
      </c>
      <c r="L30" s="93">
        <v>100</v>
      </c>
      <c r="M30" s="93">
        <v>100</v>
      </c>
      <c r="N30" s="93">
        <v>100</v>
      </c>
      <c r="O30" s="93">
        <v>100</v>
      </c>
      <c r="P30" s="93">
        <v>100</v>
      </c>
      <c r="Q30" s="93">
        <v>100</v>
      </c>
      <c r="R30" s="93">
        <v>100</v>
      </c>
      <c r="S30" s="93" t="s">
        <v>29</v>
      </c>
      <c r="T30" s="93"/>
      <c r="U30" s="96">
        <v>24</v>
      </c>
      <c r="V30" s="100">
        <v>30</v>
      </c>
      <c r="W30" s="101">
        <v>45</v>
      </c>
      <c r="X30" s="101">
        <v>55</v>
      </c>
      <c r="Y30" s="101">
        <v>65</v>
      </c>
      <c r="Z30" s="101">
        <v>70</v>
      </c>
      <c r="AA30" s="101">
        <v>85</v>
      </c>
      <c r="AB30" s="101">
        <v>90</v>
      </c>
      <c r="AC30" s="96" t="s">
        <v>29</v>
      </c>
      <c r="AD30" s="96"/>
      <c r="AE30" s="105">
        <v>24</v>
      </c>
      <c r="AF30" s="104">
        <v>60</v>
      </c>
      <c r="AG30" s="105">
        <v>75</v>
      </c>
      <c r="AH30" s="105">
        <v>95</v>
      </c>
      <c r="AI30" s="105">
        <v>100</v>
      </c>
      <c r="AJ30" s="105">
        <v>100</v>
      </c>
      <c r="AK30" s="105">
        <v>100</v>
      </c>
      <c r="AL30" s="105">
        <v>100</v>
      </c>
      <c r="AM30" s="93" t="s">
        <v>29</v>
      </c>
      <c r="AN30" s="93"/>
      <c r="AO30" s="23">
        <v>4</v>
      </c>
      <c r="AP30" s="125">
        <v>0</v>
      </c>
      <c r="AQ30" s="125">
        <v>0</v>
      </c>
      <c r="AR30" s="125">
        <v>0</v>
      </c>
      <c r="AS30" s="125">
        <v>0</v>
      </c>
      <c r="AT30" s="125">
        <v>0</v>
      </c>
      <c r="AU30" s="125">
        <v>0</v>
      </c>
      <c r="AV30" s="125">
        <v>0</v>
      </c>
      <c r="AW30" s="125" t="s">
        <v>48</v>
      </c>
      <c r="AX30" s="23"/>
      <c r="AY30" s="93">
        <v>4</v>
      </c>
      <c r="AZ30" s="104">
        <v>0</v>
      </c>
      <c r="BA30" s="104">
        <v>0</v>
      </c>
      <c r="BB30" s="103">
        <v>0</v>
      </c>
      <c r="BC30" s="104">
        <v>0</v>
      </c>
      <c r="BD30" s="104">
        <v>0</v>
      </c>
      <c r="BE30" s="104">
        <v>20</v>
      </c>
      <c r="BF30" s="104">
        <v>30</v>
      </c>
      <c r="BG30" s="103" t="s">
        <v>48</v>
      </c>
      <c r="BH30" s="106"/>
      <c r="BI30" s="101">
        <v>20</v>
      </c>
      <c r="BJ30" s="101">
        <v>100</v>
      </c>
      <c r="BK30" s="101">
        <v>100</v>
      </c>
      <c r="BL30" s="101">
        <v>100</v>
      </c>
      <c r="BM30" s="101">
        <v>100</v>
      </c>
      <c r="BN30" s="101">
        <v>100</v>
      </c>
      <c r="BO30" s="105">
        <v>16</v>
      </c>
      <c r="BP30" s="105">
        <v>100</v>
      </c>
      <c r="BQ30" s="105">
        <v>100</v>
      </c>
      <c r="BR30" s="105">
        <v>100</v>
      </c>
      <c r="BS30" s="105">
        <v>100</v>
      </c>
      <c r="BT30" s="105">
        <v>100</v>
      </c>
      <c r="BU30" s="105">
        <v>16</v>
      </c>
      <c r="BV30" s="105">
        <v>100</v>
      </c>
      <c r="BW30" s="105">
        <v>100</v>
      </c>
      <c r="BX30" s="105">
        <v>100</v>
      </c>
      <c r="BY30" s="105">
        <v>100</v>
      </c>
      <c r="BZ30" s="105">
        <v>100</v>
      </c>
      <c r="CA30" s="12"/>
      <c r="CB30" s="12"/>
      <c r="CC30" s="2"/>
      <c r="CD30" s="29" t="s">
        <v>80</v>
      </c>
      <c r="CE30" s="30">
        <v>25</v>
      </c>
      <c r="CH30" s="1">
        <v>41</v>
      </c>
      <c r="CI30" s="12">
        <v>5</v>
      </c>
    </row>
    <row r="31" spans="1:87" x14ac:dyDescent="0.2">
      <c r="A31" s="96">
        <v>1125</v>
      </c>
      <c r="B31" s="96">
        <v>100</v>
      </c>
      <c r="C31" s="96">
        <v>100</v>
      </c>
      <c r="D31" s="96">
        <v>100</v>
      </c>
      <c r="E31" s="96">
        <v>100</v>
      </c>
      <c r="F31" s="96">
        <v>100</v>
      </c>
      <c r="G31" s="96">
        <v>100</v>
      </c>
      <c r="H31" s="96">
        <v>100</v>
      </c>
      <c r="I31" s="96" t="s">
        <v>29</v>
      </c>
      <c r="J31" s="93"/>
      <c r="K31" s="93">
        <v>1224</v>
      </c>
      <c r="L31" s="93">
        <v>100</v>
      </c>
      <c r="M31" s="93">
        <v>100</v>
      </c>
      <c r="N31" s="93">
        <v>100</v>
      </c>
      <c r="O31" s="93">
        <v>100</v>
      </c>
      <c r="P31" s="93">
        <v>100</v>
      </c>
      <c r="Q31" s="93">
        <v>100</v>
      </c>
      <c r="R31" s="93">
        <v>100</v>
      </c>
      <c r="S31" s="93" t="s">
        <v>29</v>
      </c>
      <c r="T31" s="93"/>
      <c r="U31" s="96">
        <v>25</v>
      </c>
      <c r="V31" s="100">
        <v>35</v>
      </c>
      <c r="W31" s="101">
        <v>45</v>
      </c>
      <c r="X31" s="101">
        <v>55</v>
      </c>
      <c r="Y31" s="101">
        <v>65</v>
      </c>
      <c r="Z31" s="101">
        <v>70</v>
      </c>
      <c r="AA31" s="101">
        <v>85</v>
      </c>
      <c r="AB31" s="101">
        <v>95</v>
      </c>
      <c r="AC31" s="96" t="s">
        <v>29</v>
      </c>
      <c r="AD31" s="96"/>
      <c r="AE31" s="105">
        <v>25</v>
      </c>
      <c r="AF31" s="104">
        <v>65</v>
      </c>
      <c r="AG31" s="105">
        <v>80</v>
      </c>
      <c r="AH31" s="105">
        <v>100</v>
      </c>
      <c r="AI31" s="105">
        <v>100</v>
      </c>
      <c r="AJ31" s="105">
        <v>100</v>
      </c>
      <c r="AK31" s="105">
        <v>100</v>
      </c>
      <c r="AL31" s="105">
        <v>100</v>
      </c>
      <c r="AM31" s="93" t="s">
        <v>29</v>
      </c>
      <c r="AN31" s="93"/>
      <c r="AO31" s="23">
        <v>5</v>
      </c>
      <c r="AP31" s="125">
        <v>0</v>
      </c>
      <c r="AQ31" s="125">
        <v>0</v>
      </c>
      <c r="AR31" s="125">
        <v>0</v>
      </c>
      <c r="AS31" s="125">
        <v>0</v>
      </c>
      <c r="AT31" s="125">
        <v>0</v>
      </c>
      <c r="AU31" s="125">
        <v>0</v>
      </c>
      <c r="AV31" s="125">
        <v>0</v>
      </c>
      <c r="AW31" s="125" t="s">
        <v>48</v>
      </c>
      <c r="AX31" s="23"/>
      <c r="AY31" s="93">
        <v>5</v>
      </c>
      <c r="AZ31" s="104">
        <v>0</v>
      </c>
      <c r="BA31" s="104">
        <v>0</v>
      </c>
      <c r="BB31" s="103">
        <v>0</v>
      </c>
      <c r="BC31" s="104">
        <v>0</v>
      </c>
      <c r="BD31" s="104">
        <v>5</v>
      </c>
      <c r="BE31" s="104">
        <v>25</v>
      </c>
      <c r="BF31" s="103">
        <v>40</v>
      </c>
      <c r="BG31" s="93" t="s">
        <v>29</v>
      </c>
      <c r="BH31" s="106"/>
      <c r="BI31" s="101">
        <v>21</v>
      </c>
      <c r="BJ31" s="101">
        <v>100</v>
      </c>
      <c r="BK31" s="101">
        <v>100</v>
      </c>
      <c r="BL31" s="101">
        <v>100</v>
      </c>
      <c r="BM31" s="101">
        <v>100</v>
      </c>
      <c r="BN31" s="101">
        <v>100</v>
      </c>
      <c r="BO31" s="105">
        <v>17</v>
      </c>
      <c r="BP31" s="105">
        <v>100</v>
      </c>
      <c r="BQ31" s="105">
        <v>100</v>
      </c>
      <c r="BR31" s="105">
        <v>100</v>
      </c>
      <c r="BS31" s="105">
        <v>100</v>
      </c>
      <c r="BT31" s="105">
        <v>100</v>
      </c>
      <c r="BU31" s="105">
        <v>17</v>
      </c>
      <c r="BV31" s="105">
        <v>100</v>
      </c>
      <c r="BW31" s="105">
        <v>100</v>
      </c>
      <c r="BX31" s="105">
        <v>100</v>
      </c>
      <c r="BY31" s="105">
        <v>100</v>
      </c>
      <c r="BZ31" s="105">
        <v>100</v>
      </c>
      <c r="CA31" s="12"/>
      <c r="CB31" s="12"/>
      <c r="CC31" s="2"/>
      <c r="CD31" s="29" t="s">
        <v>81</v>
      </c>
      <c r="CE31" s="30">
        <v>26</v>
      </c>
      <c r="CH31" s="1">
        <v>42</v>
      </c>
      <c r="CI31" s="12">
        <v>5</v>
      </c>
    </row>
    <row r="32" spans="1:87" x14ac:dyDescent="0.2">
      <c r="A32" s="96">
        <v>1126</v>
      </c>
      <c r="B32" s="96">
        <v>100</v>
      </c>
      <c r="C32" s="96">
        <v>100</v>
      </c>
      <c r="D32" s="96">
        <v>100</v>
      </c>
      <c r="E32" s="96">
        <v>100</v>
      </c>
      <c r="F32" s="96">
        <v>100</v>
      </c>
      <c r="G32" s="96">
        <v>100</v>
      </c>
      <c r="H32" s="96">
        <v>100</v>
      </c>
      <c r="I32" s="96" t="s">
        <v>29</v>
      </c>
      <c r="J32" s="93"/>
      <c r="K32" s="93">
        <v>1225</v>
      </c>
      <c r="L32" s="93">
        <v>100</v>
      </c>
      <c r="M32" s="93">
        <v>100</v>
      </c>
      <c r="N32" s="93">
        <v>100</v>
      </c>
      <c r="O32" s="93">
        <v>100</v>
      </c>
      <c r="P32" s="93">
        <v>100</v>
      </c>
      <c r="Q32" s="93">
        <v>100</v>
      </c>
      <c r="R32" s="93">
        <v>100</v>
      </c>
      <c r="S32" s="93" t="s">
        <v>29</v>
      </c>
      <c r="T32" s="93"/>
      <c r="U32" s="96">
        <v>26</v>
      </c>
      <c r="V32" s="101">
        <v>40</v>
      </c>
      <c r="W32" s="101">
        <v>50</v>
      </c>
      <c r="X32" s="101">
        <v>60</v>
      </c>
      <c r="Y32" s="101">
        <v>70</v>
      </c>
      <c r="Z32" s="101">
        <v>75</v>
      </c>
      <c r="AA32" s="101">
        <v>90</v>
      </c>
      <c r="AB32" s="101">
        <v>100</v>
      </c>
      <c r="AC32" s="96" t="s">
        <v>29</v>
      </c>
      <c r="AD32" s="96"/>
      <c r="AE32" s="105">
        <v>26</v>
      </c>
      <c r="AF32" s="104">
        <v>65</v>
      </c>
      <c r="AG32" s="105">
        <v>85</v>
      </c>
      <c r="AH32" s="105">
        <v>100</v>
      </c>
      <c r="AI32" s="105">
        <v>100</v>
      </c>
      <c r="AJ32" s="105">
        <v>100</v>
      </c>
      <c r="AK32" s="105">
        <v>100</v>
      </c>
      <c r="AL32" s="105">
        <v>100</v>
      </c>
      <c r="AM32" s="93" t="s">
        <v>29</v>
      </c>
      <c r="AN32" s="93"/>
      <c r="AO32" s="23">
        <v>6</v>
      </c>
      <c r="AP32" s="125">
        <v>0</v>
      </c>
      <c r="AQ32" s="125">
        <v>0</v>
      </c>
      <c r="AR32" s="125">
        <v>0</v>
      </c>
      <c r="AS32" s="125">
        <v>0</v>
      </c>
      <c r="AT32" s="125">
        <v>0</v>
      </c>
      <c r="AU32" s="125">
        <v>0</v>
      </c>
      <c r="AV32" s="125">
        <v>0</v>
      </c>
      <c r="AW32" s="125" t="s">
        <v>48</v>
      </c>
      <c r="AX32" s="23"/>
      <c r="AY32" s="93">
        <v>6</v>
      </c>
      <c r="AZ32" s="104">
        <v>0</v>
      </c>
      <c r="BA32" s="104">
        <v>0</v>
      </c>
      <c r="BB32" s="103">
        <v>0</v>
      </c>
      <c r="BC32" s="104">
        <v>0</v>
      </c>
      <c r="BD32" s="104">
        <v>10</v>
      </c>
      <c r="BE32" s="104">
        <v>30</v>
      </c>
      <c r="BF32" s="105">
        <v>50</v>
      </c>
      <c r="BG32" s="93" t="s">
        <v>29</v>
      </c>
      <c r="BH32" s="106"/>
      <c r="BI32" s="101">
        <v>22</v>
      </c>
      <c r="BJ32" s="101">
        <v>100</v>
      </c>
      <c r="BK32" s="101">
        <v>100</v>
      </c>
      <c r="BL32" s="101">
        <v>100</v>
      </c>
      <c r="BM32" s="101">
        <v>100</v>
      </c>
      <c r="BN32" s="101">
        <v>100</v>
      </c>
      <c r="BO32" s="105">
        <v>18</v>
      </c>
      <c r="BP32" s="105">
        <v>100</v>
      </c>
      <c r="BQ32" s="105">
        <v>100</v>
      </c>
      <c r="BR32" s="105">
        <v>100</v>
      </c>
      <c r="BS32" s="105">
        <v>100</v>
      </c>
      <c r="BT32" s="105">
        <v>100</v>
      </c>
      <c r="BU32" s="105">
        <v>18</v>
      </c>
      <c r="BV32" s="105">
        <v>100</v>
      </c>
      <c r="BW32" s="105">
        <v>100</v>
      </c>
      <c r="BX32" s="105">
        <v>100</v>
      </c>
      <c r="BY32" s="105">
        <v>100</v>
      </c>
      <c r="BZ32" s="105">
        <v>100</v>
      </c>
      <c r="CA32" s="12"/>
      <c r="CB32" s="12"/>
      <c r="CC32" s="2"/>
      <c r="CD32" s="29" t="s">
        <v>83</v>
      </c>
      <c r="CE32" s="30">
        <v>27</v>
      </c>
      <c r="CH32" s="1">
        <v>43</v>
      </c>
      <c r="CI32" s="12">
        <v>5</v>
      </c>
    </row>
    <row r="33" spans="1:87" x14ac:dyDescent="0.2">
      <c r="A33" s="96">
        <v>1127</v>
      </c>
      <c r="B33" s="96">
        <v>100</v>
      </c>
      <c r="C33" s="96">
        <v>100</v>
      </c>
      <c r="D33" s="96">
        <v>100</v>
      </c>
      <c r="E33" s="96">
        <v>100</v>
      </c>
      <c r="F33" s="96">
        <v>100</v>
      </c>
      <c r="G33" s="96">
        <v>100</v>
      </c>
      <c r="H33" s="96">
        <v>100</v>
      </c>
      <c r="I33" s="96" t="s">
        <v>29</v>
      </c>
      <c r="J33" s="93"/>
      <c r="K33" s="93">
        <v>1226</v>
      </c>
      <c r="L33" s="93">
        <v>100</v>
      </c>
      <c r="M33" s="93">
        <v>100</v>
      </c>
      <c r="N33" s="93">
        <v>100</v>
      </c>
      <c r="O33" s="93">
        <v>100</v>
      </c>
      <c r="P33" s="93">
        <v>100</v>
      </c>
      <c r="Q33" s="93">
        <v>100</v>
      </c>
      <c r="R33" s="93">
        <v>100</v>
      </c>
      <c r="S33" s="93" t="s">
        <v>29</v>
      </c>
      <c r="T33" s="93"/>
      <c r="U33" s="96">
        <v>27</v>
      </c>
      <c r="V33" s="101">
        <v>40</v>
      </c>
      <c r="W33" s="101">
        <v>50</v>
      </c>
      <c r="X33" s="101">
        <v>60</v>
      </c>
      <c r="Y33" s="101">
        <v>70</v>
      </c>
      <c r="Z33" s="101">
        <v>75</v>
      </c>
      <c r="AA33" s="101">
        <v>90</v>
      </c>
      <c r="AB33" s="101">
        <v>100</v>
      </c>
      <c r="AC33" s="96" t="s">
        <v>29</v>
      </c>
      <c r="AD33" s="96"/>
      <c r="AE33" s="105">
        <v>27</v>
      </c>
      <c r="AF33" s="104">
        <v>70</v>
      </c>
      <c r="AG33" s="105">
        <v>90</v>
      </c>
      <c r="AH33" s="105">
        <v>100</v>
      </c>
      <c r="AI33" s="105">
        <v>100</v>
      </c>
      <c r="AJ33" s="105">
        <v>100</v>
      </c>
      <c r="AK33" s="105">
        <v>100</v>
      </c>
      <c r="AL33" s="105">
        <v>100</v>
      </c>
      <c r="AM33" s="93" t="s">
        <v>29</v>
      </c>
      <c r="AN33" s="93"/>
      <c r="AO33" s="23">
        <v>7</v>
      </c>
      <c r="AP33" s="125">
        <v>0</v>
      </c>
      <c r="AQ33" s="125">
        <v>0</v>
      </c>
      <c r="AR33" s="125">
        <v>0</v>
      </c>
      <c r="AS33" s="125">
        <v>0</v>
      </c>
      <c r="AT33" s="125">
        <v>0</v>
      </c>
      <c r="AU33" s="125">
        <v>0</v>
      </c>
      <c r="AV33" s="125">
        <v>0</v>
      </c>
      <c r="AW33" s="125" t="s">
        <v>48</v>
      </c>
      <c r="AX33" s="23"/>
      <c r="AY33" s="93">
        <v>7</v>
      </c>
      <c r="AZ33" s="104">
        <v>0</v>
      </c>
      <c r="BA33" s="104">
        <v>0</v>
      </c>
      <c r="BB33" s="103">
        <v>0</v>
      </c>
      <c r="BC33" s="104">
        <v>0</v>
      </c>
      <c r="BD33" s="104">
        <v>15</v>
      </c>
      <c r="BE33" s="104">
        <v>35</v>
      </c>
      <c r="BF33" s="93">
        <v>55</v>
      </c>
      <c r="BG33" s="93" t="s">
        <v>29</v>
      </c>
      <c r="BH33" s="106"/>
      <c r="BI33" s="101">
        <v>23</v>
      </c>
      <c r="BJ33" s="101">
        <v>100</v>
      </c>
      <c r="BK33" s="101">
        <v>100</v>
      </c>
      <c r="BL33" s="101">
        <v>100</v>
      </c>
      <c r="BM33" s="101">
        <v>100</v>
      </c>
      <c r="BN33" s="101">
        <v>100</v>
      </c>
      <c r="BO33" s="105">
        <v>19</v>
      </c>
      <c r="BP33" s="105">
        <v>100</v>
      </c>
      <c r="BQ33" s="105">
        <v>100</v>
      </c>
      <c r="BR33" s="105">
        <v>100</v>
      </c>
      <c r="BS33" s="105">
        <v>100</v>
      </c>
      <c r="BT33" s="105">
        <v>100</v>
      </c>
      <c r="BU33" s="105">
        <v>19</v>
      </c>
      <c r="BV33" s="105">
        <v>100</v>
      </c>
      <c r="BW33" s="105">
        <v>100</v>
      </c>
      <c r="BX33" s="105">
        <v>100</v>
      </c>
      <c r="BY33" s="105">
        <v>100</v>
      </c>
      <c r="BZ33" s="105">
        <v>100</v>
      </c>
      <c r="CA33" s="12"/>
      <c r="CB33" s="12"/>
      <c r="CC33" s="2"/>
      <c r="CD33" s="29" t="s">
        <v>82</v>
      </c>
      <c r="CE33" s="30">
        <v>28</v>
      </c>
      <c r="CH33" s="1">
        <v>44</v>
      </c>
      <c r="CI33" s="12">
        <v>5</v>
      </c>
    </row>
    <row r="34" spans="1:87" x14ac:dyDescent="0.2">
      <c r="A34" s="96">
        <v>1128</v>
      </c>
      <c r="B34" s="96">
        <v>100</v>
      </c>
      <c r="C34" s="96">
        <v>100</v>
      </c>
      <c r="D34" s="96">
        <v>100</v>
      </c>
      <c r="E34" s="96">
        <v>100</v>
      </c>
      <c r="F34" s="96">
        <v>100</v>
      </c>
      <c r="G34" s="96">
        <v>100</v>
      </c>
      <c r="H34" s="96">
        <v>100</v>
      </c>
      <c r="I34" s="96" t="s">
        <v>29</v>
      </c>
      <c r="J34" s="93"/>
      <c r="K34" s="93">
        <v>1227</v>
      </c>
      <c r="L34" s="93">
        <v>100</v>
      </c>
      <c r="M34" s="93">
        <v>100</v>
      </c>
      <c r="N34" s="93">
        <v>100</v>
      </c>
      <c r="O34" s="93">
        <v>100</v>
      </c>
      <c r="P34" s="93">
        <v>100</v>
      </c>
      <c r="Q34" s="93">
        <v>100</v>
      </c>
      <c r="R34" s="93">
        <v>100</v>
      </c>
      <c r="S34" s="93" t="s">
        <v>29</v>
      </c>
      <c r="T34" s="93"/>
      <c r="U34" s="96">
        <v>28</v>
      </c>
      <c r="V34" s="101">
        <v>45</v>
      </c>
      <c r="W34" s="101">
        <v>55</v>
      </c>
      <c r="X34" s="101">
        <v>65</v>
      </c>
      <c r="Y34" s="101">
        <v>75</v>
      </c>
      <c r="Z34" s="101">
        <v>80</v>
      </c>
      <c r="AA34" s="101">
        <v>95</v>
      </c>
      <c r="AB34" s="101">
        <v>100</v>
      </c>
      <c r="AC34" s="96" t="s">
        <v>29</v>
      </c>
      <c r="AD34" s="96"/>
      <c r="AE34" s="105">
        <v>28</v>
      </c>
      <c r="AF34" s="105">
        <v>75</v>
      </c>
      <c r="AG34" s="105">
        <v>90</v>
      </c>
      <c r="AH34" s="105">
        <v>100</v>
      </c>
      <c r="AI34" s="105">
        <v>100</v>
      </c>
      <c r="AJ34" s="105">
        <v>100</v>
      </c>
      <c r="AK34" s="105">
        <v>100</v>
      </c>
      <c r="AL34" s="105">
        <v>100</v>
      </c>
      <c r="AM34" s="93" t="s">
        <v>29</v>
      </c>
      <c r="AN34" s="93"/>
      <c r="AO34" s="23">
        <v>8</v>
      </c>
      <c r="AP34" s="125">
        <v>0</v>
      </c>
      <c r="AQ34" s="125">
        <v>0</v>
      </c>
      <c r="AR34" s="125">
        <v>0</v>
      </c>
      <c r="AS34" s="125">
        <v>0</v>
      </c>
      <c r="AT34" s="125">
        <v>0</v>
      </c>
      <c r="AU34" s="125">
        <v>0</v>
      </c>
      <c r="AV34" s="125">
        <v>0</v>
      </c>
      <c r="AW34" s="125" t="s">
        <v>48</v>
      </c>
      <c r="AX34" s="23"/>
      <c r="AY34" s="93">
        <v>8</v>
      </c>
      <c r="AZ34" s="104">
        <v>0</v>
      </c>
      <c r="BA34" s="104">
        <v>0</v>
      </c>
      <c r="BB34" s="103">
        <v>0</v>
      </c>
      <c r="BC34" s="104">
        <v>0</v>
      </c>
      <c r="BD34" s="104">
        <v>20</v>
      </c>
      <c r="BE34" s="104">
        <v>40</v>
      </c>
      <c r="BF34" s="105">
        <v>60</v>
      </c>
      <c r="BG34" s="93" t="s">
        <v>29</v>
      </c>
      <c r="BH34" s="106"/>
      <c r="BI34" s="101">
        <v>24</v>
      </c>
      <c r="BJ34" s="101">
        <v>100</v>
      </c>
      <c r="BK34" s="101">
        <v>100</v>
      </c>
      <c r="BL34" s="101">
        <v>100</v>
      </c>
      <c r="BM34" s="101">
        <v>100</v>
      </c>
      <c r="BN34" s="101">
        <v>100</v>
      </c>
      <c r="BO34" s="105">
        <v>20</v>
      </c>
      <c r="BP34" s="105">
        <v>100</v>
      </c>
      <c r="BQ34" s="105">
        <v>100</v>
      </c>
      <c r="BR34" s="105">
        <v>100</v>
      </c>
      <c r="BS34" s="105">
        <v>100</v>
      </c>
      <c r="BT34" s="105">
        <v>100</v>
      </c>
      <c r="BU34" s="105">
        <v>20</v>
      </c>
      <c r="BV34" s="105">
        <v>100</v>
      </c>
      <c r="BW34" s="105">
        <v>100</v>
      </c>
      <c r="BX34" s="105">
        <v>100</v>
      </c>
      <c r="BY34" s="105">
        <v>100</v>
      </c>
      <c r="BZ34" s="105">
        <v>100</v>
      </c>
      <c r="CA34" s="12"/>
      <c r="CB34" s="12"/>
      <c r="CC34" s="2"/>
      <c r="CD34" s="29" t="s">
        <v>84</v>
      </c>
      <c r="CE34" s="30">
        <v>29</v>
      </c>
      <c r="CH34" s="1">
        <v>45</v>
      </c>
      <c r="CI34" s="12">
        <v>5</v>
      </c>
    </row>
    <row r="35" spans="1:87" x14ac:dyDescent="0.2">
      <c r="A35" s="96">
        <v>1129</v>
      </c>
      <c r="B35" s="96">
        <v>100</v>
      </c>
      <c r="C35" s="96">
        <v>100</v>
      </c>
      <c r="D35" s="96">
        <v>100</v>
      </c>
      <c r="E35" s="96">
        <v>100</v>
      </c>
      <c r="F35" s="96">
        <v>100</v>
      </c>
      <c r="G35" s="96">
        <v>100</v>
      </c>
      <c r="H35" s="96">
        <v>100</v>
      </c>
      <c r="I35" s="96" t="s">
        <v>29</v>
      </c>
      <c r="J35" s="93"/>
      <c r="K35" s="93">
        <v>1228</v>
      </c>
      <c r="L35" s="93">
        <v>100</v>
      </c>
      <c r="M35" s="93">
        <v>100</v>
      </c>
      <c r="N35" s="93">
        <v>100</v>
      </c>
      <c r="O35" s="93">
        <v>100</v>
      </c>
      <c r="P35" s="93">
        <v>100</v>
      </c>
      <c r="Q35" s="93">
        <v>100</v>
      </c>
      <c r="R35" s="93">
        <v>100</v>
      </c>
      <c r="S35" s="93" t="s">
        <v>29</v>
      </c>
      <c r="T35" s="93"/>
      <c r="U35" s="96">
        <v>29</v>
      </c>
      <c r="V35" s="101">
        <v>45</v>
      </c>
      <c r="W35" s="101">
        <v>55</v>
      </c>
      <c r="X35" s="101">
        <v>65</v>
      </c>
      <c r="Y35" s="101">
        <v>75</v>
      </c>
      <c r="Z35" s="101">
        <v>80</v>
      </c>
      <c r="AA35" s="101">
        <v>95</v>
      </c>
      <c r="AB35" s="101">
        <v>100</v>
      </c>
      <c r="AC35" s="96" t="s">
        <v>29</v>
      </c>
      <c r="AD35" s="96"/>
      <c r="AE35" s="105">
        <v>29</v>
      </c>
      <c r="AF35" s="105">
        <v>80</v>
      </c>
      <c r="AG35" s="105">
        <v>95</v>
      </c>
      <c r="AH35" s="105">
        <v>100</v>
      </c>
      <c r="AI35" s="105">
        <v>100</v>
      </c>
      <c r="AJ35" s="105">
        <v>100</v>
      </c>
      <c r="AK35" s="105">
        <v>100</v>
      </c>
      <c r="AL35" s="105">
        <v>100</v>
      </c>
      <c r="AM35" s="93" t="s">
        <v>29</v>
      </c>
      <c r="AN35" s="93"/>
      <c r="AO35" s="23">
        <v>9</v>
      </c>
      <c r="AP35" s="125">
        <v>0</v>
      </c>
      <c r="AQ35" s="125">
        <v>0</v>
      </c>
      <c r="AR35" s="125">
        <v>0</v>
      </c>
      <c r="AS35" s="125">
        <v>0</v>
      </c>
      <c r="AT35" s="125">
        <v>0</v>
      </c>
      <c r="AU35" s="125">
        <v>0</v>
      </c>
      <c r="AV35" s="125">
        <v>0</v>
      </c>
      <c r="AW35" s="125" t="s">
        <v>48</v>
      </c>
      <c r="AX35" s="23"/>
      <c r="AY35" s="93">
        <v>9</v>
      </c>
      <c r="AZ35" s="104">
        <v>0</v>
      </c>
      <c r="BA35" s="104">
        <v>0</v>
      </c>
      <c r="BB35" s="103">
        <v>0</v>
      </c>
      <c r="BC35" s="104">
        <v>0</v>
      </c>
      <c r="BD35" s="104">
        <v>25</v>
      </c>
      <c r="BE35" s="104">
        <v>45</v>
      </c>
      <c r="BF35" s="93">
        <v>65</v>
      </c>
      <c r="BG35" s="93" t="s">
        <v>29</v>
      </c>
      <c r="BH35" s="106"/>
      <c r="BI35" s="101">
        <v>25</v>
      </c>
      <c r="BJ35" s="101">
        <v>100</v>
      </c>
      <c r="BK35" s="101">
        <v>100</v>
      </c>
      <c r="BL35" s="101">
        <v>100</v>
      </c>
      <c r="BM35" s="101">
        <v>100</v>
      </c>
      <c r="BN35" s="101">
        <v>100</v>
      </c>
      <c r="BO35" s="105">
        <v>21</v>
      </c>
      <c r="BP35" s="105">
        <v>100</v>
      </c>
      <c r="BQ35" s="105">
        <v>100</v>
      </c>
      <c r="BR35" s="105">
        <v>100</v>
      </c>
      <c r="BS35" s="105">
        <v>100</v>
      </c>
      <c r="BT35" s="105">
        <v>100</v>
      </c>
      <c r="BU35" s="105">
        <v>21</v>
      </c>
      <c r="BV35" s="105">
        <v>100</v>
      </c>
      <c r="BW35" s="105">
        <v>100</v>
      </c>
      <c r="BX35" s="105">
        <v>100</v>
      </c>
      <c r="BY35" s="105">
        <v>100</v>
      </c>
      <c r="BZ35" s="105">
        <v>100</v>
      </c>
      <c r="CA35" s="12"/>
      <c r="CB35" s="12"/>
      <c r="CC35" s="2"/>
      <c r="CD35" s="29" t="s">
        <v>85</v>
      </c>
      <c r="CE35" s="30">
        <v>30</v>
      </c>
      <c r="CH35" s="1">
        <v>46</v>
      </c>
      <c r="CI35" s="12">
        <v>6</v>
      </c>
    </row>
    <row r="36" spans="1:87" x14ac:dyDescent="0.2">
      <c r="A36" s="96">
        <v>1130</v>
      </c>
      <c r="B36" s="96">
        <v>100</v>
      </c>
      <c r="C36" s="96">
        <v>100</v>
      </c>
      <c r="D36" s="96">
        <v>100</v>
      </c>
      <c r="E36" s="96">
        <v>100</v>
      </c>
      <c r="F36" s="96">
        <v>100</v>
      </c>
      <c r="G36" s="96">
        <v>100</v>
      </c>
      <c r="H36" s="96">
        <v>100</v>
      </c>
      <c r="I36" s="96" t="s">
        <v>29</v>
      </c>
      <c r="J36" s="93"/>
      <c r="K36" s="93">
        <v>1229</v>
      </c>
      <c r="L36" s="93">
        <v>100</v>
      </c>
      <c r="M36" s="93">
        <v>100</v>
      </c>
      <c r="N36" s="93">
        <v>100</v>
      </c>
      <c r="O36" s="93">
        <v>100</v>
      </c>
      <c r="P36" s="93">
        <v>100</v>
      </c>
      <c r="Q36" s="93">
        <v>100</v>
      </c>
      <c r="R36" s="93">
        <v>100</v>
      </c>
      <c r="S36" s="93" t="s">
        <v>29</v>
      </c>
      <c r="T36" s="93"/>
      <c r="U36" s="96">
        <v>30</v>
      </c>
      <c r="V36" s="101">
        <v>50</v>
      </c>
      <c r="W36" s="101">
        <v>60</v>
      </c>
      <c r="X36" s="101">
        <v>70</v>
      </c>
      <c r="Y36" s="101">
        <v>80</v>
      </c>
      <c r="Z36" s="101">
        <v>85</v>
      </c>
      <c r="AA36" s="101">
        <v>100</v>
      </c>
      <c r="AB36" s="101">
        <v>100</v>
      </c>
      <c r="AC36" s="96" t="s">
        <v>29</v>
      </c>
      <c r="AD36" s="96"/>
      <c r="AE36" s="105">
        <v>30</v>
      </c>
      <c r="AF36" s="105">
        <v>80</v>
      </c>
      <c r="AG36" s="105">
        <v>100</v>
      </c>
      <c r="AH36" s="105">
        <v>100</v>
      </c>
      <c r="AI36" s="105">
        <v>100</v>
      </c>
      <c r="AJ36" s="105">
        <v>100</v>
      </c>
      <c r="AK36" s="105">
        <v>100</v>
      </c>
      <c r="AL36" s="105">
        <v>100</v>
      </c>
      <c r="AM36" s="93" t="s">
        <v>29</v>
      </c>
      <c r="AN36" s="93"/>
      <c r="AO36" s="23">
        <v>10</v>
      </c>
      <c r="AP36" s="125">
        <v>0</v>
      </c>
      <c r="AQ36" s="125">
        <v>0</v>
      </c>
      <c r="AR36" s="125">
        <v>0</v>
      </c>
      <c r="AS36" s="125">
        <v>0</v>
      </c>
      <c r="AT36" s="125">
        <v>0</v>
      </c>
      <c r="AU36" s="125">
        <v>0</v>
      </c>
      <c r="AV36" s="125">
        <v>0</v>
      </c>
      <c r="AW36" s="125" t="s">
        <v>48</v>
      </c>
      <c r="AX36" s="23"/>
      <c r="AY36" s="93">
        <v>10</v>
      </c>
      <c r="AZ36" s="104">
        <v>0</v>
      </c>
      <c r="BA36" s="104">
        <v>0</v>
      </c>
      <c r="BB36" s="103">
        <v>0</v>
      </c>
      <c r="BC36" s="104">
        <v>5</v>
      </c>
      <c r="BD36" s="104">
        <v>30</v>
      </c>
      <c r="BE36" s="105">
        <v>50</v>
      </c>
      <c r="BF36" s="105">
        <v>70</v>
      </c>
      <c r="BG36" s="93" t="s">
        <v>29</v>
      </c>
      <c r="BH36" s="106"/>
      <c r="BI36" s="101">
        <v>26</v>
      </c>
      <c r="BJ36" s="101">
        <v>100</v>
      </c>
      <c r="BK36" s="101">
        <v>100</v>
      </c>
      <c r="BL36" s="101">
        <v>100</v>
      </c>
      <c r="BM36" s="101">
        <v>100</v>
      </c>
      <c r="BN36" s="101">
        <v>100</v>
      </c>
      <c r="BO36" s="105">
        <v>22</v>
      </c>
      <c r="BP36" s="105">
        <v>100</v>
      </c>
      <c r="BQ36" s="105">
        <v>100</v>
      </c>
      <c r="BR36" s="105">
        <v>100</v>
      </c>
      <c r="BS36" s="105">
        <v>100</v>
      </c>
      <c r="BT36" s="105">
        <v>100</v>
      </c>
      <c r="BU36" s="105">
        <v>22</v>
      </c>
      <c r="BV36" s="105">
        <v>100</v>
      </c>
      <c r="BW36" s="105">
        <v>100</v>
      </c>
      <c r="BX36" s="105">
        <v>100</v>
      </c>
      <c r="BY36" s="105">
        <v>100</v>
      </c>
      <c r="BZ36" s="105">
        <v>100</v>
      </c>
      <c r="CA36" s="12"/>
      <c r="CB36" s="12"/>
      <c r="CC36" s="2"/>
      <c r="CD36" s="29" t="s">
        <v>86</v>
      </c>
      <c r="CE36" s="30">
        <v>31</v>
      </c>
      <c r="CH36" s="1">
        <v>47</v>
      </c>
      <c r="CI36" s="12">
        <v>6</v>
      </c>
    </row>
    <row r="37" spans="1:87" x14ac:dyDescent="0.2">
      <c r="A37" s="96">
        <v>1131</v>
      </c>
      <c r="B37" s="96">
        <v>100</v>
      </c>
      <c r="C37" s="96">
        <v>100</v>
      </c>
      <c r="D37" s="96">
        <v>100</v>
      </c>
      <c r="E37" s="96">
        <v>100</v>
      </c>
      <c r="F37" s="96">
        <v>100</v>
      </c>
      <c r="G37" s="96">
        <v>100</v>
      </c>
      <c r="H37" s="96">
        <v>100</v>
      </c>
      <c r="I37" s="96" t="s">
        <v>29</v>
      </c>
      <c r="J37" s="93"/>
      <c r="K37" s="93">
        <v>1230</v>
      </c>
      <c r="L37" s="93">
        <v>100</v>
      </c>
      <c r="M37" s="93">
        <v>100</v>
      </c>
      <c r="N37" s="93">
        <v>100</v>
      </c>
      <c r="O37" s="93">
        <v>100</v>
      </c>
      <c r="P37" s="93">
        <v>100</v>
      </c>
      <c r="Q37" s="93">
        <v>100</v>
      </c>
      <c r="R37" s="93">
        <v>100</v>
      </c>
      <c r="S37" s="93" t="s">
        <v>29</v>
      </c>
      <c r="T37" s="93"/>
      <c r="U37" s="96">
        <v>31</v>
      </c>
      <c r="V37" s="101">
        <v>50</v>
      </c>
      <c r="W37" s="101">
        <v>60</v>
      </c>
      <c r="X37" s="101">
        <v>70</v>
      </c>
      <c r="Y37" s="101">
        <v>80</v>
      </c>
      <c r="Z37" s="101">
        <v>85</v>
      </c>
      <c r="AA37" s="101">
        <v>100</v>
      </c>
      <c r="AB37" s="101">
        <v>100</v>
      </c>
      <c r="AC37" s="96" t="s">
        <v>29</v>
      </c>
      <c r="AD37" s="96"/>
      <c r="AE37" s="105">
        <v>31</v>
      </c>
      <c r="AF37" s="105">
        <v>85</v>
      </c>
      <c r="AG37" s="105">
        <v>100</v>
      </c>
      <c r="AH37" s="105">
        <v>100</v>
      </c>
      <c r="AI37" s="105">
        <v>100</v>
      </c>
      <c r="AJ37" s="105">
        <v>100</v>
      </c>
      <c r="AK37" s="105">
        <v>100</v>
      </c>
      <c r="AL37" s="105">
        <v>100</v>
      </c>
      <c r="AM37" s="93" t="s">
        <v>29</v>
      </c>
      <c r="AN37" s="93"/>
      <c r="AO37" s="23">
        <v>11</v>
      </c>
      <c r="AP37" s="125">
        <v>0</v>
      </c>
      <c r="AQ37" s="125">
        <v>0</v>
      </c>
      <c r="AR37" s="125">
        <v>0</v>
      </c>
      <c r="AS37" s="125">
        <v>0</v>
      </c>
      <c r="AT37" s="125">
        <v>0</v>
      </c>
      <c r="AU37" s="125">
        <v>0</v>
      </c>
      <c r="AV37" s="125">
        <v>0</v>
      </c>
      <c r="AW37" s="125" t="s">
        <v>48</v>
      </c>
      <c r="AX37" s="23"/>
      <c r="AY37" s="93">
        <v>11</v>
      </c>
      <c r="AZ37" s="104">
        <v>0</v>
      </c>
      <c r="BA37" s="104">
        <v>0</v>
      </c>
      <c r="BB37" s="103">
        <v>0</v>
      </c>
      <c r="BC37" s="104">
        <v>10</v>
      </c>
      <c r="BD37" s="104">
        <v>35</v>
      </c>
      <c r="BE37" s="105">
        <v>55</v>
      </c>
      <c r="BF37" s="93">
        <v>75</v>
      </c>
      <c r="BG37" s="93" t="s">
        <v>29</v>
      </c>
      <c r="BH37" s="106"/>
      <c r="BI37" s="101">
        <v>27</v>
      </c>
      <c r="BJ37" s="101">
        <v>100</v>
      </c>
      <c r="BK37" s="101">
        <v>100</v>
      </c>
      <c r="BL37" s="101">
        <v>100</v>
      </c>
      <c r="BM37" s="101">
        <v>100</v>
      </c>
      <c r="BN37" s="101">
        <v>100</v>
      </c>
      <c r="BO37" s="105">
        <v>23</v>
      </c>
      <c r="BP37" s="105">
        <v>100</v>
      </c>
      <c r="BQ37" s="105">
        <v>100</v>
      </c>
      <c r="BR37" s="105">
        <v>100</v>
      </c>
      <c r="BS37" s="105">
        <v>100</v>
      </c>
      <c r="BT37" s="105">
        <v>100</v>
      </c>
      <c r="BU37" s="105">
        <v>23</v>
      </c>
      <c r="BV37" s="105">
        <v>100</v>
      </c>
      <c r="BW37" s="105">
        <v>100</v>
      </c>
      <c r="BX37" s="105">
        <v>100</v>
      </c>
      <c r="BY37" s="105">
        <v>100</v>
      </c>
      <c r="BZ37" s="105">
        <v>100</v>
      </c>
      <c r="CA37" s="12"/>
      <c r="CB37" s="12"/>
      <c r="CC37" s="2"/>
      <c r="CD37" s="29" t="s">
        <v>87</v>
      </c>
      <c r="CE37" s="30">
        <v>32</v>
      </c>
      <c r="CH37" s="1">
        <v>48</v>
      </c>
      <c r="CI37" s="12">
        <v>6</v>
      </c>
    </row>
    <row r="38" spans="1:87" x14ac:dyDescent="0.2">
      <c r="A38" s="96">
        <v>1132</v>
      </c>
      <c r="B38" s="96">
        <v>100</v>
      </c>
      <c r="C38" s="96">
        <v>100</v>
      </c>
      <c r="D38" s="96">
        <v>100</v>
      </c>
      <c r="E38" s="96">
        <v>100</v>
      </c>
      <c r="F38" s="96">
        <v>100</v>
      </c>
      <c r="G38" s="96">
        <v>100</v>
      </c>
      <c r="H38" s="96">
        <v>100</v>
      </c>
      <c r="I38" s="96" t="s">
        <v>29</v>
      </c>
      <c r="J38" s="93"/>
      <c r="K38" s="93">
        <v>1231</v>
      </c>
      <c r="L38" s="93">
        <v>100</v>
      </c>
      <c r="M38" s="93">
        <v>100</v>
      </c>
      <c r="N38" s="93">
        <v>100</v>
      </c>
      <c r="O38" s="93">
        <v>100</v>
      </c>
      <c r="P38" s="93">
        <v>100</v>
      </c>
      <c r="Q38" s="93">
        <v>100</v>
      </c>
      <c r="R38" s="93">
        <v>100</v>
      </c>
      <c r="S38" s="93" t="s">
        <v>29</v>
      </c>
      <c r="T38" s="93"/>
      <c r="U38" s="96">
        <v>32</v>
      </c>
      <c r="V38" s="101">
        <v>55</v>
      </c>
      <c r="W38" s="101">
        <v>65</v>
      </c>
      <c r="X38" s="101">
        <v>75</v>
      </c>
      <c r="Y38" s="101">
        <v>85</v>
      </c>
      <c r="Z38" s="101">
        <v>90</v>
      </c>
      <c r="AA38" s="101">
        <v>100</v>
      </c>
      <c r="AB38" s="101">
        <v>100</v>
      </c>
      <c r="AC38" s="96" t="s">
        <v>29</v>
      </c>
      <c r="AD38" s="96"/>
      <c r="AE38" s="105">
        <v>32</v>
      </c>
      <c r="AF38" s="105">
        <v>90</v>
      </c>
      <c r="AG38" s="105">
        <v>100</v>
      </c>
      <c r="AH38" s="105">
        <v>100</v>
      </c>
      <c r="AI38" s="105">
        <v>100</v>
      </c>
      <c r="AJ38" s="105">
        <v>100</v>
      </c>
      <c r="AK38" s="105">
        <v>100</v>
      </c>
      <c r="AL38" s="105">
        <v>100</v>
      </c>
      <c r="AM38" s="93" t="s">
        <v>29</v>
      </c>
      <c r="AN38" s="93"/>
      <c r="AO38" s="23">
        <v>12</v>
      </c>
      <c r="AP38" s="125">
        <v>0</v>
      </c>
      <c r="AQ38" s="125">
        <v>0</v>
      </c>
      <c r="AR38" s="125">
        <v>0</v>
      </c>
      <c r="AS38" s="125">
        <v>0</v>
      </c>
      <c r="AT38" s="125">
        <v>0</v>
      </c>
      <c r="AU38" s="125">
        <v>0</v>
      </c>
      <c r="AV38" s="125">
        <v>0</v>
      </c>
      <c r="AW38" s="125" t="s">
        <v>48</v>
      </c>
      <c r="AX38" s="23"/>
      <c r="AY38" s="93">
        <v>12</v>
      </c>
      <c r="AZ38" s="104">
        <v>0</v>
      </c>
      <c r="BA38" s="104">
        <v>0</v>
      </c>
      <c r="BB38" s="104">
        <v>0</v>
      </c>
      <c r="BC38" s="104">
        <v>15</v>
      </c>
      <c r="BD38" s="104">
        <v>40</v>
      </c>
      <c r="BE38" s="105">
        <v>60</v>
      </c>
      <c r="BF38" s="105">
        <v>80</v>
      </c>
      <c r="BG38" s="93" t="s">
        <v>29</v>
      </c>
      <c r="BH38" s="106"/>
      <c r="BI38" s="101">
        <v>28</v>
      </c>
      <c r="BJ38" s="101">
        <v>100</v>
      </c>
      <c r="BK38" s="101">
        <v>100</v>
      </c>
      <c r="BL38" s="101">
        <v>100</v>
      </c>
      <c r="BM38" s="101">
        <v>100</v>
      </c>
      <c r="BN38" s="101">
        <v>100</v>
      </c>
      <c r="BO38" s="105">
        <v>24</v>
      </c>
      <c r="BP38" s="105">
        <v>100</v>
      </c>
      <c r="BQ38" s="105">
        <v>100</v>
      </c>
      <c r="BR38" s="105">
        <v>100</v>
      </c>
      <c r="BS38" s="105">
        <v>100</v>
      </c>
      <c r="BT38" s="105">
        <v>100</v>
      </c>
      <c r="BU38" s="105">
        <v>24</v>
      </c>
      <c r="BV38" s="105">
        <v>100</v>
      </c>
      <c r="BW38" s="105">
        <v>100</v>
      </c>
      <c r="BX38" s="105">
        <v>100</v>
      </c>
      <c r="BY38" s="105">
        <v>100</v>
      </c>
      <c r="BZ38" s="105">
        <v>100</v>
      </c>
      <c r="CA38" s="12"/>
      <c r="CB38" s="12"/>
      <c r="CC38" s="2"/>
      <c r="CH38" s="1">
        <v>49</v>
      </c>
      <c r="CI38" s="12">
        <v>6</v>
      </c>
    </row>
    <row r="39" spans="1:87" x14ac:dyDescent="0.2">
      <c r="A39" s="96">
        <v>1133</v>
      </c>
      <c r="B39" s="96">
        <v>100</v>
      </c>
      <c r="C39" s="96">
        <v>100</v>
      </c>
      <c r="D39" s="96">
        <v>100</v>
      </c>
      <c r="E39" s="96">
        <v>100</v>
      </c>
      <c r="F39" s="96">
        <v>100</v>
      </c>
      <c r="G39" s="96">
        <v>100</v>
      </c>
      <c r="H39" s="96">
        <v>100</v>
      </c>
      <c r="I39" s="96" t="s">
        <v>29</v>
      </c>
      <c r="J39" s="93"/>
      <c r="K39" s="93">
        <v>1232</v>
      </c>
      <c r="L39" s="93">
        <v>100</v>
      </c>
      <c r="M39" s="93">
        <v>100</v>
      </c>
      <c r="N39" s="93">
        <v>100</v>
      </c>
      <c r="O39" s="93">
        <v>100</v>
      </c>
      <c r="P39" s="93">
        <v>100</v>
      </c>
      <c r="Q39" s="93">
        <v>100</v>
      </c>
      <c r="R39" s="93">
        <v>100</v>
      </c>
      <c r="S39" s="93" t="s">
        <v>29</v>
      </c>
      <c r="T39" s="93"/>
      <c r="U39" s="96">
        <v>33</v>
      </c>
      <c r="V39" s="101">
        <v>55</v>
      </c>
      <c r="W39" s="101">
        <v>65</v>
      </c>
      <c r="X39" s="101">
        <v>75</v>
      </c>
      <c r="Y39" s="101">
        <v>85</v>
      </c>
      <c r="Z39" s="101">
        <v>90</v>
      </c>
      <c r="AA39" s="101">
        <v>100</v>
      </c>
      <c r="AB39" s="101">
        <v>100</v>
      </c>
      <c r="AC39" s="96" t="s">
        <v>29</v>
      </c>
      <c r="AD39" s="96"/>
      <c r="AE39" s="105">
        <v>33</v>
      </c>
      <c r="AF39" s="105">
        <v>95</v>
      </c>
      <c r="AG39" s="105">
        <v>100</v>
      </c>
      <c r="AH39" s="105">
        <v>100</v>
      </c>
      <c r="AI39" s="105">
        <v>100</v>
      </c>
      <c r="AJ39" s="105">
        <v>100</v>
      </c>
      <c r="AK39" s="105">
        <v>100</v>
      </c>
      <c r="AL39" s="105">
        <v>100</v>
      </c>
      <c r="AM39" s="93" t="s">
        <v>29</v>
      </c>
      <c r="AN39" s="93"/>
      <c r="AO39" s="23">
        <v>13</v>
      </c>
      <c r="AP39" s="125">
        <v>0</v>
      </c>
      <c r="AQ39" s="125">
        <v>0</v>
      </c>
      <c r="AR39" s="125">
        <v>0</v>
      </c>
      <c r="AS39" s="125">
        <v>0</v>
      </c>
      <c r="AT39" s="125">
        <v>0</v>
      </c>
      <c r="AU39" s="125">
        <v>0</v>
      </c>
      <c r="AV39" s="125">
        <v>0</v>
      </c>
      <c r="AW39" s="125" t="s">
        <v>48</v>
      </c>
      <c r="AX39" s="23"/>
      <c r="AY39" s="93">
        <v>13</v>
      </c>
      <c r="AZ39" s="104">
        <v>0</v>
      </c>
      <c r="BA39" s="104">
        <v>0</v>
      </c>
      <c r="BB39" s="104">
        <v>5</v>
      </c>
      <c r="BC39" s="104">
        <v>20</v>
      </c>
      <c r="BD39" s="104">
        <v>45</v>
      </c>
      <c r="BE39" s="105">
        <v>65</v>
      </c>
      <c r="BF39" s="93">
        <v>85</v>
      </c>
      <c r="BG39" s="93" t="s">
        <v>29</v>
      </c>
      <c r="BH39" s="106"/>
      <c r="BI39" s="101">
        <v>29</v>
      </c>
      <c r="BJ39" s="101">
        <v>100</v>
      </c>
      <c r="BK39" s="101">
        <v>100</v>
      </c>
      <c r="BL39" s="101">
        <v>100</v>
      </c>
      <c r="BM39" s="101">
        <v>100</v>
      </c>
      <c r="BN39" s="101">
        <v>100</v>
      </c>
      <c r="BO39" s="105">
        <v>25</v>
      </c>
      <c r="BP39" s="105">
        <v>100</v>
      </c>
      <c r="BQ39" s="105">
        <v>100</v>
      </c>
      <c r="BR39" s="105">
        <v>100</v>
      </c>
      <c r="BS39" s="105">
        <v>100</v>
      </c>
      <c r="BT39" s="105">
        <v>100</v>
      </c>
      <c r="BU39" s="105">
        <v>25</v>
      </c>
      <c r="BV39" s="105">
        <v>100</v>
      </c>
      <c r="BW39" s="105">
        <v>100</v>
      </c>
      <c r="BX39" s="105">
        <v>100</v>
      </c>
      <c r="BY39" s="105">
        <v>100</v>
      </c>
      <c r="BZ39" s="105">
        <v>100</v>
      </c>
      <c r="CA39" s="12"/>
      <c r="CB39" s="12"/>
      <c r="CC39" s="2"/>
      <c r="CH39" s="1">
        <v>50</v>
      </c>
      <c r="CI39" s="12">
        <v>6</v>
      </c>
    </row>
    <row r="40" spans="1:87" x14ac:dyDescent="0.2">
      <c r="A40" s="96">
        <v>1134</v>
      </c>
      <c r="B40" s="96">
        <v>100</v>
      </c>
      <c r="C40" s="96">
        <v>100</v>
      </c>
      <c r="D40" s="96">
        <v>100</v>
      </c>
      <c r="E40" s="96">
        <v>100</v>
      </c>
      <c r="F40" s="96">
        <v>100</v>
      </c>
      <c r="G40" s="96">
        <v>100</v>
      </c>
      <c r="H40" s="96">
        <v>100</v>
      </c>
      <c r="I40" s="96" t="s">
        <v>29</v>
      </c>
      <c r="J40" s="93"/>
      <c r="K40" s="93">
        <v>1233</v>
      </c>
      <c r="L40" s="93">
        <v>100</v>
      </c>
      <c r="M40" s="93">
        <v>100</v>
      </c>
      <c r="N40" s="93">
        <v>100</v>
      </c>
      <c r="O40" s="93">
        <v>100</v>
      </c>
      <c r="P40" s="93">
        <v>100</v>
      </c>
      <c r="Q40" s="93">
        <v>100</v>
      </c>
      <c r="R40" s="93">
        <v>100</v>
      </c>
      <c r="S40" s="93" t="s">
        <v>29</v>
      </c>
      <c r="T40" s="93"/>
      <c r="U40" s="96">
        <v>34</v>
      </c>
      <c r="V40" s="101">
        <v>60</v>
      </c>
      <c r="W40" s="101">
        <v>70</v>
      </c>
      <c r="X40" s="101">
        <v>80</v>
      </c>
      <c r="Y40" s="101">
        <v>90</v>
      </c>
      <c r="Z40" s="101">
        <v>95</v>
      </c>
      <c r="AA40" s="101">
        <v>100</v>
      </c>
      <c r="AB40" s="101">
        <v>100</v>
      </c>
      <c r="AC40" s="96" t="s">
        <v>29</v>
      </c>
      <c r="AD40" s="96"/>
      <c r="AE40" s="105">
        <v>34</v>
      </c>
      <c r="AF40" s="105">
        <v>95</v>
      </c>
      <c r="AG40" s="105">
        <v>100</v>
      </c>
      <c r="AH40" s="105">
        <v>100</v>
      </c>
      <c r="AI40" s="105">
        <v>100</v>
      </c>
      <c r="AJ40" s="105">
        <v>100</v>
      </c>
      <c r="AK40" s="105">
        <v>100</v>
      </c>
      <c r="AL40" s="105">
        <v>100</v>
      </c>
      <c r="AM40" s="93" t="s">
        <v>29</v>
      </c>
      <c r="AN40" s="93"/>
      <c r="AO40" s="23">
        <v>14</v>
      </c>
      <c r="AP40" s="125">
        <v>0</v>
      </c>
      <c r="AQ40" s="125">
        <v>0</v>
      </c>
      <c r="AR40" s="125">
        <v>0</v>
      </c>
      <c r="AS40" s="125">
        <v>0</v>
      </c>
      <c r="AT40" s="125">
        <v>0</v>
      </c>
      <c r="AU40" s="125">
        <v>0</v>
      </c>
      <c r="AV40" s="125">
        <v>0</v>
      </c>
      <c r="AW40" s="125" t="s">
        <v>48</v>
      </c>
      <c r="AX40" s="23"/>
      <c r="AY40" s="93">
        <v>14</v>
      </c>
      <c r="AZ40" s="104">
        <v>0</v>
      </c>
      <c r="BA40" s="104">
        <v>0</v>
      </c>
      <c r="BB40" s="104">
        <v>10</v>
      </c>
      <c r="BC40" s="104">
        <v>25</v>
      </c>
      <c r="BD40" s="105">
        <v>50</v>
      </c>
      <c r="BE40" s="105">
        <v>70</v>
      </c>
      <c r="BF40" s="105">
        <v>90</v>
      </c>
      <c r="BG40" s="93" t="s">
        <v>29</v>
      </c>
      <c r="BH40" s="106"/>
      <c r="BI40" s="101">
        <v>30</v>
      </c>
      <c r="BJ40" s="101">
        <v>100</v>
      </c>
      <c r="BK40" s="101">
        <v>100</v>
      </c>
      <c r="BL40" s="101">
        <v>100</v>
      </c>
      <c r="BM40" s="101">
        <v>100</v>
      </c>
      <c r="BN40" s="101">
        <v>100</v>
      </c>
      <c r="BO40" s="105">
        <v>26</v>
      </c>
      <c r="BP40" s="105">
        <v>100</v>
      </c>
      <c r="BQ40" s="105">
        <v>100</v>
      </c>
      <c r="BR40" s="105">
        <v>100</v>
      </c>
      <c r="BS40" s="105">
        <v>100</v>
      </c>
      <c r="BT40" s="105">
        <v>100</v>
      </c>
      <c r="BU40" s="105">
        <v>26</v>
      </c>
      <c r="BV40" s="105">
        <v>100</v>
      </c>
      <c r="BW40" s="105">
        <v>100</v>
      </c>
      <c r="BX40" s="105">
        <v>100</v>
      </c>
      <c r="BY40" s="105">
        <v>100</v>
      </c>
      <c r="BZ40" s="105">
        <v>100</v>
      </c>
      <c r="CA40" s="12"/>
      <c r="CB40" s="12"/>
      <c r="CC40" s="2"/>
      <c r="CH40" s="1">
        <v>51</v>
      </c>
      <c r="CI40" s="12">
        <v>7</v>
      </c>
    </row>
    <row r="41" spans="1:87" x14ac:dyDescent="0.2">
      <c r="A41" s="96">
        <v>1135</v>
      </c>
      <c r="B41" s="96">
        <v>100</v>
      </c>
      <c r="C41" s="96">
        <v>100</v>
      </c>
      <c r="D41" s="96">
        <v>100</v>
      </c>
      <c r="E41" s="96">
        <v>100</v>
      </c>
      <c r="F41" s="96">
        <v>100</v>
      </c>
      <c r="G41" s="96">
        <v>100</v>
      </c>
      <c r="H41" s="96">
        <v>100</v>
      </c>
      <c r="I41" s="96" t="s">
        <v>29</v>
      </c>
      <c r="J41" s="93"/>
      <c r="K41" s="93">
        <v>1234</v>
      </c>
      <c r="L41" s="93">
        <v>100</v>
      </c>
      <c r="M41" s="93">
        <v>100</v>
      </c>
      <c r="N41" s="93">
        <v>100</v>
      </c>
      <c r="O41" s="93">
        <v>100</v>
      </c>
      <c r="P41" s="93">
        <v>100</v>
      </c>
      <c r="Q41" s="93">
        <v>100</v>
      </c>
      <c r="R41" s="93">
        <v>100</v>
      </c>
      <c r="S41" s="93" t="s">
        <v>29</v>
      </c>
      <c r="T41" s="93"/>
      <c r="U41" s="96">
        <v>35</v>
      </c>
      <c r="V41" s="101">
        <v>60</v>
      </c>
      <c r="W41" s="101">
        <v>70</v>
      </c>
      <c r="X41" s="101">
        <v>80</v>
      </c>
      <c r="Y41" s="101">
        <v>90</v>
      </c>
      <c r="Z41" s="101">
        <v>95</v>
      </c>
      <c r="AA41" s="101">
        <v>100</v>
      </c>
      <c r="AB41" s="101">
        <v>100</v>
      </c>
      <c r="AC41" s="96" t="s">
        <v>29</v>
      </c>
      <c r="AD41" s="96"/>
      <c r="AE41" s="105">
        <v>35</v>
      </c>
      <c r="AF41" s="105">
        <v>100</v>
      </c>
      <c r="AG41" s="105">
        <v>100</v>
      </c>
      <c r="AH41" s="105">
        <v>100</v>
      </c>
      <c r="AI41" s="105">
        <v>100</v>
      </c>
      <c r="AJ41" s="105">
        <v>100</v>
      </c>
      <c r="AK41" s="105">
        <v>100</v>
      </c>
      <c r="AL41" s="105">
        <v>100</v>
      </c>
      <c r="AM41" s="93" t="s">
        <v>29</v>
      </c>
      <c r="AN41" s="93"/>
      <c r="AO41" s="23">
        <v>15</v>
      </c>
      <c r="AP41" s="125">
        <v>0</v>
      </c>
      <c r="AQ41" s="125">
        <v>0</v>
      </c>
      <c r="AR41" s="125">
        <v>0</v>
      </c>
      <c r="AS41" s="125">
        <v>0</v>
      </c>
      <c r="AT41" s="125">
        <v>0</v>
      </c>
      <c r="AU41" s="125">
        <v>0</v>
      </c>
      <c r="AV41" s="125">
        <v>5</v>
      </c>
      <c r="AW41" s="125" t="s">
        <v>48</v>
      </c>
      <c r="AX41" s="23"/>
      <c r="AY41" s="93">
        <v>15</v>
      </c>
      <c r="AZ41" s="104">
        <v>0</v>
      </c>
      <c r="BA41" s="104">
        <v>0</v>
      </c>
      <c r="BB41" s="104">
        <v>15</v>
      </c>
      <c r="BC41" s="104">
        <v>30</v>
      </c>
      <c r="BD41" s="105">
        <v>55</v>
      </c>
      <c r="BE41" s="105">
        <v>75</v>
      </c>
      <c r="BF41" s="93">
        <v>95</v>
      </c>
      <c r="BG41" s="93" t="s">
        <v>29</v>
      </c>
      <c r="BH41" s="106"/>
      <c r="BI41" s="101">
        <v>31</v>
      </c>
      <c r="BJ41" s="101">
        <v>100</v>
      </c>
      <c r="BK41" s="101">
        <v>100</v>
      </c>
      <c r="BL41" s="101">
        <v>100</v>
      </c>
      <c r="BM41" s="101">
        <v>100</v>
      </c>
      <c r="BN41" s="101">
        <v>100</v>
      </c>
      <c r="BO41" s="105">
        <v>27</v>
      </c>
      <c r="BP41" s="105">
        <v>100</v>
      </c>
      <c r="BQ41" s="105">
        <v>100</v>
      </c>
      <c r="BR41" s="105">
        <v>100</v>
      </c>
      <c r="BS41" s="105">
        <v>100</v>
      </c>
      <c r="BT41" s="105">
        <v>100</v>
      </c>
      <c r="BU41" s="105">
        <v>27</v>
      </c>
      <c r="BV41" s="105">
        <v>100</v>
      </c>
      <c r="BW41" s="105">
        <v>100</v>
      </c>
      <c r="BX41" s="105">
        <v>100</v>
      </c>
      <c r="BY41" s="105">
        <v>100</v>
      </c>
      <c r="BZ41" s="105">
        <v>100</v>
      </c>
      <c r="CA41" s="12"/>
      <c r="CB41" s="12"/>
      <c r="CC41" s="2"/>
      <c r="CH41" s="1">
        <v>52</v>
      </c>
      <c r="CI41" s="12">
        <v>7</v>
      </c>
    </row>
    <row r="42" spans="1:87" x14ac:dyDescent="0.2">
      <c r="A42" s="96">
        <v>1136</v>
      </c>
      <c r="B42" s="96">
        <v>100</v>
      </c>
      <c r="C42" s="96">
        <v>100</v>
      </c>
      <c r="D42" s="96">
        <v>100</v>
      </c>
      <c r="E42" s="96">
        <v>100</v>
      </c>
      <c r="F42" s="96">
        <v>100</v>
      </c>
      <c r="G42" s="96">
        <v>100</v>
      </c>
      <c r="H42" s="96">
        <v>100</v>
      </c>
      <c r="I42" s="96" t="s">
        <v>29</v>
      </c>
      <c r="J42" s="93"/>
      <c r="K42" s="93">
        <v>1235</v>
      </c>
      <c r="L42" s="93">
        <v>100</v>
      </c>
      <c r="M42" s="93">
        <v>100</v>
      </c>
      <c r="N42" s="93">
        <v>100</v>
      </c>
      <c r="O42" s="93">
        <v>100</v>
      </c>
      <c r="P42" s="93">
        <v>100</v>
      </c>
      <c r="Q42" s="93">
        <v>100</v>
      </c>
      <c r="R42" s="93">
        <v>100</v>
      </c>
      <c r="S42" s="93" t="s">
        <v>29</v>
      </c>
      <c r="T42" s="93"/>
      <c r="U42" s="96">
        <v>36</v>
      </c>
      <c r="V42" s="101">
        <v>65</v>
      </c>
      <c r="W42" s="101">
        <v>75</v>
      </c>
      <c r="X42" s="101">
        <v>85</v>
      </c>
      <c r="Y42" s="101">
        <v>95</v>
      </c>
      <c r="Z42" s="101">
        <v>100</v>
      </c>
      <c r="AA42" s="101">
        <v>100</v>
      </c>
      <c r="AB42" s="101">
        <v>100</v>
      </c>
      <c r="AC42" s="96" t="s">
        <v>29</v>
      </c>
      <c r="AD42" s="96"/>
      <c r="AE42" s="105">
        <v>36</v>
      </c>
      <c r="AF42" s="105">
        <v>100</v>
      </c>
      <c r="AG42" s="105">
        <v>100</v>
      </c>
      <c r="AH42" s="105">
        <v>100</v>
      </c>
      <c r="AI42" s="105">
        <v>100</v>
      </c>
      <c r="AJ42" s="105">
        <v>100</v>
      </c>
      <c r="AK42" s="105">
        <v>100</v>
      </c>
      <c r="AL42" s="105">
        <v>100</v>
      </c>
      <c r="AM42" s="93" t="s">
        <v>29</v>
      </c>
      <c r="AN42" s="93"/>
      <c r="AO42" s="23">
        <v>16</v>
      </c>
      <c r="AP42" s="125">
        <v>0</v>
      </c>
      <c r="AQ42" s="125">
        <v>0</v>
      </c>
      <c r="AR42" s="125">
        <v>0</v>
      </c>
      <c r="AS42" s="125">
        <v>0</v>
      </c>
      <c r="AT42" s="125">
        <v>0</v>
      </c>
      <c r="AU42" s="125">
        <v>5</v>
      </c>
      <c r="AV42" s="125">
        <v>10</v>
      </c>
      <c r="AW42" s="125" t="s">
        <v>48</v>
      </c>
      <c r="AX42" s="23"/>
      <c r="AY42" s="93">
        <v>16</v>
      </c>
      <c r="AZ42" s="104">
        <v>0</v>
      </c>
      <c r="BA42" s="104">
        <v>0</v>
      </c>
      <c r="BB42" s="104">
        <v>20</v>
      </c>
      <c r="BC42" s="104">
        <v>35</v>
      </c>
      <c r="BD42" s="105">
        <v>60</v>
      </c>
      <c r="BE42" s="105">
        <v>80</v>
      </c>
      <c r="BF42" s="105">
        <v>100</v>
      </c>
      <c r="BG42" s="93" t="s">
        <v>29</v>
      </c>
      <c r="BH42" s="106"/>
      <c r="BI42" s="101">
        <v>32</v>
      </c>
      <c r="BJ42" s="101">
        <v>100</v>
      </c>
      <c r="BK42" s="101">
        <v>100</v>
      </c>
      <c r="BL42" s="101">
        <v>100</v>
      </c>
      <c r="BM42" s="101">
        <v>100</v>
      </c>
      <c r="BN42" s="101">
        <v>100</v>
      </c>
      <c r="BO42" s="105">
        <v>28</v>
      </c>
      <c r="BP42" s="105">
        <v>100</v>
      </c>
      <c r="BQ42" s="105">
        <v>100</v>
      </c>
      <c r="BR42" s="105">
        <v>100</v>
      </c>
      <c r="BS42" s="105">
        <v>100</v>
      </c>
      <c r="BT42" s="105">
        <v>100</v>
      </c>
      <c r="BU42" s="105">
        <v>28</v>
      </c>
      <c r="BV42" s="105">
        <v>100</v>
      </c>
      <c r="BW42" s="105">
        <v>100</v>
      </c>
      <c r="BX42" s="105">
        <v>100</v>
      </c>
      <c r="BY42" s="105">
        <v>100</v>
      </c>
      <c r="BZ42" s="105">
        <v>100</v>
      </c>
      <c r="CA42" s="12"/>
      <c r="CB42" s="12"/>
      <c r="CC42" s="2"/>
      <c r="CH42" s="1">
        <v>53</v>
      </c>
      <c r="CI42" s="12">
        <v>7</v>
      </c>
    </row>
    <row r="43" spans="1:87" x14ac:dyDescent="0.2">
      <c r="A43" s="96">
        <v>1137</v>
      </c>
      <c r="B43" s="96">
        <v>100</v>
      </c>
      <c r="C43" s="96">
        <v>100</v>
      </c>
      <c r="D43" s="96">
        <v>100</v>
      </c>
      <c r="E43" s="96">
        <v>100</v>
      </c>
      <c r="F43" s="96">
        <v>100</v>
      </c>
      <c r="G43" s="96">
        <v>100</v>
      </c>
      <c r="H43" s="96">
        <v>100</v>
      </c>
      <c r="I43" s="96" t="s">
        <v>29</v>
      </c>
      <c r="J43" s="93"/>
      <c r="K43" s="93">
        <v>1236</v>
      </c>
      <c r="L43" s="93">
        <v>100</v>
      </c>
      <c r="M43" s="93">
        <v>100</v>
      </c>
      <c r="N43" s="93">
        <v>100</v>
      </c>
      <c r="O43" s="93">
        <v>100</v>
      </c>
      <c r="P43" s="93">
        <v>100</v>
      </c>
      <c r="Q43" s="93">
        <v>100</v>
      </c>
      <c r="R43" s="93">
        <v>100</v>
      </c>
      <c r="S43" s="93" t="s">
        <v>29</v>
      </c>
      <c r="T43" s="93"/>
      <c r="U43" s="96">
        <v>37</v>
      </c>
      <c r="V43" s="101">
        <v>65</v>
      </c>
      <c r="W43" s="101">
        <v>75</v>
      </c>
      <c r="X43" s="101">
        <v>85</v>
      </c>
      <c r="Y43" s="101">
        <v>95</v>
      </c>
      <c r="Z43" s="101">
        <v>100</v>
      </c>
      <c r="AA43" s="101">
        <v>100</v>
      </c>
      <c r="AB43" s="101">
        <v>100</v>
      </c>
      <c r="AC43" s="96" t="s">
        <v>29</v>
      </c>
      <c r="AD43" s="96"/>
      <c r="AE43" s="105">
        <v>37</v>
      </c>
      <c r="AF43" s="105">
        <v>100</v>
      </c>
      <c r="AG43" s="105">
        <v>100</v>
      </c>
      <c r="AH43" s="105">
        <v>100</v>
      </c>
      <c r="AI43" s="105">
        <v>100</v>
      </c>
      <c r="AJ43" s="105">
        <v>100</v>
      </c>
      <c r="AK43" s="105">
        <v>100</v>
      </c>
      <c r="AL43" s="105">
        <v>100</v>
      </c>
      <c r="AM43" s="93" t="s">
        <v>29</v>
      </c>
      <c r="AN43" s="93"/>
      <c r="AO43" s="23">
        <v>17</v>
      </c>
      <c r="AP43" s="125">
        <v>0</v>
      </c>
      <c r="AQ43" s="125">
        <v>0</v>
      </c>
      <c r="AR43" s="125">
        <v>0</v>
      </c>
      <c r="AS43" s="125">
        <v>0</v>
      </c>
      <c r="AT43" s="125">
        <v>0</v>
      </c>
      <c r="AU43" s="125">
        <v>10</v>
      </c>
      <c r="AV43" s="125">
        <v>15</v>
      </c>
      <c r="AW43" s="125" t="s">
        <v>48</v>
      </c>
      <c r="AX43" s="23"/>
      <c r="AY43" s="93">
        <v>17</v>
      </c>
      <c r="AZ43" s="104">
        <v>0</v>
      </c>
      <c r="BA43" s="104">
        <v>0</v>
      </c>
      <c r="BB43" s="104">
        <v>25</v>
      </c>
      <c r="BC43" s="104">
        <v>40</v>
      </c>
      <c r="BD43" s="105">
        <v>65</v>
      </c>
      <c r="BE43" s="105">
        <v>85</v>
      </c>
      <c r="BF43" s="105">
        <v>100</v>
      </c>
      <c r="BG43" s="93" t="s">
        <v>29</v>
      </c>
      <c r="BH43" s="106"/>
      <c r="BI43" s="101">
        <v>33</v>
      </c>
      <c r="BJ43" s="101">
        <v>100</v>
      </c>
      <c r="BK43" s="101">
        <v>100</v>
      </c>
      <c r="BL43" s="101">
        <v>100</v>
      </c>
      <c r="BM43" s="101">
        <v>100</v>
      </c>
      <c r="BN43" s="101">
        <v>100</v>
      </c>
      <c r="BO43" s="105">
        <v>29</v>
      </c>
      <c r="BP43" s="105">
        <v>100</v>
      </c>
      <c r="BQ43" s="105">
        <v>100</v>
      </c>
      <c r="BR43" s="105">
        <v>100</v>
      </c>
      <c r="BS43" s="105">
        <v>100</v>
      </c>
      <c r="BT43" s="105">
        <v>100</v>
      </c>
      <c r="BU43" s="105">
        <v>29</v>
      </c>
      <c r="BV43" s="105">
        <v>100</v>
      </c>
      <c r="BW43" s="105">
        <v>100</v>
      </c>
      <c r="BX43" s="105">
        <v>100</v>
      </c>
      <c r="BY43" s="105">
        <v>100</v>
      </c>
      <c r="BZ43" s="105">
        <v>100</v>
      </c>
      <c r="CA43" s="12"/>
      <c r="CB43" s="12"/>
      <c r="CC43" s="2"/>
      <c r="CH43" s="1">
        <v>54</v>
      </c>
      <c r="CI43" s="12">
        <v>7</v>
      </c>
    </row>
    <row r="44" spans="1:87" x14ac:dyDescent="0.2">
      <c r="A44" s="96">
        <v>1138</v>
      </c>
      <c r="B44" s="96">
        <v>100</v>
      </c>
      <c r="C44" s="96">
        <v>100</v>
      </c>
      <c r="D44" s="96">
        <v>100</v>
      </c>
      <c r="E44" s="96">
        <v>100</v>
      </c>
      <c r="F44" s="96">
        <v>100</v>
      </c>
      <c r="G44" s="96">
        <v>100</v>
      </c>
      <c r="H44" s="96">
        <v>100</v>
      </c>
      <c r="I44" s="96" t="s">
        <v>29</v>
      </c>
      <c r="J44" s="93"/>
      <c r="K44" s="93">
        <v>1237</v>
      </c>
      <c r="L44" s="93">
        <v>100</v>
      </c>
      <c r="M44" s="93">
        <v>100</v>
      </c>
      <c r="N44" s="93">
        <v>100</v>
      </c>
      <c r="O44" s="93">
        <v>100</v>
      </c>
      <c r="P44" s="93">
        <v>100</v>
      </c>
      <c r="Q44" s="93">
        <v>100</v>
      </c>
      <c r="R44" s="93">
        <v>100</v>
      </c>
      <c r="S44" s="93" t="s">
        <v>29</v>
      </c>
      <c r="T44" s="93"/>
      <c r="U44" s="96">
        <v>38</v>
      </c>
      <c r="V44" s="101">
        <v>70</v>
      </c>
      <c r="W44" s="101">
        <v>80</v>
      </c>
      <c r="X44" s="101">
        <v>90</v>
      </c>
      <c r="Y44" s="101">
        <v>100</v>
      </c>
      <c r="Z44" s="101">
        <v>100</v>
      </c>
      <c r="AA44" s="101">
        <v>100</v>
      </c>
      <c r="AB44" s="101">
        <v>100</v>
      </c>
      <c r="AC44" s="96" t="s">
        <v>29</v>
      </c>
      <c r="AD44" s="96"/>
      <c r="AE44" s="105">
        <v>38</v>
      </c>
      <c r="AF44" s="105">
        <v>100</v>
      </c>
      <c r="AG44" s="105">
        <v>100</v>
      </c>
      <c r="AH44" s="105">
        <v>100</v>
      </c>
      <c r="AI44" s="105">
        <v>100</v>
      </c>
      <c r="AJ44" s="105">
        <v>100</v>
      </c>
      <c r="AK44" s="105">
        <v>100</v>
      </c>
      <c r="AL44" s="105">
        <v>100</v>
      </c>
      <c r="AM44" s="93" t="s">
        <v>29</v>
      </c>
      <c r="AN44" s="93"/>
      <c r="AO44" s="23">
        <v>18</v>
      </c>
      <c r="AP44" s="125">
        <v>0</v>
      </c>
      <c r="AQ44" s="125">
        <v>0</v>
      </c>
      <c r="AR44" s="125">
        <v>0</v>
      </c>
      <c r="AS44" s="125">
        <v>0</v>
      </c>
      <c r="AT44" s="125">
        <v>0</v>
      </c>
      <c r="AU44" s="125">
        <v>15</v>
      </c>
      <c r="AV44" s="125">
        <v>20</v>
      </c>
      <c r="AW44" s="125" t="s">
        <v>48</v>
      </c>
      <c r="AX44" s="23"/>
      <c r="AY44" s="93">
        <v>18</v>
      </c>
      <c r="AZ44" s="104">
        <v>0</v>
      </c>
      <c r="BA44" s="104">
        <v>5</v>
      </c>
      <c r="BB44" s="104">
        <v>30</v>
      </c>
      <c r="BC44" s="104">
        <v>45</v>
      </c>
      <c r="BD44" s="105">
        <v>70</v>
      </c>
      <c r="BE44" s="105">
        <v>90</v>
      </c>
      <c r="BF44" s="105">
        <v>100</v>
      </c>
      <c r="BG44" s="93" t="s">
        <v>29</v>
      </c>
      <c r="BH44" s="106"/>
      <c r="BI44" s="101">
        <v>34</v>
      </c>
      <c r="BJ44" s="101">
        <v>100</v>
      </c>
      <c r="BK44" s="101">
        <v>100</v>
      </c>
      <c r="BL44" s="101">
        <v>100</v>
      </c>
      <c r="BM44" s="101">
        <v>100</v>
      </c>
      <c r="BN44" s="101">
        <v>100</v>
      </c>
      <c r="BO44" s="105">
        <v>30</v>
      </c>
      <c r="BP44" s="105">
        <v>100</v>
      </c>
      <c r="BQ44" s="105">
        <v>100</v>
      </c>
      <c r="BR44" s="105">
        <v>100</v>
      </c>
      <c r="BS44" s="105">
        <v>100</v>
      </c>
      <c r="BT44" s="105">
        <v>100</v>
      </c>
      <c r="BU44" s="105">
        <v>30</v>
      </c>
      <c r="BV44" s="105">
        <v>100</v>
      </c>
      <c r="BW44" s="105">
        <v>100</v>
      </c>
      <c r="BX44" s="105">
        <v>100</v>
      </c>
      <c r="BY44" s="105">
        <v>100</v>
      </c>
      <c r="BZ44" s="105">
        <v>100</v>
      </c>
      <c r="CA44" s="12"/>
      <c r="CB44" s="12"/>
      <c r="CC44" s="2"/>
      <c r="CH44" s="1">
        <v>55</v>
      </c>
      <c r="CI44" s="12">
        <v>7</v>
      </c>
    </row>
    <row r="45" spans="1:87" x14ac:dyDescent="0.2">
      <c r="A45" s="96">
        <v>1139</v>
      </c>
      <c r="B45" s="96">
        <v>100</v>
      </c>
      <c r="C45" s="96">
        <v>100</v>
      </c>
      <c r="D45" s="96">
        <v>100</v>
      </c>
      <c r="E45" s="96">
        <v>100</v>
      </c>
      <c r="F45" s="96">
        <v>100</v>
      </c>
      <c r="G45" s="96">
        <v>100</v>
      </c>
      <c r="H45" s="96">
        <v>100</v>
      </c>
      <c r="I45" s="96" t="s">
        <v>29</v>
      </c>
      <c r="J45" s="93"/>
      <c r="K45" s="93">
        <v>1238</v>
      </c>
      <c r="L45" s="93">
        <v>100</v>
      </c>
      <c r="M45" s="93">
        <v>100</v>
      </c>
      <c r="N45" s="93">
        <v>100</v>
      </c>
      <c r="O45" s="93">
        <v>100</v>
      </c>
      <c r="P45" s="93">
        <v>100</v>
      </c>
      <c r="Q45" s="93">
        <v>100</v>
      </c>
      <c r="R45" s="93">
        <v>100</v>
      </c>
      <c r="S45" s="93" t="s">
        <v>29</v>
      </c>
      <c r="T45" s="93"/>
      <c r="U45" s="96">
        <v>39</v>
      </c>
      <c r="V45" s="101">
        <v>70</v>
      </c>
      <c r="W45" s="101">
        <v>80</v>
      </c>
      <c r="X45" s="101">
        <v>90</v>
      </c>
      <c r="Y45" s="101">
        <v>100</v>
      </c>
      <c r="Z45" s="101">
        <v>100</v>
      </c>
      <c r="AA45" s="101">
        <v>100</v>
      </c>
      <c r="AB45" s="101">
        <v>100</v>
      </c>
      <c r="AC45" s="96" t="s">
        <v>29</v>
      </c>
      <c r="AD45" s="96"/>
      <c r="AE45" s="105">
        <v>39</v>
      </c>
      <c r="AF45" s="105">
        <v>100</v>
      </c>
      <c r="AG45" s="105">
        <v>100</v>
      </c>
      <c r="AH45" s="105">
        <v>100</v>
      </c>
      <c r="AI45" s="105">
        <v>100</v>
      </c>
      <c r="AJ45" s="105">
        <v>100</v>
      </c>
      <c r="AK45" s="105">
        <v>100</v>
      </c>
      <c r="AL45" s="105">
        <v>100</v>
      </c>
      <c r="AM45" s="93" t="s">
        <v>29</v>
      </c>
      <c r="AN45" s="93"/>
      <c r="AO45" s="23">
        <v>19</v>
      </c>
      <c r="AP45" s="125">
        <v>0</v>
      </c>
      <c r="AQ45" s="125">
        <v>0</v>
      </c>
      <c r="AR45" s="125">
        <v>0</v>
      </c>
      <c r="AS45" s="125">
        <v>0</v>
      </c>
      <c r="AT45" s="125">
        <v>0</v>
      </c>
      <c r="AU45" s="125">
        <v>20</v>
      </c>
      <c r="AV45" s="125">
        <v>25</v>
      </c>
      <c r="AW45" s="125" t="s">
        <v>48</v>
      </c>
      <c r="AX45" s="23"/>
      <c r="AY45" s="93">
        <v>19</v>
      </c>
      <c r="AZ45" s="104">
        <v>0</v>
      </c>
      <c r="BA45" s="104">
        <v>10</v>
      </c>
      <c r="BB45" s="104">
        <v>35</v>
      </c>
      <c r="BC45" s="105">
        <v>50</v>
      </c>
      <c r="BD45" s="105">
        <v>75</v>
      </c>
      <c r="BE45" s="105">
        <v>95</v>
      </c>
      <c r="BF45" s="105">
        <v>100</v>
      </c>
      <c r="BG45" s="93" t="s">
        <v>29</v>
      </c>
      <c r="BH45" s="106"/>
      <c r="BI45" s="1"/>
      <c r="BJ45" s="1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1"/>
      <c r="CA45" s="12"/>
      <c r="CB45" s="12"/>
      <c r="CC45" s="2"/>
      <c r="CH45" s="1">
        <v>56</v>
      </c>
      <c r="CI45" s="12" t="s">
        <v>2</v>
      </c>
    </row>
    <row r="46" spans="1:87" ht="15.75" x14ac:dyDescent="0.25">
      <c r="A46" s="96">
        <v>1140</v>
      </c>
      <c r="B46" s="96">
        <v>100</v>
      </c>
      <c r="C46" s="96">
        <v>100</v>
      </c>
      <c r="D46" s="96">
        <v>100</v>
      </c>
      <c r="E46" s="96">
        <v>100</v>
      </c>
      <c r="F46" s="96">
        <v>100</v>
      </c>
      <c r="G46" s="96">
        <v>100</v>
      </c>
      <c r="H46" s="96">
        <v>100</v>
      </c>
      <c r="I46" s="96" t="s">
        <v>29</v>
      </c>
      <c r="J46" s="93"/>
      <c r="K46" s="93">
        <v>1239</v>
      </c>
      <c r="L46" s="93">
        <v>100</v>
      </c>
      <c r="M46" s="93">
        <v>100</v>
      </c>
      <c r="N46" s="93">
        <v>100</v>
      </c>
      <c r="O46" s="93">
        <v>100</v>
      </c>
      <c r="P46" s="93">
        <v>100</v>
      </c>
      <c r="Q46" s="93">
        <v>100</v>
      </c>
      <c r="R46" s="93">
        <v>100</v>
      </c>
      <c r="S46" s="93" t="s">
        <v>29</v>
      </c>
      <c r="T46" s="93"/>
      <c r="U46" s="96">
        <v>40</v>
      </c>
      <c r="V46" s="101">
        <v>75</v>
      </c>
      <c r="W46" s="101">
        <v>85</v>
      </c>
      <c r="X46" s="101">
        <v>95</v>
      </c>
      <c r="Y46" s="101">
        <v>100</v>
      </c>
      <c r="Z46" s="101">
        <v>100</v>
      </c>
      <c r="AA46" s="101">
        <v>100</v>
      </c>
      <c r="AB46" s="101">
        <v>100</v>
      </c>
      <c r="AC46" s="96" t="s">
        <v>29</v>
      </c>
      <c r="AD46" s="96"/>
      <c r="AE46" s="105">
        <v>40</v>
      </c>
      <c r="AF46" s="105">
        <v>100</v>
      </c>
      <c r="AG46" s="105">
        <v>100</v>
      </c>
      <c r="AH46" s="105">
        <v>100</v>
      </c>
      <c r="AI46" s="105">
        <v>100</v>
      </c>
      <c r="AJ46" s="105">
        <v>100</v>
      </c>
      <c r="AK46" s="105">
        <v>100</v>
      </c>
      <c r="AL46" s="105">
        <v>100</v>
      </c>
      <c r="AM46" s="93" t="s">
        <v>29</v>
      </c>
      <c r="AN46" s="93"/>
      <c r="AO46" s="26">
        <v>20</v>
      </c>
      <c r="AP46" s="125">
        <v>0</v>
      </c>
      <c r="AQ46" s="125">
        <v>0</v>
      </c>
      <c r="AR46" s="125">
        <v>0</v>
      </c>
      <c r="AS46" s="125">
        <v>0</v>
      </c>
      <c r="AT46" s="125">
        <v>0</v>
      </c>
      <c r="AU46" s="125">
        <v>25</v>
      </c>
      <c r="AV46" s="125">
        <v>30</v>
      </c>
      <c r="AW46" s="125" t="s">
        <v>48</v>
      </c>
      <c r="AX46" s="23"/>
      <c r="AY46" s="105">
        <v>20</v>
      </c>
      <c r="AZ46" s="104">
        <v>5</v>
      </c>
      <c r="BA46" s="104">
        <v>15</v>
      </c>
      <c r="BB46" s="104">
        <v>40</v>
      </c>
      <c r="BC46" s="105">
        <v>55</v>
      </c>
      <c r="BD46" s="105">
        <v>80</v>
      </c>
      <c r="BE46" s="105">
        <v>100</v>
      </c>
      <c r="BF46" s="105">
        <v>100</v>
      </c>
      <c r="BG46" s="93" t="s">
        <v>29</v>
      </c>
      <c r="BH46" s="106"/>
      <c r="BI46" s="14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4"/>
      <c r="BV46" s="12"/>
      <c r="BW46" s="12"/>
      <c r="BX46" s="12"/>
      <c r="BY46" s="12"/>
      <c r="BZ46" s="12"/>
      <c r="CA46" s="12"/>
      <c r="CB46" s="12"/>
      <c r="CC46" s="2"/>
      <c r="CH46" s="1">
        <v>57</v>
      </c>
      <c r="CI46" s="12" t="s">
        <v>2</v>
      </c>
    </row>
    <row r="47" spans="1:87" x14ac:dyDescent="0.2">
      <c r="A47" s="96">
        <v>1141</v>
      </c>
      <c r="B47" s="96">
        <v>100</v>
      </c>
      <c r="C47" s="96">
        <v>100</v>
      </c>
      <c r="D47" s="96">
        <v>100</v>
      </c>
      <c r="E47" s="96">
        <v>100</v>
      </c>
      <c r="F47" s="96">
        <v>100</v>
      </c>
      <c r="G47" s="96">
        <v>100</v>
      </c>
      <c r="H47" s="96">
        <v>100</v>
      </c>
      <c r="I47" s="96" t="s">
        <v>29</v>
      </c>
      <c r="J47" s="93"/>
      <c r="K47" s="93">
        <v>1240</v>
      </c>
      <c r="L47" s="93">
        <v>100</v>
      </c>
      <c r="M47" s="93">
        <v>100</v>
      </c>
      <c r="N47" s="93">
        <v>100</v>
      </c>
      <c r="O47" s="93">
        <v>100</v>
      </c>
      <c r="P47" s="93">
        <v>100</v>
      </c>
      <c r="Q47" s="93">
        <v>100</v>
      </c>
      <c r="R47" s="93">
        <v>100</v>
      </c>
      <c r="S47" s="93" t="s">
        <v>29</v>
      </c>
      <c r="T47" s="93"/>
      <c r="U47" s="96">
        <v>41</v>
      </c>
      <c r="V47" s="101">
        <v>75</v>
      </c>
      <c r="W47" s="101">
        <v>85</v>
      </c>
      <c r="X47" s="101">
        <v>95</v>
      </c>
      <c r="Y47" s="101">
        <v>100</v>
      </c>
      <c r="Z47" s="101">
        <v>100</v>
      </c>
      <c r="AA47" s="101">
        <v>100</v>
      </c>
      <c r="AB47" s="101">
        <v>100</v>
      </c>
      <c r="AC47" s="96" t="s">
        <v>29</v>
      </c>
      <c r="AD47" s="96"/>
      <c r="AE47" s="105">
        <v>41</v>
      </c>
      <c r="AF47" s="105">
        <v>100</v>
      </c>
      <c r="AG47" s="105">
        <v>100</v>
      </c>
      <c r="AH47" s="105">
        <v>100</v>
      </c>
      <c r="AI47" s="105">
        <v>100</v>
      </c>
      <c r="AJ47" s="105">
        <v>100</v>
      </c>
      <c r="AK47" s="105">
        <v>100</v>
      </c>
      <c r="AL47" s="105">
        <v>100</v>
      </c>
      <c r="AM47" s="93" t="s">
        <v>29</v>
      </c>
      <c r="AN47" s="93"/>
      <c r="AO47" s="26">
        <v>21</v>
      </c>
      <c r="AP47" s="125">
        <v>0</v>
      </c>
      <c r="AQ47" s="125">
        <v>0</v>
      </c>
      <c r="AR47" s="125">
        <v>0</v>
      </c>
      <c r="AS47" s="125">
        <v>0</v>
      </c>
      <c r="AT47" s="125">
        <v>0</v>
      </c>
      <c r="AU47" s="125">
        <v>30</v>
      </c>
      <c r="AV47" s="125">
        <v>35</v>
      </c>
      <c r="AW47" s="125" t="s">
        <v>48</v>
      </c>
      <c r="AX47" s="23"/>
      <c r="AY47" s="105">
        <v>21</v>
      </c>
      <c r="AZ47" s="104">
        <v>10</v>
      </c>
      <c r="BA47" s="104">
        <v>20</v>
      </c>
      <c r="BB47" s="104">
        <v>45</v>
      </c>
      <c r="BC47" s="105">
        <v>60</v>
      </c>
      <c r="BD47" s="105">
        <v>85</v>
      </c>
      <c r="BE47" s="105">
        <v>100</v>
      </c>
      <c r="BF47" s="105">
        <v>100</v>
      </c>
      <c r="BG47" s="93" t="s">
        <v>29</v>
      </c>
      <c r="BH47" s="106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2"/>
      <c r="CH47" s="1">
        <v>58</v>
      </c>
      <c r="CI47" s="12" t="s">
        <v>2</v>
      </c>
    </row>
    <row r="48" spans="1:87" x14ac:dyDescent="0.2">
      <c r="A48" s="96">
        <v>1142</v>
      </c>
      <c r="B48" s="96">
        <v>100</v>
      </c>
      <c r="C48" s="96">
        <v>100</v>
      </c>
      <c r="D48" s="96">
        <v>100</v>
      </c>
      <c r="E48" s="96">
        <v>100</v>
      </c>
      <c r="F48" s="96">
        <v>100</v>
      </c>
      <c r="G48" s="96">
        <v>100</v>
      </c>
      <c r="H48" s="96">
        <v>100</v>
      </c>
      <c r="I48" s="96" t="s">
        <v>29</v>
      </c>
      <c r="J48" s="93"/>
      <c r="K48" s="93">
        <v>1241</v>
      </c>
      <c r="L48" s="93">
        <v>100</v>
      </c>
      <c r="M48" s="93">
        <v>100</v>
      </c>
      <c r="N48" s="93">
        <v>100</v>
      </c>
      <c r="O48" s="93">
        <v>100</v>
      </c>
      <c r="P48" s="93">
        <v>100</v>
      </c>
      <c r="Q48" s="93">
        <v>100</v>
      </c>
      <c r="R48" s="93">
        <v>100</v>
      </c>
      <c r="S48" s="93" t="s">
        <v>29</v>
      </c>
      <c r="T48" s="93"/>
      <c r="U48" s="96">
        <v>42</v>
      </c>
      <c r="V48" s="101">
        <v>80</v>
      </c>
      <c r="W48" s="101">
        <v>90</v>
      </c>
      <c r="X48" s="101">
        <v>100</v>
      </c>
      <c r="Y48" s="101">
        <v>100</v>
      </c>
      <c r="Z48" s="101">
        <v>100</v>
      </c>
      <c r="AA48" s="101">
        <v>100</v>
      </c>
      <c r="AB48" s="101">
        <v>100</v>
      </c>
      <c r="AC48" s="96" t="s">
        <v>29</v>
      </c>
      <c r="AD48" s="96"/>
      <c r="AE48" s="105">
        <v>42</v>
      </c>
      <c r="AF48" s="105">
        <v>100</v>
      </c>
      <c r="AG48" s="105">
        <v>100</v>
      </c>
      <c r="AH48" s="105">
        <v>100</v>
      </c>
      <c r="AI48" s="105">
        <v>100</v>
      </c>
      <c r="AJ48" s="105">
        <v>100</v>
      </c>
      <c r="AK48" s="105">
        <v>100</v>
      </c>
      <c r="AL48" s="105">
        <v>100</v>
      </c>
      <c r="AM48" s="93" t="s">
        <v>29</v>
      </c>
      <c r="AN48" s="93"/>
      <c r="AO48" s="26">
        <v>22</v>
      </c>
      <c r="AP48" s="125">
        <v>0</v>
      </c>
      <c r="AQ48" s="125">
        <v>0</v>
      </c>
      <c r="AR48" s="125">
        <v>0</v>
      </c>
      <c r="AS48" s="125">
        <v>0</v>
      </c>
      <c r="AT48" s="125">
        <v>0</v>
      </c>
      <c r="AU48" s="125">
        <v>35</v>
      </c>
      <c r="AV48" s="125">
        <v>40</v>
      </c>
      <c r="AW48" s="23" t="s">
        <v>29</v>
      </c>
      <c r="AX48" s="23"/>
      <c r="AY48" s="105">
        <v>22</v>
      </c>
      <c r="AZ48" s="104">
        <v>15</v>
      </c>
      <c r="BA48" s="104">
        <v>25</v>
      </c>
      <c r="BB48" s="105">
        <v>50</v>
      </c>
      <c r="BC48" s="105">
        <v>65</v>
      </c>
      <c r="BD48" s="105">
        <v>90</v>
      </c>
      <c r="BE48" s="105">
        <v>100</v>
      </c>
      <c r="BF48" s="105">
        <v>100</v>
      </c>
      <c r="BG48" s="93" t="s">
        <v>29</v>
      </c>
      <c r="BH48" s="106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12"/>
      <c r="CB48" s="12"/>
      <c r="CC48" s="2"/>
      <c r="CH48" s="1">
        <v>59</v>
      </c>
      <c r="CI48" s="12" t="s">
        <v>2</v>
      </c>
    </row>
    <row r="49" spans="1:87" x14ac:dyDescent="0.2">
      <c r="A49" s="96">
        <v>1143</v>
      </c>
      <c r="B49" s="96">
        <v>100</v>
      </c>
      <c r="C49" s="96">
        <v>100</v>
      </c>
      <c r="D49" s="96">
        <v>100</v>
      </c>
      <c r="E49" s="96">
        <v>100</v>
      </c>
      <c r="F49" s="96">
        <v>100</v>
      </c>
      <c r="G49" s="96">
        <v>100</v>
      </c>
      <c r="H49" s="96">
        <v>100</v>
      </c>
      <c r="I49" s="96" t="s">
        <v>29</v>
      </c>
      <c r="J49" s="93"/>
      <c r="K49" s="93">
        <v>1242</v>
      </c>
      <c r="L49" s="93">
        <v>100</v>
      </c>
      <c r="M49" s="93">
        <v>100</v>
      </c>
      <c r="N49" s="93">
        <v>100</v>
      </c>
      <c r="O49" s="93">
        <v>100</v>
      </c>
      <c r="P49" s="93">
        <v>100</v>
      </c>
      <c r="Q49" s="93">
        <v>100</v>
      </c>
      <c r="R49" s="93">
        <v>100</v>
      </c>
      <c r="S49" s="93" t="s">
        <v>29</v>
      </c>
      <c r="T49" s="93"/>
      <c r="U49" s="96">
        <v>43</v>
      </c>
      <c r="V49" s="101">
        <v>80</v>
      </c>
      <c r="W49" s="101">
        <v>90</v>
      </c>
      <c r="X49" s="101">
        <v>100</v>
      </c>
      <c r="Y49" s="101">
        <v>100</v>
      </c>
      <c r="Z49" s="101">
        <v>100</v>
      </c>
      <c r="AA49" s="101">
        <v>100</v>
      </c>
      <c r="AB49" s="101">
        <v>100</v>
      </c>
      <c r="AC49" s="96" t="s">
        <v>29</v>
      </c>
      <c r="AD49" s="96"/>
      <c r="AE49" s="105">
        <v>43</v>
      </c>
      <c r="AF49" s="105">
        <v>100</v>
      </c>
      <c r="AG49" s="105">
        <v>100</v>
      </c>
      <c r="AH49" s="105">
        <v>100</v>
      </c>
      <c r="AI49" s="105">
        <v>100</v>
      </c>
      <c r="AJ49" s="105">
        <v>100</v>
      </c>
      <c r="AK49" s="105">
        <v>100</v>
      </c>
      <c r="AL49" s="105">
        <v>100</v>
      </c>
      <c r="AM49" s="93" t="s">
        <v>29</v>
      </c>
      <c r="AN49" s="93"/>
      <c r="AO49" s="26">
        <v>23</v>
      </c>
      <c r="AP49" s="125">
        <v>0</v>
      </c>
      <c r="AQ49" s="125">
        <v>0</v>
      </c>
      <c r="AR49" s="125">
        <v>0</v>
      </c>
      <c r="AS49" s="125">
        <v>0</v>
      </c>
      <c r="AT49" s="125">
        <v>5</v>
      </c>
      <c r="AU49" s="125">
        <v>40</v>
      </c>
      <c r="AV49" s="125">
        <v>45</v>
      </c>
      <c r="AW49" s="23" t="s">
        <v>29</v>
      </c>
      <c r="AX49" s="23"/>
      <c r="AY49" s="105">
        <v>23</v>
      </c>
      <c r="AZ49" s="104">
        <v>20</v>
      </c>
      <c r="BA49" s="104">
        <v>30</v>
      </c>
      <c r="BB49" s="105">
        <v>55</v>
      </c>
      <c r="BC49" s="105">
        <v>70</v>
      </c>
      <c r="BD49" s="105">
        <v>95</v>
      </c>
      <c r="BE49" s="105">
        <v>100</v>
      </c>
      <c r="BF49" s="105">
        <v>100</v>
      </c>
      <c r="BG49" s="93" t="s">
        <v>29</v>
      </c>
      <c r="BH49" s="106"/>
      <c r="BI49" s="3"/>
      <c r="BJ49" s="5"/>
      <c r="BK49" s="3"/>
      <c r="BL49" s="3"/>
      <c r="BM49" s="3"/>
      <c r="BN49" s="3"/>
      <c r="BO49" s="5"/>
      <c r="BP49" s="5"/>
      <c r="BQ49" s="5"/>
      <c r="BR49" s="5"/>
      <c r="BS49" s="5"/>
      <c r="BT49" s="5"/>
      <c r="BU49" s="3"/>
      <c r="BV49" s="5"/>
      <c r="BW49" s="3"/>
      <c r="BX49" s="3"/>
      <c r="BY49" s="3"/>
      <c r="BZ49" s="3"/>
      <c r="CA49" s="12"/>
      <c r="CB49" s="12"/>
      <c r="CC49" s="2"/>
      <c r="CH49" s="1">
        <v>60</v>
      </c>
      <c r="CI49" s="12" t="s">
        <v>2</v>
      </c>
    </row>
    <row r="50" spans="1:87" x14ac:dyDescent="0.2">
      <c r="A50" s="96">
        <v>1144</v>
      </c>
      <c r="B50" s="96">
        <v>100</v>
      </c>
      <c r="C50" s="96">
        <v>100</v>
      </c>
      <c r="D50" s="96">
        <v>100</v>
      </c>
      <c r="E50" s="96">
        <v>100</v>
      </c>
      <c r="F50" s="96">
        <v>100</v>
      </c>
      <c r="G50" s="96">
        <v>100</v>
      </c>
      <c r="H50" s="96">
        <v>100</v>
      </c>
      <c r="I50" s="96" t="s">
        <v>29</v>
      </c>
      <c r="J50" s="93"/>
      <c r="K50" s="93">
        <v>1243</v>
      </c>
      <c r="L50" s="93">
        <v>100</v>
      </c>
      <c r="M50" s="93">
        <v>100</v>
      </c>
      <c r="N50" s="93">
        <v>100</v>
      </c>
      <c r="O50" s="93">
        <v>100</v>
      </c>
      <c r="P50" s="93">
        <v>100</v>
      </c>
      <c r="Q50" s="93">
        <v>100</v>
      </c>
      <c r="R50" s="93">
        <v>100</v>
      </c>
      <c r="S50" s="93" t="s">
        <v>29</v>
      </c>
      <c r="T50" s="93"/>
      <c r="U50" s="96">
        <v>44</v>
      </c>
      <c r="V50" s="101">
        <v>85</v>
      </c>
      <c r="W50" s="101">
        <v>95</v>
      </c>
      <c r="X50" s="101">
        <v>100</v>
      </c>
      <c r="Y50" s="101">
        <v>100</v>
      </c>
      <c r="Z50" s="101">
        <v>100</v>
      </c>
      <c r="AA50" s="101">
        <v>100</v>
      </c>
      <c r="AB50" s="101">
        <v>100</v>
      </c>
      <c r="AC50" s="96" t="s">
        <v>29</v>
      </c>
      <c r="AD50" s="96"/>
      <c r="AE50" s="105">
        <v>44</v>
      </c>
      <c r="AF50" s="105">
        <v>100</v>
      </c>
      <c r="AG50" s="105">
        <v>100</v>
      </c>
      <c r="AH50" s="105">
        <v>100</v>
      </c>
      <c r="AI50" s="105">
        <v>100</v>
      </c>
      <c r="AJ50" s="105">
        <v>100</v>
      </c>
      <c r="AK50" s="105">
        <v>100</v>
      </c>
      <c r="AL50" s="105">
        <v>100</v>
      </c>
      <c r="AM50" s="93" t="s">
        <v>29</v>
      </c>
      <c r="AN50" s="93"/>
      <c r="AO50" s="26">
        <v>24</v>
      </c>
      <c r="AP50" s="125">
        <v>0</v>
      </c>
      <c r="AQ50" s="125">
        <v>0</v>
      </c>
      <c r="AR50" s="125">
        <v>0</v>
      </c>
      <c r="AS50" s="125">
        <v>0</v>
      </c>
      <c r="AT50" s="125">
        <v>10</v>
      </c>
      <c r="AU50" s="125">
        <v>45</v>
      </c>
      <c r="AV50" s="26">
        <v>50</v>
      </c>
      <c r="AW50" s="23" t="s">
        <v>29</v>
      </c>
      <c r="AX50" s="23"/>
      <c r="AY50" s="105">
        <v>24</v>
      </c>
      <c r="AZ50" s="104">
        <v>25</v>
      </c>
      <c r="BA50" s="104">
        <v>35</v>
      </c>
      <c r="BB50" s="105">
        <v>60</v>
      </c>
      <c r="BC50" s="105">
        <v>75</v>
      </c>
      <c r="BD50" s="105">
        <v>100</v>
      </c>
      <c r="BE50" s="105">
        <v>100</v>
      </c>
      <c r="BF50" s="105">
        <v>100</v>
      </c>
      <c r="BG50" s="93" t="s">
        <v>29</v>
      </c>
      <c r="BH50" s="106"/>
      <c r="BI50" s="18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18"/>
      <c r="BV50" s="1"/>
      <c r="BW50" s="1"/>
      <c r="BX50" s="1"/>
      <c r="BY50" s="1"/>
      <c r="BZ50" s="1"/>
      <c r="CA50" s="12"/>
      <c r="CB50" s="12"/>
      <c r="CC50" s="2"/>
      <c r="CH50" s="1">
        <v>61</v>
      </c>
      <c r="CI50" s="12" t="s">
        <v>2</v>
      </c>
    </row>
    <row r="51" spans="1:87" x14ac:dyDescent="0.2">
      <c r="A51" s="96">
        <v>1145</v>
      </c>
      <c r="B51" s="96">
        <v>100</v>
      </c>
      <c r="C51" s="96">
        <v>100</v>
      </c>
      <c r="D51" s="96">
        <v>100</v>
      </c>
      <c r="E51" s="96">
        <v>100</v>
      </c>
      <c r="F51" s="96">
        <v>100</v>
      </c>
      <c r="G51" s="96">
        <v>100</v>
      </c>
      <c r="H51" s="96">
        <v>100</v>
      </c>
      <c r="I51" s="96" t="s">
        <v>29</v>
      </c>
      <c r="J51" s="93"/>
      <c r="K51" s="93">
        <v>1244</v>
      </c>
      <c r="L51" s="93">
        <v>100</v>
      </c>
      <c r="M51" s="93">
        <v>100</v>
      </c>
      <c r="N51" s="93">
        <v>100</v>
      </c>
      <c r="O51" s="93">
        <v>100</v>
      </c>
      <c r="P51" s="93">
        <v>100</v>
      </c>
      <c r="Q51" s="93">
        <v>100</v>
      </c>
      <c r="R51" s="93">
        <v>100</v>
      </c>
      <c r="S51" s="93" t="s">
        <v>29</v>
      </c>
      <c r="T51" s="93"/>
      <c r="U51" s="96">
        <v>45</v>
      </c>
      <c r="V51" s="101">
        <v>85</v>
      </c>
      <c r="W51" s="101">
        <v>95</v>
      </c>
      <c r="X51" s="101">
        <v>100</v>
      </c>
      <c r="Y51" s="101">
        <v>100</v>
      </c>
      <c r="Z51" s="101">
        <v>100</v>
      </c>
      <c r="AA51" s="101">
        <v>100</v>
      </c>
      <c r="AB51" s="101">
        <v>100</v>
      </c>
      <c r="AC51" s="96" t="s">
        <v>29</v>
      </c>
      <c r="AD51" s="96"/>
      <c r="AE51" s="105">
        <v>45</v>
      </c>
      <c r="AF51" s="105">
        <v>100</v>
      </c>
      <c r="AG51" s="105">
        <v>100</v>
      </c>
      <c r="AH51" s="105">
        <v>100</v>
      </c>
      <c r="AI51" s="105">
        <v>100</v>
      </c>
      <c r="AJ51" s="105">
        <v>100</v>
      </c>
      <c r="AK51" s="105">
        <v>100</v>
      </c>
      <c r="AL51" s="105">
        <v>100</v>
      </c>
      <c r="AM51" s="93" t="s">
        <v>29</v>
      </c>
      <c r="AN51" s="93"/>
      <c r="AO51" s="26">
        <v>25</v>
      </c>
      <c r="AP51" s="125">
        <v>0</v>
      </c>
      <c r="AQ51" s="125">
        <v>0</v>
      </c>
      <c r="AR51" s="125">
        <v>0</v>
      </c>
      <c r="AS51" s="125">
        <v>0</v>
      </c>
      <c r="AT51" s="125">
        <v>15</v>
      </c>
      <c r="AU51" s="26">
        <v>50</v>
      </c>
      <c r="AV51" s="26">
        <v>55</v>
      </c>
      <c r="AW51" s="23" t="s">
        <v>29</v>
      </c>
      <c r="AX51" s="23"/>
      <c r="AY51" s="105">
        <v>25</v>
      </c>
      <c r="AZ51" s="104">
        <v>30</v>
      </c>
      <c r="BA51" s="104">
        <v>40</v>
      </c>
      <c r="BB51" s="105">
        <v>65</v>
      </c>
      <c r="BC51" s="105">
        <v>80</v>
      </c>
      <c r="BD51" s="105">
        <v>100</v>
      </c>
      <c r="BE51" s="105">
        <v>100</v>
      </c>
      <c r="BF51" s="105">
        <v>100</v>
      </c>
      <c r="BG51" s="93" t="s">
        <v>29</v>
      </c>
      <c r="BH51" s="106"/>
      <c r="BI51" s="18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18"/>
      <c r="BV51" s="1"/>
      <c r="BW51" s="1"/>
      <c r="BX51" s="1"/>
      <c r="BY51" s="1"/>
      <c r="BZ51" s="1"/>
      <c r="CA51" s="12"/>
      <c r="CB51" s="12"/>
      <c r="CC51" s="2"/>
      <c r="CH51" s="1">
        <v>62</v>
      </c>
      <c r="CI51" s="12" t="s">
        <v>2</v>
      </c>
    </row>
    <row r="52" spans="1:87" x14ac:dyDescent="0.2">
      <c r="A52" s="96">
        <v>1146</v>
      </c>
      <c r="B52" s="96">
        <v>100</v>
      </c>
      <c r="C52" s="96">
        <v>100</v>
      </c>
      <c r="D52" s="96">
        <v>100</v>
      </c>
      <c r="E52" s="96">
        <v>100</v>
      </c>
      <c r="F52" s="96">
        <v>100</v>
      </c>
      <c r="G52" s="96">
        <v>100</v>
      </c>
      <c r="H52" s="96">
        <v>100</v>
      </c>
      <c r="I52" s="96" t="s">
        <v>29</v>
      </c>
      <c r="J52" s="93"/>
      <c r="K52" s="93">
        <v>1245</v>
      </c>
      <c r="L52" s="93">
        <v>100</v>
      </c>
      <c r="M52" s="93">
        <v>100</v>
      </c>
      <c r="N52" s="93">
        <v>100</v>
      </c>
      <c r="O52" s="93">
        <v>100</v>
      </c>
      <c r="P52" s="93">
        <v>100</v>
      </c>
      <c r="Q52" s="93">
        <v>100</v>
      </c>
      <c r="R52" s="93">
        <v>100</v>
      </c>
      <c r="S52" s="93" t="s">
        <v>29</v>
      </c>
      <c r="T52" s="93"/>
      <c r="U52" s="96">
        <v>46</v>
      </c>
      <c r="V52" s="101">
        <v>90</v>
      </c>
      <c r="W52" s="101">
        <v>100</v>
      </c>
      <c r="X52" s="101">
        <v>100</v>
      </c>
      <c r="Y52" s="101">
        <v>100</v>
      </c>
      <c r="Z52" s="101">
        <v>100</v>
      </c>
      <c r="AA52" s="101">
        <v>100</v>
      </c>
      <c r="AB52" s="101">
        <v>100</v>
      </c>
      <c r="AC52" s="96" t="s">
        <v>29</v>
      </c>
      <c r="AD52" s="96"/>
      <c r="AE52" s="105">
        <v>46</v>
      </c>
      <c r="AF52" s="105">
        <v>100</v>
      </c>
      <c r="AG52" s="105">
        <v>100</v>
      </c>
      <c r="AH52" s="105">
        <v>100</v>
      </c>
      <c r="AI52" s="105">
        <v>100</v>
      </c>
      <c r="AJ52" s="105">
        <v>100</v>
      </c>
      <c r="AK52" s="105">
        <v>100</v>
      </c>
      <c r="AL52" s="105">
        <v>100</v>
      </c>
      <c r="AM52" s="93" t="s">
        <v>29</v>
      </c>
      <c r="AN52" s="93"/>
      <c r="AO52" s="26">
        <v>26</v>
      </c>
      <c r="AP52" s="125">
        <v>0</v>
      </c>
      <c r="AQ52" s="125">
        <v>0</v>
      </c>
      <c r="AR52" s="125">
        <v>0</v>
      </c>
      <c r="AS52" s="125">
        <v>0</v>
      </c>
      <c r="AT52" s="125">
        <v>20</v>
      </c>
      <c r="AU52" s="26">
        <v>55</v>
      </c>
      <c r="AV52" s="26">
        <v>60</v>
      </c>
      <c r="AW52" s="23" t="s">
        <v>29</v>
      </c>
      <c r="AX52" s="23"/>
      <c r="AY52" s="105">
        <v>26</v>
      </c>
      <c r="AZ52" s="104">
        <v>35</v>
      </c>
      <c r="BA52" s="104">
        <v>45</v>
      </c>
      <c r="BB52" s="105">
        <v>70</v>
      </c>
      <c r="BC52" s="105">
        <v>85</v>
      </c>
      <c r="BD52" s="105">
        <v>100</v>
      </c>
      <c r="BE52" s="105">
        <v>100</v>
      </c>
      <c r="BF52" s="105">
        <v>100</v>
      </c>
      <c r="BG52" s="93" t="s">
        <v>29</v>
      </c>
      <c r="BH52" s="106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1"/>
      <c r="BW52" s="1"/>
      <c r="BX52" s="1"/>
      <c r="BY52" s="1"/>
      <c r="BZ52" s="1"/>
      <c r="CA52" s="12"/>
      <c r="CB52" s="12"/>
      <c r="CC52" s="2"/>
      <c r="CH52" s="1">
        <v>63</v>
      </c>
      <c r="CI52" s="12" t="s">
        <v>2</v>
      </c>
    </row>
    <row r="53" spans="1:87" x14ac:dyDescent="0.2">
      <c r="A53" s="96">
        <v>1147</v>
      </c>
      <c r="B53" s="96">
        <v>100</v>
      </c>
      <c r="C53" s="96">
        <v>100</v>
      </c>
      <c r="D53" s="96">
        <v>100</v>
      </c>
      <c r="E53" s="96">
        <v>100</v>
      </c>
      <c r="F53" s="96">
        <v>100</v>
      </c>
      <c r="G53" s="96">
        <v>100</v>
      </c>
      <c r="H53" s="96">
        <v>100</v>
      </c>
      <c r="I53" s="96" t="s">
        <v>29</v>
      </c>
      <c r="J53" s="93"/>
      <c r="K53" s="93">
        <v>1246</v>
      </c>
      <c r="L53" s="93">
        <v>100</v>
      </c>
      <c r="M53" s="93">
        <v>100</v>
      </c>
      <c r="N53" s="93">
        <v>100</v>
      </c>
      <c r="O53" s="93">
        <v>100</v>
      </c>
      <c r="P53" s="93">
        <v>100</v>
      </c>
      <c r="Q53" s="93">
        <v>100</v>
      </c>
      <c r="R53" s="93">
        <v>100</v>
      </c>
      <c r="S53" s="93" t="s">
        <v>29</v>
      </c>
      <c r="T53" s="93"/>
      <c r="U53" s="96">
        <v>47</v>
      </c>
      <c r="V53" s="101">
        <v>90</v>
      </c>
      <c r="W53" s="101">
        <v>100</v>
      </c>
      <c r="X53" s="101">
        <v>100</v>
      </c>
      <c r="Y53" s="101">
        <v>100</v>
      </c>
      <c r="Z53" s="101">
        <v>100</v>
      </c>
      <c r="AA53" s="101">
        <v>100</v>
      </c>
      <c r="AB53" s="101">
        <v>100</v>
      </c>
      <c r="AC53" s="96" t="s">
        <v>29</v>
      </c>
      <c r="AD53" s="96"/>
      <c r="AE53" s="105">
        <v>47</v>
      </c>
      <c r="AF53" s="105">
        <v>100</v>
      </c>
      <c r="AG53" s="105">
        <v>100</v>
      </c>
      <c r="AH53" s="105">
        <v>100</v>
      </c>
      <c r="AI53" s="105">
        <v>100</v>
      </c>
      <c r="AJ53" s="105">
        <v>100</v>
      </c>
      <c r="AK53" s="105">
        <v>100</v>
      </c>
      <c r="AL53" s="105">
        <v>100</v>
      </c>
      <c r="AM53" s="93" t="s">
        <v>29</v>
      </c>
      <c r="AN53" s="93"/>
      <c r="AO53" s="26">
        <v>27</v>
      </c>
      <c r="AP53" s="125">
        <v>0</v>
      </c>
      <c r="AQ53" s="125">
        <v>0</v>
      </c>
      <c r="AR53" s="125">
        <v>0</v>
      </c>
      <c r="AS53" s="125">
        <v>5</v>
      </c>
      <c r="AT53" s="125">
        <v>25</v>
      </c>
      <c r="AU53" s="26">
        <v>60</v>
      </c>
      <c r="AV53" s="26">
        <v>65</v>
      </c>
      <c r="AW53" s="23" t="s">
        <v>29</v>
      </c>
      <c r="AX53" s="23"/>
      <c r="AY53" s="105">
        <v>27</v>
      </c>
      <c r="AZ53" s="104">
        <v>40</v>
      </c>
      <c r="BA53" s="105">
        <v>50</v>
      </c>
      <c r="BB53" s="105">
        <v>75</v>
      </c>
      <c r="BC53" s="105">
        <v>90</v>
      </c>
      <c r="BD53" s="105">
        <v>100</v>
      </c>
      <c r="BE53" s="105">
        <v>100</v>
      </c>
      <c r="BF53" s="105">
        <v>100</v>
      </c>
      <c r="BG53" s="93" t="s">
        <v>29</v>
      </c>
      <c r="BH53" s="106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1"/>
      <c r="BW53" s="1"/>
      <c r="BX53" s="1"/>
      <c r="BY53" s="1"/>
      <c r="BZ53" s="1"/>
      <c r="CA53" s="12"/>
      <c r="CB53" s="12"/>
      <c r="CC53" s="2"/>
      <c r="CH53" s="1">
        <v>64</v>
      </c>
      <c r="CI53" s="12" t="s">
        <v>2</v>
      </c>
    </row>
    <row r="54" spans="1:87" x14ac:dyDescent="0.2">
      <c r="A54" s="96">
        <v>1148</v>
      </c>
      <c r="B54" s="96">
        <v>100</v>
      </c>
      <c r="C54" s="96">
        <v>100</v>
      </c>
      <c r="D54" s="96">
        <v>100</v>
      </c>
      <c r="E54" s="96">
        <v>100</v>
      </c>
      <c r="F54" s="96">
        <v>100</v>
      </c>
      <c r="G54" s="96">
        <v>100</v>
      </c>
      <c r="H54" s="96">
        <v>100</v>
      </c>
      <c r="I54" s="96" t="s">
        <v>29</v>
      </c>
      <c r="J54" s="93"/>
      <c r="K54" s="93">
        <v>1247</v>
      </c>
      <c r="L54" s="93">
        <v>100</v>
      </c>
      <c r="M54" s="93">
        <v>100</v>
      </c>
      <c r="N54" s="93">
        <v>100</v>
      </c>
      <c r="O54" s="93">
        <v>100</v>
      </c>
      <c r="P54" s="93">
        <v>100</v>
      </c>
      <c r="Q54" s="93">
        <v>100</v>
      </c>
      <c r="R54" s="93">
        <v>100</v>
      </c>
      <c r="S54" s="93" t="s">
        <v>29</v>
      </c>
      <c r="T54" s="93"/>
      <c r="U54" s="96">
        <v>48</v>
      </c>
      <c r="V54" s="101">
        <v>95</v>
      </c>
      <c r="W54" s="101">
        <v>100</v>
      </c>
      <c r="X54" s="101">
        <v>100</v>
      </c>
      <c r="Y54" s="101">
        <v>100</v>
      </c>
      <c r="Z54" s="101">
        <v>100</v>
      </c>
      <c r="AA54" s="101">
        <v>100</v>
      </c>
      <c r="AB54" s="101">
        <v>100</v>
      </c>
      <c r="AC54" s="96" t="s">
        <v>29</v>
      </c>
      <c r="AD54" s="96"/>
      <c r="AE54" s="105">
        <v>48</v>
      </c>
      <c r="AF54" s="105">
        <v>100</v>
      </c>
      <c r="AG54" s="105">
        <v>100</v>
      </c>
      <c r="AH54" s="105">
        <v>100</v>
      </c>
      <c r="AI54" s="105">
        <v>100</v>
      </c>
      <c r="AJ54" s="105">
        <v>100</v>
      </c>
      <c r="AK54" s="105">
        <v>100</v>
      </c>
      <c r="AL54" s="105">
        <v>100</v>
      </c>
      <c r="AM54" s="93" t="s">
        <v>29</v>
      </c>
      <c r="AN54" s="93"/>
      <c r="AO54" s="26">
        <v>28</v>
      </c>
      <c r="AP54" s="125">
        <v>0</v>
      </c>
      <c r="AQ54" s="125">
        <v>0</v>
      </c>
      <c r="AR54" s="125">
        <v>5</v>
      </c>
      <c r="AS54" s="125">
        <v>10</v>
      </c>
      <c r="AT54" s="125">
        <v>30</v>
      </c>
      <c r="AU54" s="26">
        <v>65</v>
      </c>
      <c r="AV54" s="26">
        <v>70</v>
      </c>
      <c r="AW54" s="23" t="s">
        <v>29</v>
      </c>
      <c r="AX54" s="23"/>
      <c r="AY54" s="105">
        <v>28</v>
      </c>
      <c r="AZ54" s="104">
        <v>45</v>
      </c>
      <c r="BA54" s="105">
        <v>55</v>
      </c>
      <c r="BB54" s="105">
        <v>80</v>
      </c>
      <c r="BC54" s="105">
        <v>95</v>
      </c>
      <c r="BD54" s="105">
        <v>100</v>
      </c>
      <c r="BE54" s="105">
        <v>100</v>
      </c>
      <c r="BF54" s="105">
        <v>100</v>
      </c>
      <c r="BG54" s="93" t="s">
        <v>29</v>
      </c>
      <c r="BH54" s="106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1"/>
      <c r="BW54" s="1"/>
      <c r="BX54" s="1"/>
      <c r="BY54" s="1"/>
      <c r="BZ54" s="1"/>
      <c r="CA54" s="12"/>
      <c r="CB54" s="12"/>
      <c r="CC54" s="2"/>
      <c r="CH54" s="1">
        <v>65</v>
      </c>
      <c r="CI54" s="12" t="s">
        <v>2</v>
      </c>
    </row>
    <row r="55" spans="1:87" x14ac:dyDescent="0.2">
      <c r="A55" s="96">
        <v>1149</v>
      </c>
      <c r="B55" s="96">
        <v>100</v>
      </c>
      <c r="C55" s="96">
        <v>100</v>
      </c>
      <c r="D55" s="96">
        <v>100</v>
      </c>
      <c r="E55" s="96">
        <v>100</v>
      </c>
      <c r="F55" s="96">
        <v>100</v>
      </c>
      <c r="G55" s="96">
        <v>100</v>
      </c>
      <c r="H55" s="96">
        <v>100</v>
      </c>
      <c r="I55" s="96" t="s">
        <v>29</v>
      </c>
      <c r="J55" s="93"/>
      <c r="K55" s="93">
        <v>1248</v>
      </c>
      <c r="L55" s="93">
        <v>100</v>
      </c>
      <c r="M55" s="93">
        <v>100</v>
      </c>
      <c r="N55" s="93">
        <v>100</v>
      </c>
      <c r="O55" s="93">
        <v>100</v>
      </c>
      <c r="P55" s="93">
        <v>100</v>
      </c>
      <c r="Q55" s="93">
        <v>100</v>
      </c>
      <c r="R55" s="93">
        <v>100</v>
      </c>
      <c r="S55" s="93" t="s">
        <v>29</v>
      </c>
      <c r="T55" s="93"/>
      <c r="U55" s="96">
        <v>49</v>
      </c>
      <c r="V55" s="101">
        <v>95</v>
      </c>
      <c r="W55" s="101">
        <v>100</v>
      </c>
      <c r="X55" s="101">
        <v>100</v>
      </c>
      <c r="Y55" s="101">
        <v>100</v>
      </c>
      <c r="Z55" s="101">
        <v>100</v>
      </c>
      <c r="AA55" s="101">
        <v>100</v>
      </c>
      <c r="AB55" s="101">
        <v>100</v>
      </c>
      <c r="AC55" s="96" t="s">
        <v>29</v>
      </c>
      <c r="AD55" s="96"/>
      <c r="AE55" s="93">
        <v>49</v>
      </c>
      <c r="AF55" s="105">
        <v>100</v>
      </c>
      <c r="AG55" s="105">
        <v>100</v>
      </c>
      <c r="AH55" s="105">
        <v>100</v>
      </c>
      <c r="AI55" s="105">
        <v>100</v>
      </c>
      <c r="AJ55" s="105">
        <v>100</v>
      </c>
      <c r="AK55" s="105">
        <v>100</v>
      </c>
      <c r="AL55" s="105">
        <v>100</v>
      </c>
      <c r="AM55" s="93" t="s">
        <v>29</v>
      </c>
      <c r="AN55" s="93"/>
      <c r="AO55" s="26">
        <v>29</v>
      </c>
      <c r="AP55" s="125">
        <v>0</v>
      </c>
      <c r="AQ55" s="125">
        <v>5</v>
      </c>
      <c r="AR55" s="125">
        <v>10</v>
      </c>
      <c r="AS55" s="125">
        <v>15</v>
      </c>
      <c r="AT55" s="125">
        <v>35</v>
      </c>
      <c r="AU55" s="26">
        <v>70</v>
      </c>
      <c r="AV55" s="26">
        <v>75</v>
      </c>
      <c r="AW55" s="23" t="s">
        <v>29</v>
      </c>
      <c r="AX55" s="23"/>
      <c r="AY55" s="105">
        <v>29</v>
      </c>
      <c r="AZ55" s="105">
        <v>50</v>
      </c>
      <c r="BA55" s="105">
        <v>60</v>
      </c>
      <c r="BB55" s="105">
        <v>85</v>
      </c>
      <c r="BC55" s="105">
        <v>100</v>
      </c>
      <c r="BD55" s="105">
        <v>100</v>
      </c>
      <c r="BE55" s="105">
        <v>100</v>
      </c>
      <c r="BF55" s="105">
        <v>100</v>
      </c>
      <c r="BG55" s="93" t="s">
        <v>29</v>
      </c>
      <c r="BH55" s="106"/>
      <c r="BI55" s="21"/>
      <c r="BJ55" s="21"/>
      <c r="BK55" s="21"/>
      <c r="BL55" s="21"/>
      <c r="BM55" s="21"/>
      <c r="BN55" s="21"/>
      <c r="BO55" s="22"/>
      <c r="BP55" s="22"/>
      <c r="BQ55" s="22"/>
      <c r="BR55" s="22"/>
      <c r="BS55" s="22"/>
      <c r="BT55" s="22"/>
      <c r="BU55" s="21"/>
      <c r="BV55" s="1"/>
      <c r="BW55" s="1"/>
      <c r="BX55" s="1"/>
      <c r="BY55" s="1"/>
      <c r="BZ55" s="1"/>
      <c r="CA55" s="12"/>
      <c r="CB55" s="12"/>
      <c r="CC55" s="2"/>
      <c r="CH55" s="1">
        <v>66</v>
      </c>
      <c r="CI55" s="12" t="s">
        <v>2</v>
      </c>
    </row>
    <row r="56" spans="1:87" x14ac:dyDescent="0.2">
      <c r="A56" s="96">
        <v>1150</v>
      </c>
      <c r="B56" s="96">
        <v>100</v>
      </c>
      <c r="C56" s="96">
        <v>100</v>
      </c>
      <c r="D56" s="96">
        <v>100</v>
      </c>
      <c r="E56" s="96">
        <v>100</v>
      </c>
      <c r="F56" s="96">
        <v>100</v>
      </c>
      <c r="G56" s="96">
        <v>100</v>
      </c>
      <c r="H56" s="96">
        <v>100</v>
      </c>
      <c r="I56" s="96" t="s">
        <v>29</v>
      </c>
      <c r="J56" s="93"/>
      <c r="K56" s="93">
        <v>1249</v>
      </c>
      <c r="L56" s="93">
        <v>100</v>
      </c>
      <c r="M56" s="93">
        <v>100</v>
      </c>
      <c r="N56" s="93">
        <v>100</v>
      </c>
      <c r="O56" s="93">
        <v>100</v>
      </c>
      <c r="P56" s="93">
        <v>100</v>
      </c>
      <c r="Q56" s="93">
        <v>100</v>
      </c>
      <c r="R56" s="93">
        <v>100</v>
      </c>
      <c r="S56" s="93" t="s">
        <v>29</v>
      </c>
      <c r="T56" s="93"/>
      <c r="U56" s="96">
        <v>50</v>
      </c>
      <c r="V56" s="101">
        <v>100</v>
      </c>
      <c r="W56" s="101">
        <v>100</v>
      </c>
      <c r="X56" s="101">
        <v>100</v>
      </c>
      <c r="Y56" s="101">
        <v>100</v>
      </c>
      <c r="Z56" s="101">
        <v>100</v>
      </c>
      <c r="AA56" s="101">
        <v>100</v>
      </c>
      <c r="AB56" s="101">
        <v>100</v>
      </c>
      <c r="AC56" s="96" t="s">
        <v>29</v>
      </c>
      <c r="AD56" s="96"/>
      <c r="AE56" s="93">
        <v>50</v>
      </c>
      <c r="AF56" s="105">
        <v>100</v>
      </c>
      <c r="AG56" s="105">
        <v>100</v>
      </c>
      <c r="AH56" s="105">
        <v>100</v>
      </c>
      <c r="AI56" s="105">
        <v>100</v>
      </c>
      <c r="AJ56" s="105">
        <v>100</v>
      </c>
      <c r="AK56" s="105">
        <v>100</v>
      </c>
      <c r="AL56" s="105">
        <v>100</v>
      </c>
      <c r="AM56" s="93" t="s">
        <v>29</v>
      </c>
      <c r="AN56" s="93"/>
      <c r="AO56" s="26">
        <v>30</v>
      </c>
      <c r="AP56" s="125">
        <v>0</v>
      </c>
      <c r="AQ56" s="125">
        <v>10</v>
      </c>
      <c r="AR56" s="125">
        <v>15</v>
      </c>
      <c r="AS56" s="125">
        <v>20</v>
      </c>
      <c r="AT56" s="125">
        <v>40</v>
      </c>
      <c r="AU56" s="26">
        <v>75</v>
      </c>
      <c r="AV56" s="26">
        <v>75</v>
      </c>
      <c r="AW56" s="23" t="s">
        <v>29</v>
      </c>
      <c r="AX56" s="23"/>
      <c r="AY56" s="105">
        <v>30</v>
      </c>
      <c r="AZ56" s="105">
        <v>55</v>
      </c>
      <c r="BA56" s="105">
        <v>65</v>
      </c>
      <c r="BB56" s="105">
        <v>90</v>
      </c>
      <c r="BC56" s="105">
        <v>100</v>
      </c>
      <c r="BD56" s="105">
        <v>100</v>
      </c>
      <c r="BE56" s="105">
        <v>100</v>
      </c>
      <c r="BF56" s="105">
        <v>100</v>
      </c>
      <c r="BG56" s="93" t="s">
        <v>29</v>
      </c>
      <c r="BH56" s="106"/>
      <c r="BI56" s="1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12"/>
      <c r="CB56" s="12"/>
      <c r="CC56" s="2"/>
      <c r="CH56" s="1">
        <v>67</v>
      </c>
      <c r="CI56" s="12" t="s">
        <v>2</v>
      </c>
    </row>
    <row r="57" spans="1:87" x14ac:dyDescent="0.2">
      <c r="A57" s="96">
        <v>1151</v>
      </c>
      <c r="B57" s="96">
        <v>100</v>
      </c>
      <c r="C57" s="96">
        <v>100</v>
      </c>
      <c r="D57" s="96">
        <v>100</v>
      </c>
      <c r="E57" s="96">
        <v>100</v>
      </c>
      <c r="F57" s="96">
        <v>100</v>
      </c>
      <c r="G57" s="96">
        <v>100</v>
      </c>
      <c r="H57" s="96">
        <v>100</v>
      </c>
      <c r="I57" s="96" t="s">
        <v>29</v>
      </c>
      <c r="J57" s="93"/>
      <c r="K57" s="93">
        <v>1250</v>
      </c>
      <c r="L57" s="93">
        <v>100</v>
      </c>
      <c r="M57" s="93">
        <v>100</v>
      </c>
      <c r="N57" s="93">
        <v>100</v>
      </c>
      <c r="O57" s="93">
        <v>100</v>
      </c>
      <c r="P57" s="93">
        <v>100</v>
      </c>
      <c r="Q57" s="93">
        <v>100</v>
      </c>
      <c r="R57" s="93">
        <v>100</v>
      </c>
      <c r="S57" s="93" t="s">
        <v>29</v>
      </c>
      <c r="T57" s="93"/>
      <c r="U57" s="96">
        <v>51</v>
      </c>
      <c r="V57" s="101">
        <v>100</v>
      </c>
      <c r="W57" s="101">
        <v>100</v>
      </c>
      <c r="X57" s="101">
        <v>100</v>
      </c>
      <c r="Y57" s="101">
        <v>100</v>
      </c>
      <c r="Z57" s="101">
        <v>100</v>
      </c>
      <c r="AA57" s="101">
        <v>100</v>
      </c>
      <c r="AB57" s="101">
        <v>100</v>
      </c>
      <c r="AC57" s="96" t="s">
        <v>29</v>
      </c>
      <c r="AD57" s="96"/>
      <c r="AE57" s="93">
        <v>51</v>
      </c>
      <c r="AF57" s="105">
        <v>100</v>
      </c>
      <c r="AG57" s="105">
        <v>100</v>
      </c>
      <c r="AH57" s="105">
        <v>100</v>
      </c>
      <c r="AI57" s="105">
        <v>100</v>
      </c>
      <c r="AJ57" s="105">
        <v>100</v>
      </c>
      <c r="AK57" s="105">
        <v>100</v>
      </c>
      <c r="AL57" s="105">
        <v>100</v>
      </c>
      <c r="AM57" s="93" t="s">
        <v>29</v>
      </c>
      <c r="AN57" s="93"/>
      <c r="AO57" s="26">
        <v>31</v>
      </c>
      <c r="AP57" s="125">
        <v>0</v>
      </c>
      <c r="AQ57" s="125">
        <v>15</v>
      </c>
      <c r="AR57" s="125">
        <v>20</v>
      </c>
      <c r="AS57" s="125">
        <v>25</v>
      </c>
      <c r="AT57" s="125">
        <v>45</v>
      </c>
      <c r="AU57" s="26">
        <v>75</v>
      </c>
      <c r="AV57" s="26">
        <v>80</v>
      </c>
      <c r="AW57" s="23" t="s">
        <v>29</v>
      </c>
      <c r="AX57" s="23"/>
      <c r="AY57" s="105">
        <v>31</v>
      </c>
      <c r="AZ57" s="105">
        <v>60</v>
      </c>
      <c r="BA57" s="105">
        <v>70</v>
      </c>
      <c r="BB57" s="105">
        <v>95</v>
      </c>
      <c r="BC57" s="105">
        <v>100</v>
      </c>
      <c r="BD57" s="105">
        <v>100</v>
      </c>
      <c r="BE57" s="105">
        <v>100</v>
      </c>
      <c r="BF57" s="105">
        <v>100</v>
      </c>
      <c r="BG57" s="93" t="s">
        <v>29</v>
      </c>
      <c r="BH57" s="106"/>
      <c r="BI57" s="1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12"/>
      <c r="CB57" s="12"/>
      <c r="CC57" s="2"/>
      <c r="CH57" s="1">
        <v>68</v>
      </c>
      <c r="CI57" s="12" t="s">
        <v>2</v>
      </c>
    </row>
    <row r="58" spans="1:87" x14ac:dyDescent="0.2">
      <c r="A58" s="96">
        <v>1152</v>
      </c>
      <c r="B58" s="96">
        <v>100</v>
      </c>
      <c r="C58" s="96">
        <v>100</v>
      </c>
      <c r="D58" s="96">
        <v>100</v>
      </c>
      <c r="E58" s="96">
        <v>100</v>
      </c>
      <c r="F58" s="96">
        <v>100</v>
      </c>
      <c r="G58" s="96">
        <v>100</v>
      </c>
      <c r="H58" s="96">
        <v>100</v>
      </c>
      <c r="I58" s="96" t="s">
        <v>29</v>
      </c>
      <c r="J58" s="93"/>
      <c r="K58" s="93">
        <v>1251</v>
      </c>
      <c r="L58" s="93">
        <v>100</v>
      </c>
      <c r="M58" s="93">
        <v>100</v>
      </c>
      <c r="N58" s="93">
        <v>100</v>
      </c>
      <c r="O58" s="93">
        <v>100</v>
      </c>
      <c r="P58" s="93">
        <v>100</v>
      </c>
      <c r="Q58" s="93">
        <v>100</v>
      </c>
      <c r="R58" s="93">
        <v>100</v>
      </c>
      <c r="S58" s="93" t="s">
        <v>29</v>
      </c>
      <c r="T58" s="93"/>
      <c r="U58" s="96">
        <v>52</v>
      </c>
      <c r="V58" s="101">
        <v>100</v>
      </c>
      <c r="W58" s="101">
        <v>100</v>
      </c>
      <c r="X58" s="101">
        <v>100</v>
      </c>
      <c r="Y58" s="101">
        <v>100</v>
      </c>
      <c r="Z58" s="101">
        <v>100</v>
      </c>
      <c r="AA58" s="101">
        <v>100</v>
      </c>
      <c r="AB58" s="101">
        <v>100</v>
      </c>
      <c r="AC58" s="96" t="s">
        <v>29</v>
      </c>
      <c r="AD58" s="96"/>
      <c r="AE58" s="93">
        <v>52</v>
      </c>
      <c r="AF58" s="105">
        <v>100</v>
      </c>
      <c r="AG58" s="105">
        <v>100</v>
      </c>
      <c r="AH58" s="105">
        <v>100</v>
      </c>
      <c r="AI58" s="105">
        <v>100</v>
      </c>
      <c r="AJ58" s="105">
        <v>100</v>
      </c>
      <c r="AK58" s="105">
        <v>100</v>
      </c>
      <c r="AL58" s="105">
        <v>100</v>
      </c>
      <c r="AM58" s="93" t="s">
        <v>29</v>
      </c>
      <c r="AN58" s="93"/>
      <c r="AO58" s="26">
        <v>32</v>
      </c>
      <c r="AP58" s="125">
        <v>5</v>
      </c>
      <c r="AQ58" s="125">
        <v>20</v>
      </c>
      <c r="AR58" s="125">
        <v>25</v>
      </c>
      <c r="AS58" s="125">
        <v>30</v>
      </c>
      <c r="AT58" s="26">
        <v>50</v>
      </c>
      <c r="AU58" s="26">
        <v>80</v>
      </c>
      <c r="AV58" s="26">
        <v>80</v>
      </c>
      <c r="AW58" s="23" t="s">
        <v>29</v>
      </c>
      <c r="AX58" s="23"/>
      <c r="AY58" s="105">
        <v>32</v>
      </c>
      <c r="AZ58" s="105">
        <v>65</v>
      </c>
      <c r="BA58" s="105">
        <v>75</v>
      </c>
      <c r="BB58" s="105">
        <v>95</v>
      </c>
      <c r="BC58" s="105">
        <v>100</v>
      </c>
      <c r="BD58" s="105">
        <v>100</v>
      </c>
      <c r="BE58" s="105">
        <v>100</v>
      </c>
      <c r="BF58" s="105">
        <v>100</v>
      </c>
      <c r="BG58" s="93" t="s">
        <v>29</v>
      </c>
      <c r="BH58" s="106"/>
      <c r="BI58" s="1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12"/>
      <c r="CB58" s="12"/>
      <c r="CC58" s="2"/>
      <c r="CH58" s="1">
        <v>69</v>
      </c>
      <c r="CI58" s="12" t="s">
        <v>2</v>
      </c>
    </row>
    <row r="59" spans="1:87" x14ac:dyDescent="0.2">
      <c r="A59" s="96">
        <v>1153</v>
      </c>
      <c r="B59" s="96">
        <v>100</v>
      </c>
      <c r="C59" s="96">
        <v>100</v>
      </c>
      <c r="D59" s="96">
        <v>100</v>
      </c>
      <c r="E59" s="96">
        <v>100</v>
      </c>
      <c r="F59" s="96">
        <v>100</v>
      </c>
      <c r="G59" s="96">
        <v>100</v>
      </c>
      <c r="H59" s="96">
        <v>100</v>
      </c>
      <c r="I59" s="96" t="s">
        <v>29</v>
      </c>
      <c r="J59" s="93"/>
      <c r="K59" s="93">
        <v>1252</v>
      </c>
      <c r="L59" s="93">
        <v>100</v>
      </c>
      <c r="M59" s="93">
        <v>100</v>
      </c>
      <c r="N59" s="93">
        <v>100</v>
      </c>
      <c r="O59" s="93">
        <v>100</v>
      </c>
      <c r="P59" s="93">
        <v>100</v>
      </c>
      <c r="Q59" s="93">
        <v>100</v>
      </c>
      <c r="R59" s="93">
        <v>100</v>
      </c>
      <c r="S59" s="93" t="s">
        <v>29</v>
      </c>
      <c r="T59" s="93"/>
      <c r="U59" s="96">
        <v>53</v>
      </c>
      <c r="V59" s="101">
        <v>100</v>
      </c>
      <c r="W59" s="101">
        <v>100</v>
      </c>
      <c r="X59" s="101">
        <v>100</v>
      </c>
      <c r="Y59" s="101">
        <v>100</v>
      </c>
      <c r="Z59" s="101">
        <v>100</v>
      </c>
      <c r="AA59" s="101">
        <v>100</v>
      </c>
      <c r="AB59" s="101">
        <v>100</v>
      </c>
      <c r="AC59" s="96" t="s">
        <v>29</v>
      </c>
      <c r="AD59" s="96"/>
      <c r="AE59" s="93">
        <v>53</v>
      </c>
      <c r="AF59" s="105">
        <v>100</v>
      </c>
      <c r="AG59" s="105">
        <v>100</v>
      </c>
      <c r="AH59" s="105">
        <v>100</v>
      </c>
      <c r="AI59" s="105">
        <v>100</v>
      </c>
      <c r="AJ59" s="105">
        <v>100</v>
      </c>
      <c r="AK59" s="105">
        <v>100</v>
      </c>
      <c r="AL59" s="105">
        <v>100</v>
      </c>
      <c r="AM59" s="93" t="s">
        <v>29</v>
      </c>
      <c r="AN59" s="93"/>
      <c r="AO59" s="26">
        <v>33</v>
      </c>
      <c r="AP59" s="125">
        <v>10</v>
      </c>
      <c r="AQ59" s="125">
        <v>25</v>
      </c>
      <c r="AR59" s="125">
        <v>30</v>
      </c>
      <c r="AS59" s="125">
        <v>35</v>
      </c>
      <c r="AT59" s="26">
        <v>55</v>
      </c>
      <c r="AU59" s="26">
        <v>80</v>
      </c>
      <c r="AV59" s="26">
        <v>85</v>
      </c>
      <c r="AW59" s="23" t="s">
        <v>29</v>
      </c>
      <c r="AX59" s="23"/>
      <c r="AY59" s="105">
        <v>33</v>
      </c>
      <c r="AZ59" s="105">
        <v>70</v>
      </c>
      <c r="BA59" s="105">
        <v>80</v>
      </c>
      <c r="BB59" s="105">
        <v>100</v>
      </c>
      <c r="BC59" s="105">
        <v>100</v>
      </c>
      <c r="BD59" s="105">
        <v>100</v>
      </c>
      <c r="BE59" s="105">
        <v>100</v>
      </c>
      <c r="BF59" s="105">
        <v>100</v>
      </c>
      <c r="BG59" s="93" t="s">
        <v>29</v>
      </c>
      <c r="BH59" s="106"/>
      <c r="BI59" s="1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12"/>
      <c r="CB59" s="12"/>
      <c r="CC59" s="2"/>
      <c r="CH59" s="1">
        <v>70</v>
      </c>
      <c r="CI59" s="12" t="s">
        <v>2</v>
      </c>
    </row>
    <row r="60" spans="1:87" x14ac:dyDescent="0.2">
      <c r="A60" s="96">
        <v>1154</v>
      </c>
      <c r="B60" s="96">
        <v>100</v>
      </c>
      <c r="C60" s="96">
        <v>100</v>
      </c>
      <c r="D60" s="96">
        <v>100</v>
      </c>
      <c r="E60" s="96">
        <v>100</v>
      </c>
      <c r="F60" s="96">
        <v>100</v>
      </c>
      <c r="G60" s="96">
        <v>100</v>
      </c>
      <c r="H60" s="96">
        <v>100</v>
      </c>
      <c r="I60" s="96" t="s">
        <v>29</v>
      </c>
      <c r="J60" s="93"/>
      <c r="K60" s="93">
        <v>1253</v>
      </c>
      <c r="L60" s="93">
        <v>100</v>
      </c>
      <c r="M60" s="93">
        <v>100</v>
      </c>
      <c r="N60" s="93">
        <v>100</v>
      </c>
      <c r="O60" s="93">
        <v>100</v>
      </c>
      <c r="P60" s="93">
        <v>100</v>
      </c>
      <c r="Q60" s="93">
        <v>100</v>
      </c>
      <c r="R60" s="93">
        <v>100</v>
      </c>
      <c r="S60" s="93" t="s">
        <v>29</v>
      </c>
      <c r="T60" s="93"/>
      <c r="U60" s="96">
        <v>54</v>
      </c>
      <c r="V60" s="101">
        <v>100</v>
      </c>
      <c r="W60" s="101">
        <v>100</v>
      </c>
      <c r="X60" s="101">
        <v>100</v>
      </c>
      <c r="Y60" s="101">
        <v>100</v>
      </c>
      <c r="Z60" s="101">
        <v>100</v>
      </c>
      <c r="AA60" s="101">
        <v>100</v>
      </c>
      <c r="AB60" s="101">
        <v>100</v>
      </c>
      <c r="AC60" s="96" t="s">
        <v>29</v>
      </c>
      <c r="AD60" s="96"/>
      <c r="AE60" s="93">
        <v>54</v>
      </c>
      <c r="AF60" s="105">
        <v>100</v>
      </c>
      <c r="AG60" s="105">
        <v>100</v>
      </c>
      <c r="AH60" s="105">
        <v>100</v>
      </c>
      <c r="AI60" s="105">
        <v>100</v>
      </c>
      <c r="AJ60" s="105">
        <v>100</v>
      </c>
      <c r="AK60" s="105">
        <v>100</v>
      </c>
      <c r="AL60" s="105">
        <v>100</v>
      </c>
      <c r="AM60" s="93" t="s">
        <v>29</v>
      </c>
      <c r="AN60" s="93"/>
      <c r="AO60" s="26">
        <v>34</v>
      </c>
      <c r="AP60" s="125">
        <v>15</v>
      </c>
      <c r="AQ60" s="125">
        <v>30</v>
      </c>
      <c r="AR60" s="125">
        <v>35</v>
      </c>
      <c r="AS60" s="125">
        <v>40</v>
      </c>
      <c r="AT60" s="26">
        <v>60</v>
      </c>
      <c r="AU60" s="26">
        <v>85</v>
      </c>
      <c r="AV60" s="26">
        <v>90</v>
      </c>
      <c r="AW60" s="23" t="s">
        <v>29</v>
      </c>
      <c r="AX60" s="23"/>
      <c r="AY60" s="105">
        <v>34</v>
      </c>
      <c r="AZ60" s="105">
        <v>75</v>
      </c>
      <c r="BA60" s="105">
        <v>85</v>
      </c>
      <c r="BB60" s="105">
        <v>100</v>
      </c>
      <c r="BC60" s="105">
        <v>100</v>
      </c>
      <c r="BD60" s="105">
        <v>100</v>
      </c>
      <c r="BE60" s="105">
        <v>100</v>
      </c>
      <c r="BF60" s="105">
        <v>100</v>
      </c>
      <c r="BG60" s="93" t="s">
        <v>29</v>
      </c>
      <c r="BH60" s="106"/>
      <c r="BI60" s="1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12"/>
      <c r="CB60" s="12"/>
      <c r="CC60" s="2"/>
    </row>
    <row r="61" spans="1:87" x14ac:dyDescent="0.2">
      <c r="A61" s="96">
        <v>1155</v>
      </c>
      <c r="B61" s="96">
        <v>100</v>
      </c>
      <c r="C61" s="96">
        <v>100</v>
      </c>
      <c r="D61" s="96">
        <v>100</v>
      </c>
      <c r="E61" s="96">
        <v>100</v>
      </c>
      <c r="F61" s="96">
        <v>100</v>
      </c>
      <c r="G61" s="96">
        <v>100</v>
      </c>
      <c r="H61" s="96">
        <v>100</v>
      </c>
      <c r="I61" s="96" t="s">
        <v>29</v>
      </c>
      <c r="J61" s="93"/>
      <c r="K61" s="93">
        <v>1254</v>
      </c>
      <c r="L61" s="93">
        <v>100</v>
      </c>
      <c r="M61" s="93">
        <v>100</v>
      </c>
      <c r="N61" s="93">
        <v>100</v>
      </c>
      <c r="O61" s="93">
        <v>100</v>
      </c>
      <c r="P61" s="93">
        <v>100</v>
      </c>
      <c r="Q61" s="93">
        <v>100</v>
      </c>
      <c r="R61" s="93">
        <v>100</v>
      </c>
      <c r="S61" s="93" t="s">
        <v>29</v>
      </c>
      <c r="T61" s="93"/>
      <c r="U61" s="96">
        <v>55</v>
      </c>
      <c r="V61" s="101">
        <v>100</v>
      </c>
      <c r="W61" s="101">
        <v>100</v>
      </c>
      <c r="X61" s="101">
        <v>100</v>
      </c>
      <c r="Y61" s="101">
        <v>100</v>
      </c>
      <c r="Z61" s="101">
        <v>100</v>
      </c>
      <c r="AA61" s="101">
        <v>100</v>
      </c>
      <c r="AB61" s="101">
        <v>100</v>
      </c>
      <c r="AC61" s="96" t="s">
        <v>29</v>
      </c>
      <c r="AD61" s="96"/>
      <c r="AE61" s="93">
        <v>55</v>
      </c>
      <c r="AF61" s="105">
        <v>100</v>
      </c>
      <c r="AG61" s="105">
        <v>100</v>
      </c>
      <c r="AH61" s="105">
        <v>100</v>
      </c>
      <c r="AI61" s="105">
        <v>100</v>
      </c>
      <c r="AJ61" s="105">
        <v>100</v>
      </c>
      <c r="AK61" s="105">
        <v>100</v>
      </c>
      <c r="AL61" s="105">
        <v>100</v>
      </c>
      <c r="AM61" s="93" t="s">
        <v>29</v>
      </c>
      <c r="AN61" s="93"/>
      <c r="AO61" s="26">
        <v>35</v>
      </c>
      <c r="AP61" s="125">
        <v>15</v>
      </c>
      <c r="AQ61" s="125">
        <v>35</v>
      </c>
      <c r="AR61" s="125">
        <v>40</v>
      </c>
      <c r="AS61" s="125">
        <v>45</v>
      </c>
      <c r="AT61" s="26">
        <v>65</v>
      </c>
      <c r="AU61" s="26">
        <v>85</v>
      </c>
      <c r="AV61" s="26">
        <v>95</v>
      </c>
      <c r="AW61" s="23" t="s">
        <v>29</v>
      </c>
      <c r="AX61" s="23"/>
      <c r="AY61" s="105">
        <v>35</v>
      </c>
      <c r="AZ61" s="105">
        <v>80</v>
      </c>
      <c r="BA61" s="105">
        <v>90</v>
      </c>
      <c r="BB61" s="105">
        <v>100</v>
      </c>
      <c r="BC61" s="105">
        <v>100</v>
      </c>
      <c r="BD61" s="105">
        <v>100</v>
      </c>
      <c r="BE61" s="105">
        <v>100</v>
      </c>
      <c r="BF61" s="105">
        <v>100</v>
      </c>
      <c r="BG61" s="93" t="s">
        <v>29</v>
      </c>
      <c r="BH61" s="106"/>
      <c r="BI61" s="1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12"/>
      <c r="CB61" s="12"/>
      <c r="CC61" s="2"/>
    </row>
    <row r="62" spans="1:87" x14ac:dyDescent="0.2">
      <c r="A62" s="96">
        <v>1156</v>
      </c>
      <c r="B62" s="96">
        <v>100</v>
      </c>
      <c r="C62" s="96">
        <v>100</v>
      </c>
      <c r="D62" s="96">
        <v>100</v>
      </c>
      <c r="E62" s="96">
        <v>100</v>
      </c>
      <c r="F62" s="96">
        <v>100</v>
      </c>
      <c r="G62" s="96">
        <v>100</v>
      </c>
      <c r="H62" s="96">
        <v>100</v>
      </c>
      <c r="I62" s="96" t="s">
        <v>29</v>
      </c>
      <c r="J62" s="93"/>
      <c r="K62" s="93">
        <v>1255</v>
      </c>
      <c r="L62" s="93">
        <v>100</v>
      </c>
      <c r="M62" s="93">
        <v>100</v>
      </c>
      <c r="N62" s="93">
        <v>100</v>
      </c>
      <c r="O62" s="93">
        <v>100</v>
      </c>
      <c r="P62" s="93">
        <v>100</v>
      </c>
      <c r="Q62" s="93">
        <v>100</v>
      </c>
      <c r="R62" s="93">
        <v>100</v>
      </c>
      <c r="S62" s="93" t="s">
        <v>29</v>
      </c>
      <c r="T62" s="93"/>
      <c r="U62" s="96">
        <v>56</v>
      </c>
      <c r="V62" s="101">
        <v>100</v>
      </c>
      <c r="W62" s="101">
        <v>100</v>
      </c>
      <c r="X62" s="101">
        <v>100</v>
      </c>
      <c r="Y62" s="101">
        <v>100</v>
      </c>
      <c r="Z62" s="101">
        <v>100</v>
      </c>
      <c r="AA62" s="101">
        <v>100</v>
      </c>
      <c r="AB62" s="101">
        <v>100</v>
      </c>
      <c r="AC62" s="96" t="s">
        <v>29</v>
      </c>
      <c r="AD62" s="96"/>
      <c r="AE62" s="93">
        <v>56</v>
      </c>
      <c r="AF62" s="105">
        <v>100</v>
      </c>
      <c r="AG62" s="105">
        <v>100</v>
      </c>
      <c r="AH62" s="105">
        <v>100</v>
      </c>
      <c r="AI62" s="105">
        <v>100</v>
      </c>
      <c r="AJ62" s="105">
        <v>100</v>
      </c>
      <c r="AK62" s="105">
        <v>100</v>
      </c>
      <c r="AL62" s="105">
        <v>100</v>
      </c>
      <c r="AM62" s="93" t="s">
        <v>29</v>
      </c>
      <c r="AN62" s="93"/>
      <c r="AO62" s="26">
        <v>36</v>
      </c>
      <c r="AP62" s="125">
        <v>20</v>
      </c>
      <c r="AQ62" s="125">
        <v>40</v>
      </c>
      <c r="AR62" s="125">
        <v>45</v>
      </c>
      <c r="AS62" s="26">
        <v>50</v>
      </c>
      <c r="AT62" s="26">
        <v>70</v>
      </c>
      <c r="AU62" s="26">
        <v>90</v>
      </c>
      <c r="AV62" s="26">
        <v>100</v>
      </c>
      <c r="AW62" s="23" t="s">
        <v>29</v>
      </c>
      <c r="AX62" s="23"/>
      <c r="AY62" s="105">
        <v>36</v>
      </c>
      <c r="AZ62" s="105">
        <v>80</v>
      </c>
      <c r="BA62" s="105">
        <v>95</v>
      </c>
      <c r="BB62" s="105">
        <v>100</v>
      </c>
      <c r="BC62" s="105">
        <v>100</v>
      </c>
      <c r="BD62" s="105">
        <v>100</v>
      </c>
      <c r="BE62" s="105">
        <v>100</v>
      </c>
      <c r="BF62" s="105">
        <v>100</v>
      </c>
      <c r="BG62" s="93" t="s">
        <v>29</v>
      </c>
      <c r="BH62" s="106"/>
      <c r="BI62" s="1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12"/>
      <c r="CB62" s="12"/>
      <c r="CC62" s="2"/>
    </row>
    <row r="63" spans="1:87" x14ac:dyDescent="0.2">
      <c r="A63" s="96">
        <v>1157</v>
      </c>
      <c r="B63" s="96">
        <v>100</v>
      </c>
      <c r="C63" s="96">
        <v>100</v>
      </c>
      <c r="D63" s="96">
        <v>100</v>
      </c>
      <c r="E63" s="96">
        <v>100</v>
      </c>
      <c r="F63" s="96">
        <v>100</v>
      </c>
      <c r="G63" s="96">
        <v>100</v>
      </c>
      <c r="H63" s="96">
        <v>100</v>
      </c>
      <c r="I63" s="96" t="s">
        <v>29</v>
      </c>
      <c r="J63" s="93"/>
      <c r="K63" s="93">
        <v>1256</v>
      </c>
      <c r="L63" s="93">
        <v>100</v>
      </c>
      <c r="M63" s="93">
        <v>100</v>
      </c>
      <c r="N63" s="93">
        <v>100</v>
      </c>
      <c r="O63" s="93">
        <v>100</v>
      </c>
      <c r="P63" s="93">
        <v>100</v>
      </c>
      <c r="Q63" s="93">
        <v>100</v>
      </c>
      <c r="R63" s="93">
        <v>100</v>
      </c>
      <c r="S63" s="93" t="s">
        <v>29</v>
      </c>
      <c r="T63" s="93"/>
      <c r="U63" s="96">
        <v>57</v>
      </c>
      <c r="V63" s="101">
        <v>100</v>
      </c>
      <c r="W63" s="101">
        <v>100</v>
      </c>
      <c r="X63" s="101">
        <v>100</v>
      </c>
      <c r="Y63" s="101">
        <v>100</v>
      </c>
      <c r="Z63" s="101">
        <v>100</v>
      </c>
      <c r="AA63" s="101">
        <v>100</v>
      </c>
      <c r="AB63" s="101">
        <v>100</v>
      </c>
      <c r="AC63" s="96" t="s">
        <v>29</v>
      </c>
      <c r="AD63" s="96"/>
      <c r="AE63" s="93">
        <v>57</v>
      </c>
      <c r="AF63" s="105">
        <v>100</v>
      </c>
      <c r="AG63" s="105">
        <v>100</v>
      </c>
      <c r="AH63" s="105">
        <v>100</v>
      </c>
      <c r="AI63" s="105">
        <v>100</v>
      </c>
      <c r="AJ63" s="105">
        <v>100</v>
      </c>
      <c r="AK63" s="105">
        <v>100</v>
      </c>
      <c r="AL63" s="105">
        <v>100</v>
      </c>
      <c r="AM63" s="93" t="s">
        <v>29</v>
      </c>
      <c r="AN63" s="93"/>
      <c r="AO63" s="26">
        <v>37</v>
      </c>
      <c r="AP63" s="125">
        <v>25</v>
      </c>
      <c r="AQ63" s="125">
        <v>45</v>
      </c>
      <c r="AR63" s="26">
        <v>50</v>
      </c>
      <c r="AS63" s="26">
        <v>55</v>
      </c>
      <c r="AT63" s="26">
        <v>70</v>
      </c>
      <c r="AU63" s="26">
        <v>90</v>
      </c>
      <c r="AV63" s="26">
        <v>100</v>
      </c>
      <c r="AW63" s="23" t="s">
        <v>29</v>
      </c>
      <c r="AX63" s="23"/>
      <c r="AY63" s="105">
        <v>37</v>
      </c>
      <c r="AZ63" s="105">
        <v>85</v>
      </c>
      <c r="BA63" s="105">
        <v>100</v>
      </c>
      <c r="BB63" s="105">
        <v>100</v>
      </c>
      <c r="BC63" s="105">
        <v>100</v>
      </c>
      <c r="BD63" s="105">
        <v>100</v>
      </c>
      <c r="BE63" s="105">
        <v>100</v>
      </c>
      <c r="BF63" s="105">
        <v>100</v>
      </c>
      <c r="BG63" s="93" t="s">
        <v>29</v>
      </c>
      <c r="BH63" s="106"/>
      <c r="BI63" s="1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12"/>
      <c r="CB63" s="12"/>
      <c r="CC63" s="2"/>
    </row>
    <row r="64" spans="1:87" x14ac:dyDescent="0.2">
      <c r="A64" s="96">
        <v>1158</v>
      </c>
      <c r="B64" s="96">
        <v>100</v>
      </c>
      <c r="C64" s="96">
        <v>100</v>
      </c>
      <c r="D64" s="96">
        <v>100</v>
      </c>
      <c r="E64" s="96">
        <v>100</v>
      </c>
      <c r="F64" s="96">
        <v>100</v>
      </c>
      <c r="G64" s="96">
        <v>100</v>
      </c>
      <c r="H64" s="96">
        <v>100</v>
      </c>
      <c r="I64" s="96" t="s">
        <v>29</v>
      </c>
      <c r="J64" s="93"/>
      <c r="K64" s="93">
        <v>1257</v>
      </c>
      <c r="L64" s="93">
        <v>100</v>
      </c>
      <c r="M64" s="93">
        <v>100</v>
      </c>
      <c r="N64" s="93">
        <v>100</v>
      </c>
      <c r="O64" s="93">
        <v>100</v>
      </c>
      <c r="P64" s="93">
        <v>100</v>
      </c>
      <c r="Q64" s="93">
        <v>100</v>
      </c>
      <c r="R64" s="93">
        <v>100</v>
      </c>
      <c r="S64" s="93" t="s">
        <v>29</v>
      </c>
      <c r="T64" s="93"/>
      <c r="U64" s="96">
        <v>58</v>
      </c>
      <c r="V64" s="101">
        <v>100</v>
      </c>
      <c r="W64" s="101">
        <v>100</v>
      </c>
      <c r="X64" s="101">
        <v>100</v>
      </c>
      <c r="Y64" s="101">
        <v>100</v>
      </c>
      <c r="Z64" s="101">
        <v>100</v>
      </c>
      <c r="AA64" s="101">
        <v>100</v>
      </c>
      <c r="AB64" s="101">
        <v>100</v>
      </c>
      <c r="AC64" s="96" t="s">
        <v>29</v>
      </c>
      <c r="AD64" s="96"/>
      <c r="AE64" s="93">
        <v>58</v>
      </c>
      <c r="AF64" s="105">
        <v>100</v>
      </c>
      <c r="AG64" s="105">
        <v>100</v>
      </c>
      <c r="AH64" s="105">
        <v>100</v>
      </c>
      <c r="AI64" s="105">
        <v>100</v>
      </c>
      <c r="AJ64" s="105">
        <v>100</v>
      </c>
      <c r="AK64" s="105">
        <v>100</v>
      </c>
      <c r="AL64" s="105">
        <v>100</v>
      </c>
      <c r="AM64" s="93" t="s">
        <v>29</v>
      </c>
      <c r="AN64" s="93"/>
      <c r="AO64" s="26">
        <v>38</v>
      </c>
      <c r="AP64" s="125">
        <v>30</v>
      </c>
      <c r="AQ64" s="26">
        <v>50</v>
      </c>
      <c r="AR64" s="26">
        <v>55</v>
      </c>
      <c r="AS64" s="26">
        <v>60</v>
      </c>
      <c r="AT64" s="26">
        <v>75</v>
      </c>
      <c r="AU64" s="26">
        <v>95</v>
      </c>
      <c r="AV64" s="26">
        <v>100</v>
      </c>
      <c r="AW64" s="23" t="s">
        <v>29</v>
      </c>
      <c r="AX64" s="23"/>
      <c r="AY64" s="105">
        <v>38</v>
      </c>
      <c r="AZ64" s="105">
        <v>90</v>
      </c>
      <c r="BA64" s="105">
        <v>100</v>
      </c>
      <c r="BB64" s="105">
        <v>100</v>
      </c>
      <c r="BC64" s="105">
        <v>100</v>
      </c>
      <c r="BD64" s="105">
        <v>100</v>
      </c>
      <c r="BE64" s="105">
        <v>100</v>
      </c>
      <c r="BF64" s="105">
        <v>100</v>
      </c>
      <c r="BG64" s="93" t="s">
        <v>29</v>
      </c>
      <c r="BH64" s="106"/>
      <c r="BI64" s="1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12"/>
      <c r="CB64" s="12"/>
      <c r="CC64" s="2"/>
    </row>
    <row r="65" spans="1:81" x14ac:dyDescent="0.2">
      <c r="A65" s="96">
        <v>1159</v>
      </c>
      <c r="B65" s="96">
        <v>100</v>
      </c>
      <c r="C65" s="96">
        <v>100</v>
      </c>
      <c r="D65" s="96">
        <v>100</v>
      </c>
      <c r="E65" s="96">
        <v>100</v>
      </c>
      <c r="F65" s="96">
        <v>100</v>
      </c>
      <c r="G65" s="96">
        <v>100</v>
      </c>
      <c r="H65" s="96">
        <v>100</v>
      </c>
      <c r="I65" s="96" t="s">
        <v>29</v>
      </c>
      <c r="J65" s="93"/>
      <c r="K65" s="93">
        <v>1258</v>
      </c>
      <c r="L65" s="93">
        <v>100</v>
      </c>
      <c r="M65" s="93">
        <v>100</v>
      </c>
      <c r="N65" s="93">
        <v>100</v>
      </c>
      <c r="O65" s="93">
        <v>100</v>
      </c>
      <c r="P65" s="93">
        <v>100</v>
      </c>
      <c r="Q65" s="93">
        <v>100</v>
      </c>
      <c r="R65" s="93">
        <v>100</v>
      </c>
      <c r="S65" s="93" t="s">
        <v>29</v>
      </c>
      <c r="T65" s="93"/>
      <c r="U65" s="96">
        <v>59</v>
      </c>
      <c r="V65" s="101">
        <v>100</v>
      </c>
      <c r="W65" s="101">
        <v>100</v>
      </c>
      <c r="X65" s="101">
        <v>100</v>
      </c>
      <c r="Y65" s="101">
        <v>100</v>
      </c>
      <c r="Z65" s="101">
        <v>100</v>
      </c>
      <c r="AA65" s="101">
        <v>100</v>
      </c>
      <c r="AB65" s="101">
        <v>100</v>
      </c>
      <c r="AC65" s="96" t="s">
        <v>29</v>
      </c>
      <c r="AD65" s="96"/>
      <c r="AE65" s="93">
        <v>59</v>
      </c>
      <c r="AF65" s="105">
        <v>100</v>
      </c>
      <c r="AG65" s="105">
        <v>100</v>
      </c>
      <c r="AH65" s="105">
        <v>100</v>
      </c>
      <c r="AI65" s="105">
        <v>100</v>
      </c>
      <c r="AJ65" s="105">
        <v>100</v>
      </c>
      <c r="AK65" s="105">
        <v>100</v>
      </c>
      <c r="AL65" s="105">
        <v>100</v>
      </c>
      <c r="AM65" s="93" t="s">
        <v>29</v>
      </c>
      <c r="AN65" s="93"/>
      <c r="AO65" s="26">
        <v>39</v>
      </c>
      <c r="AP65" s="125">
        <v>35</v>
      </c>
      <c r="AQ65" s="26">
        <v>55</v>
      </c>
      <c r="AR65" s="26">
        <v>60</v>
      </c>
      <c r="AS65" s="26">
        <v>65</v>
      </c>
      <c r="AT65" s="26">
        <v>75</v>
      </c>
      <c r="AU65" s="26">
        <v>95</v>
      </c>
      <c r="AV65" s="26">
        <v>100</v>
      </c>
      <c r="AW65" s="23" t="s">
        <v>29</v>
      </c>
      <c r="AX65" s="23"/>
      <c r="AY65" s="105">
        <v>39</v>
      </c>
      <c r="AZ65" s="105">
        <v>95</v>
      </c>
      <c r="BA65" s="105">
        <v>100</v>
      </c>
      <c r="BB65" s="105">
        <v>100</v>
      </c>
      <c r="BC65" s="105">
        <v>100</v>
      </c>
      <c r="BD65" s="105">
        <v>100</v>
      </c>
      <c r="BE65" s="105">
        <v>100</v>
      </c>
      <c r="BF65" s="105">
        <v>100</v>
      </c>
      <c r="BG65" s="93" t="s">
        <v>29</v>
      </c>
      <c r="BH65" s="106"/>
      <c r="BI65" s="1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12"/>
      <c r="CB65" s="12"/>
      <c r="CC65" s="2"/>
    </row>
    <row r="66" spans="1:81" x14ac:dyDescent="0.2">
      <c r="A66" s="96">
        <v>1200</v>
      </c>
      <c r="B66" s="96">
        <v>100</v>
      </c>
      <c r="C66" s="96">
        <v>100</v>
      </c>
      <c r="D66" s="96">
        <v>100</v>
      </c>
      <c r="E66" s="96">
        <v>100</v>
      </c>
      <c r="F66" s="96">
        <v>100</v>
      </c>
      <c r="G66" s="96">
        <v>100</v>
      </c>
      <c r="H66" s="96">
        <v>100</v>
      </c>
      <c r="I66" s="96" t="s">
        <v>29</v>
      </c>
      <c r="J66" s="93"/>
      <c r="K66" s="93">
        <v>1259</v>
      </c>
      <c r="L66" s="93">
        <v>100</v>
      </c>
      <c r="M66" s="93">
        <v>100</v>
      </c>
      <c r="N66" s="93">
        <v>100</v>
      </c>
      <c r="O66" s="93">
        <v>100</v>
      </c>
      <c r="P66" s="93">
        <v>100</v>
      </c>
      <c r="Q66" s="93">
        <v>100</v>
      </c>
      <c r="R66" s="93">
        <v>100</v>
      </c>
      <c r="S66" s="93" t="s">
        <v>29</v>
      </c>
      <c r="T66" s="93"/>
      <c r="U66" s="96">
        <v>60</v>
      </c>
      <c r="V66" s="101">
        <v>100</v>
      </c>
      <c r="W66" s="101">
        <v>100</v>
      </c>
      <c r="X66" s="101">
        <v>100</v>
      </c>
      <c r="Y66" s="101">
        <v>100</v>
      </c>
      <c r="Z66" s="101">
        <v>100</v>
      </c>
      <c r="AA66" s="101">
        <v>100</v>
      </c>
      <c r="AB66" s="101">
        <v>100</v>
      </c>
      <c r="AC66" s="96" t="s">
        <v>29</v>
      </c>
      <c r="AD66" s="96"/>
      <c r="AE66" s="93">
        <v>60</v>
      </c>
      <c r="AF66" s="105">
        <v>100</v>
      </c>
      <c r="AG66" s="105">
        <v>100</v>
      </c>
      <c r="AH66" s="105">
        <v>100</v>
      </c>
      <c r="AI66" s="105">
        <v>100</v>
      </c>
      <c r="AJ66" s="105">
        <v>100</v>
      </c>
      <c r="AK66" s="105">
        <v>100</v>
      </c>
      <c r="AL66" s="105">
        <v>100</v>
      </c>
      <c r="AM66" s="93" t="s">
        <v>29</v>
      </c>
      <c r="AN66" s="93"/>
      <c r="AO66" s="26">
        <v>40</v>
      </c>
      <c r="AP66" s="125">
        <v>40</v>
      </c>
      <c r="AQ66" s="26">
        <v>60</v>
      </c>
      <c r="AR66" s="26">
        <v>60</v>
      </c>
      <c r="AS66" s="26">
        <v>70</v>
      </c>
      <c r="AT66" s="26">
        <v>80</v>
      </c>
      <c r="AU66" s="26">
        <v>100</v>
      </c>
      <c r="AV66" s="26">
        <v>100</v>
      </c>
      <c r="AW66" s="23" t="s">
        <v>29</v>
      </c>
      <c r="AX66" s="23"/>
      <c r="AY66" s="105">
        <v>40</v>
      </c>
      <c r="AZ66" s="105">
        <v>95</v>
      </c>
      <c r="BA66" s="105">
        <v>100</v>
      </c>
      <c r="BB66" s="105">
        <v>100</v>
      </c>
      <c r="BC66" s="105">
        <v>100</v>
      </c>
      <c r="BD66" s="105">
        <v>100</v>
      </c>
      <c r="BE66" s="105">
        <v>100</v>
      </c>
      <c r="BF66" s="105">
        <v>100</v>
      </c>
      <c r="BG66" s="93" t="s">
        <v>29</v>
      </c>
      <c r="BH66" s="106"/>
      <c r="BI66" s="1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12"/>
      <c r="CB66" s="12"/>
      <c r="CC66" s="2"/>
    </row>
    <row r="67" spans="1:81" x14ac:dyDescent="0.2">
      <c r="A67" s="96">
        <v>1201</v>
      </c>
      <c r="B67" s="96">
        <v>100</v>
      </c>
      <c r="C67" s="96">
        <v>100</v>
      </c>
      <c r="D67" s="96">
        <v>100</v>
      </c>
      <c r="E67" s="96">
        <v>100</v>
      </c>
      <c r="F67" s="96">
        <v>100</v>
      </c>
      <c r="G67" s="96">
        <v>100</v>
      </c>
      <c r="H67" s="96">
        <v>100</v>
      </c>
      <c r="I67" s="96" t="s">
        <v>29</v>
      </c>
      <c r="J67" s="93"/>
      <c r="K67" s="93">
        <v>1300</v>
      </c>
      <c r="L67" s="93">
        <v>100</v>
      </c>
      <c r="M67" s="93">
        <v>100</v>
      </c>
      <c r="N67" s="93">
        <v>100</v>
      </c>
      <c r="O67" s="93">
        <v>100</v>
      </c>
      <c r="P67" s="93">
        <v>100</v>
      </c>
      <c r="Q67" s="93">
        <v>100</v>
      </c>
      <c r="R67" s="93">
        <v>100</v>
      </c>
      <c r="S67" s="93" t="s">
        <v>29</v>
      </c>
      <c r="T67" s="93"/>
      <c r="U67" s="96">
        <v>61</v>
      </c>
      <c r="V67" s="101">
        <v>100</v>
      </c>
      <c r="W67" s="101">
        <v>100</v>
      </c>
      <c r="X67" s="101">
        <v>100</v>
      </c>
      <c r="Y67" s="101">
        <v>100</v>
      </c>
      <c r="Z67" s="101">
        <v>100</v>
      </c>
      <c r="AA67" s="101">
        <v>100</v>
      </c>
      <c r="AB67" s="101">
        <v>100</v>
      </c>
      <c r="AC67" s="96" t="s">
        <v>29</v>
      </c>
      <c r="AD67" s="96"/>
      <c r="AE67" s="93">
        <v>61</v>
      </c>
      <c r="AF67" s="105">
        <v>100</v>
      </c>
      <c r="AG67" s="105">
        <v>100</v>
      </c>
      <c r="AH67" s="105">
        <v>100</v>
      </c>
      <c r="AI67" s="105">
        <v>100</v>
      </c>
      <c r="AJ67" s="105">
        <v>100</v>
      </c>
      <c r="AK67" s="105">
        <v>100</v>
      </c>
      <c r="AL67" s="105">
        <v>100</v>
      </c>
      <c r="AM67" s="93" t="s">
        <v>29</v>
      </c>
      <c r="AN67" s="93"/>
      <c r="AO67" s="23">
        <v>41</v>
      </c>
      <c r="AP67" s="125">
        <v>45</v>
      </c>
      <c r="AQ67" s="26">
        <v>60</v>
      </c>
      <c r="AR67" s="26">
        <v>65</v>
      </c>
      <c r="AS67" s="26">
        <v>70</v>
      </c>
      <c r="AT67" s="26">
        <v>80</v>
      </c>
      <c r="AU67" s="26">
        <v>100</v>
      </c>
      <c r="AV67" s="26">
        <v>100</v>
      </c>
      <c r="AW67" s="23" t="s">
        <v>29</v>
      </c>
      <c r="AX67" s="23"/>
      <c r="AY67" s="93">
        <v>41</v>
      </c>
      <c r="AZ67" s="105">
        <v>100</v>
      </c>
      <c r="BA67" s="105">
        <v>100</v>
      </c>
      <c r="BB67" s="105">
        <v>100</v>
      </c>
      <c r="BC67" s="105">
        <v>100</v>
      </c>
      <c r="BD67" s="105">
        <v>100</v>
      </c>
      <c r="BE67" s="105">
        <v>100</v>
      </c>
      <c r="BF67" s="105">
        <v>100</v>
      </c>
      <c r="BG67" s="93" t="s">
        <v>29</v>
      </c>
      <c r="BH67" s="106"/>
      <c r="BI67" s="1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12"/>
      <c r="CB67" s="12"/>
      <c r="CC67" s="2"/>
    </row>
    <row r="68" spans="1:81" x14ac:dyDescent="0.2">
      <c r="A68" s="96">
        <v>1202</v>
      </c>
      <c r="B68" s="96">
        <v>100</v>
      </c>
      <c r="C68" s="96">
        <v>100</v>
      </c>
      <c r="D68" s="96">
        <v>100</v>
      </c>
      <c r="E68" s="96">
        <v>100</v>
      </c>
      <c r="F68" s="96">
        <v>100</v>
      </c>
      <c r="G68" s="96">
        <v>100</v>
      </c>
      <c r="H68" s="96">
        <v>100</v>
      </c>
      <c r="I68" s="96" t="s">
        <v>29</v>
      </c>
      <c r="J68" s="93"/>
      <c r="K68" s="93">
        <v>1301</v>
      </c>
      <c r="L68" s="93">
        <v>100</v>
      </c>
      <c r="M68" s="93">
        <v>100</v>
      </c>
      <c r="N68" s="93">
        <v>100</v>
      </c>
      <c r="O68" s="93">
        <v>100</v>
      </c>
      <c r="P68" s="93">
        <v>100</v>
      </c>
      <c r="Q68" s="93">
        <v>100</v>
      </c>
      <c r="R68" s="93">
        <v>100</v>
      </c>
      <c r="S68" s="93" t="s">
        <v>29</v>
      </c>
      <c r="T68" s="93"/>
      <c r="U68" s="96">
        <v>62</v>
      </c>
      <c r="V68" s="101">
        <v>100</v>
      </c>
      <c r="W68" s="101">
        <v>100</v>
      </c>
      <c r="X68" s="101">
        <v>100</v>
      </c>
      <c r="Y68" s="101">
        <v>100</v>
      </c>
      <c r="Z68" s="101">
        <v>100</v>
      </c>
      <c r="AA68" s="101">
        <v>100</v>
      </c>
      <c r="AB68" s="101">
        <v>100</v>
      </c>
      <c r="AC68" s="96" t="s">
        <v>29</v>
      </c>
      <c r="AD68" s="96"/>
      <c r="AE68" s="93">
        <v>62</v>
      </c>
      <c r="AF68" s="105">
        <v>100</v>
      </c>
      <c r="AG68" s="105">
        <v>100</v>
      </c>
      <c r="AH68" s="105">
        <v>100</v>
      </c>
      <c r="AI68" s="105">
        <v>100</v>
      </c>
      <c r="AJ68" s="105">
        <v>100</v>
      </c>
      <c r="AK68" s="105">
        <v>100</v>
      </c>
      <c r="AL68" s="105">
        <v>100</v>
      </c>
      <c r="AM68" s="93" t="s">
        <v>29</v>
      </c>
      <c r="AN68" s="93"/>
      <c r="AO68" s="23">
        <v>42</v>
      </c>
      <c r="AP68" s="26">
        <v>50</v>
      </c>
      <c r="AQ68" s="26">
        <v>65</v>
      </c>
      <c r="AR68" s="26">
        <v>70</v>
      </c>
      <c r="AS68" s="26">
        <v>75</v>
      </c>
      <c r="AT68" s="26">
        <v>85</v>
      </c>
      <c r="AU68" s="26">
        <v>100</v>
      </c>
      <c r="AV68" s="26">
        <v>100</v>
      </c>
      <c r="AW68" s="23" t="s">
        <v>29</v>
      </c>
      <c r="AX68" s="23"/>
      <c r="AY68" s="93">
        <v>42</v>
      </c>
      <c r="AZ68" s="105">
        <v>100</v>
      </c>
      <c r="BA68" s="105">
        <v>100</v>
      </c>
      <c r="BB68" s="105">
        <v>100</v>
      </c>
      <c r="BC68" s="105">
        <v>100</v>
      </c>
      <c r="BD68" s="105">
        <v>100</v>
      </c>
      <c r="BE68" s="105">
        <v>100</v>
      </c>
      <c r="BF68" s="105">
        <v>100</v>
      </c>
      <c r="BG68" s="93" t="s">
        <v>29</v>
      </c>
      <c r="BH68" s="106"/>
      <c r="BI68" s="1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12"/>
      <c r="CB68" s="12"/>
      <c r="CC68" s="2"/>
    </row>
    <row r="69" spans="1:81" x14ac:dyDescent="0.2">
      <c r="A69" s="96">
        <v>1203</v>
      </c>
      <c r="B69" s="96">
        <v>100</v>
      </c>
      <c r="C69" s="96">
        <v>100</v>
      </c>
      <c r="D69" s="96">
        <v>100</v>
      </c>
      <c r="E69" s="96">
        <v>100</v>
      </c>
      <c r="F69" s="96">
        <v>100</v>
      </c>
      <c r="G69" s="96">
        <v>100</v>
      </c>
      <c r="H69" s="96">
        <v>100</v>
      </c>
      <c r="I69" s="96" t="s">
        <v>29</v>
      </c>
      <c r="J69" s="93"/>
      <c r="K69" s="93">
        <v>1302</v>
      </c>
      <c r="L69" s="93">
        <v>100</v>
      </c>
      <c r="M69" s="93">
        <v>100</v>
      </c>
      <c r="N69" s="93">
        <v>100</v>
      </c>
      <c r="O69" s="93">
        <v>100</v>
      </c>
      <c r="P69" s="93">
        <v>100</v>
      </c>
      <c r="Q69" s="93">
        <v>100</v>
      </c>
      <c r="R69" s="93">
        <v>100</v>
      </c>
      <c r="S69" s="93" t="s">
        <v>29</v>
      </c>
      <c r="T69" s="93"/>
      <c r="U69" s="96">
        <v>63</v>
      </c>
      <c r="V69" s="101">
        <v>100</v>
      </c>
      <c r="W69" s="101">
        <v>100</v>
      </c>
      <c r="X69" s="101">
        <v>100</v>
      </c>
      <c r="Y69" s="101">
        <v>100</v>
      </c>
      <c r="Z69" s="101">
        <v>100</v>
      </c>
      <c r="AA69" s="101">
        <v>100</v>
      </c>
      <c r="AB69" s="101">
        <v>100</v>
      </c>
      <c r="AC69" s="96" t="s">
        <v>29</v>
      </c>
      <c r="AD69" s="96"/>
      <c r="AE69" s="93">
        <v>63</v>
      </c>
      <c r="AF69" s="105">
        <v>100</v>
      </c>
      <c r="AG69" s="105">
        <v>100</v>
      </c>
      <c r="AH69" s="105">
        <v>100</v>
      </c>
      <c r="AI69" s="105">
        <v>100</v>
      </c>
      <c r="AJ69" s="105">
        <v>100</v>
      </c>
      <c r="AK69" s="105">
        <v>100</v>
      </c>
      <c r="AL69" s="105">
        <v>100</v>
      </c>
      <c r="AM69" s="93" t="s">
        <v>29</v>
      </c>
      <c r="AN69" s="93"/>
      <c r="AO69" s="23">
        <v>43</v>
      </c>
      <c r="AP69" s="26">
        <v>55</v>
      </c>
      <c r="AQ69" s="26">
        <v>65</v>
      </c>
      <c r="AR69" s="26">
        <v>70</v>
      </c>
      <c r="AS69" s="26">
        <v>75</v>
      </c>
      <c r="AT69" s="26">
        <v>85</v>
      </c>
      <c r="AU69" s="26">
        <v>100</v>
      </c>
      <c r="AV69" s="26">
        <v>100</v>
      </c>
      <c r="AW69" s="23" t="s">
        <v>29</v>
      </c>
      <c r="AX69" s="23"/>
      <c r="AY69" s="93">
        <v>43</v>
      </c>
      <c r="AZ69" s="105">
        <v>100</v>
      </c>
      <c r="BA69" s="105">
        <v>100</v>
      </c>
      <c r="BB69" s="105">
        <v>100</v>
      </c>
      <c r="BC69" s="105">
        <v>100</v>
      </c>
      <c r="BD69" s="105">
        <v>100</v>
      </c>
      <c r="BE69" s="105">
        <v>100</v>
      </c>
      <c r="BF69" s="105">
        <v>100</v>
      </c>
      <c r="BG69" s="93" t="s">
        <v>29</v>
      </c>
      <c r="BH69" s="106"/>
      <c r="BI69" s="1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12"/>
      <c r="CB69" s="12"/>
      <c r="CC69" s="2"/>
    </row>
    <row r="70" spans="1:81" x14ac:dyDescent="0.2">
      <c r="A70" s="96">
        <v>1204</v>
      </c>
      <c r="B70" s="96">
        <v>100</v>
      </c>
      <c r="C70" s="96">
        <v>100</v>
      </c>
      <c r="D70" s="96">
        <v>100</v>
      </c>
      <c r="E70" s="96">
        <v>100</v>
      </c>
      <c r="F70" s="96">
        <v>100</v>
      </c>
      <c r="G70" s="96">
        <v>100</v>
      </c>
      <c r="H70" s="96">
        <v>100</v>
      </c>
      <c r="I70" s="96" t="s">
        <v>29</v>
      </c>
      <c r="J70" s="93"/>
      <c r="K70" s="93">
        <v>1303</v>
      </c>
      <c r="L70" s="93">
        <v>100</v>
      </c>
      <c r="M70" s="93">
        <v>100</v>
      </c>
      <c r="N70" s="93">
        <v>100</v>
      </c>
      <c r="O70" s="93">
        <v>100</v>
      </c>
      <c r="P70" s="93">
        <v>100</v>
      </c>
      <c r="Q70" s="93">
        <v>100</v>
      </c>
      <c r="R70" s="93">
        <v>100</v>
      </c>
      <c r="S70" s="93" t="s">
        <v>29</v>
      </c>
      <c r="T70" s="93"/>
      <c r="U70" s="96">
        <v>64</v>
      </c>
      <c r="V70" s="101">
        <v>100</v>
      </c>
      <c r="W70" s="101">
        <v>100</v>
      </c>
      <c r="X70" s="101">
        <v>100</v>
      </c>
      <c r="Y70" s="101">
        <v>100</v>
      </c>
      <c r="Z70" s="101">
        <v>100</v>
      </c>
      <c r="AA70" s="101">
        <v>100</v>
      </c>
      <c r="AB70" s="101">
        <v>100</v>
      </c>
      <c r="AC70" s="96" t="s">
        <v>29</v>
      </c>
      <c r="AD70" s="96"/>
      <c r="AE70" s="93">
        <v>64</v>
      </c>
      <c r="AF70" s="105">
        <v>100</v>
      </c>
      <c r="AG70" s="105">
        <v>100</v>
      </c>
      <c r="AH70" s="105">
        <v>100</v>
      </c>
      <c r="AI70" s="105">
        <v>100</v>
      </c>
      <c r="AJ70" s="105">
        <v>100</v>
      </c>
      <c r="AK70" s="105">
        <v>100</v>
      </c>
      <c r="AL70" s="105">
        <v>100</v>
      </c>
      <c r="AM70" s="93" t="s">
        <v>29</v>
      </c>
      <c r="AN70" s="93"/>
      <c r="AO70" s="23">
        <v>44</v>
      </c>
      <c r="AP70" s="26">
        <v>60</v>
      </c>
      <c r="AQ70" s="26">
        <v>70</v>
      </c>
      <c r="AR70" s="26">
        <v>75</v>
      </c>
      <c r="AS70" s="26">
        <v>80</v>
      </c>
      <c r="AT70" s="26">
        <v>90</v>
      </c>
      <c r="AU70" s="26">
        <v>100</v>
      </c>
      <c r="AV70" s="26">
        <v>100</v>
      </c>
      <c r="AW70" s="23" t="s">
        <v>29</v>
      </c>
      <c r="AX70" s="23"/>
      <c r="AY70" s="93">
        <v>44</v>
      </c>
      <c r="AZ70" s="105">
        <v>100</v>
      </c>
      <c r="BA70" s="105">
        <v>100</v>
      </c>
      <c r="BB70" s="105">
        <v>100</v>
      </c>
      <c r="BC70" s="105">
        <v>100</v>
      </c>
      <c r="BD70" s="105">
        <v>100</v>
      </c>
      <c r="BE70" s="105">
        <v>100</v>
      </c>
      <c r="BF70" s="105">
        <v>100</v>
      </c>
      <c r="BG70" s="93" t="s">
        <v>29</v>
      </c>
      <c r="BH70" s="106"/>
      <c r="BI70" s="1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12"/>
      <c r="CB70" s="12"/>
      <c r="CC70" s="2"/>
    </row>
    <row r="71" spans="1:81" x14ac:dyDescent="0.2">
      <c r="A71" s="96">
        <v>1205</v>
      </c>
      <c r="B71" s="96">
        <v>100</v>
      </c>
      <c r="C71" s="96">
        <v>100</v>
      </c>
      <c r="D71" s="96">
        <v>100</v>
      </c>
      <c r="E71" s="96">
        <v>100</v>
      </c>
      <c r="F71" s="96">
        <v>100</v>
      </c>
      <c r="G71" s="96">
        <v>100</v>
      </c>
      <c r="H71" s="96">
        <v>100</v>
      </c>
      <c r="I71" s="96" t="s">
        <v>29</v>
      </c>
      <c r="J71" s="93"/>
      <c r="K71" s="93">
        <v>1304</v>
      </c>
      <c r="L71" s="93">
        <v>100</v>
      </c>
      <c r="M71" s="93">
        <v>100</v>
      </c>
      <c r="N71" s="93">
        <v>100</v>
      </c>
      <c r="O71" s="93">
        <v>100</v>
      </c>
      <c r="P71" s="93">
        <v>100</v>
      </c>
      <c r="Q71" s="93">
        <v>100</v>
      </c>
      <c r="R71" s="93">
        <v>100</v>
      </c>
      <c r="S71" s="93" t="s">
        <v>29</v>
      </c>
      <c r="T71" s="93"/>
      <c r="U71" s="96">
        <v>65</v>
      </c>
      <c r="V71" s="101">
        <v>100</v>
      </c>
      <c r="W71" s="101">
        <v>100</v>
      </c>
      <c r="X71" s="101">
        <v>100</v>
      </c>
      <c r="Y71" s="101">
        <v>100</v>
      </c>
      <c r="Z71" s="101">
        <v>100</v>
      </c>
      <c r="AA71" s="101">
        <v>100</v>
      </c>
      <c r="AB71" s="101">
        <v>100</v>
      </c>
      <c r="AC71" s="96" t="s">
        <v>29</v>
      </c>
      <c r="AD71" s="96"/>
      <c r="AE71" s="93">
        <v>65</v>
      </c>
      <c r="AF71" s="105">
        <v>100</v>
      </c>
      <c r="AG71" s="105">
        <v>100</v>
      </c>
      <c r="AH71" s="105">
        <v>100</v>
      </c>
      <c r="AI71" s="105">
        <v>100</v>
      </c>
      <c r="AJ71" s="105">
        <v>100</v>
      </c>
      <c r="AK71" s="105">
        <v>100</v>
      </c>
      <c r="AL71" s="105">
        <v>100</v>
      </c>
      <c r="AM71" s="93" t="s">
        <v>29</v>
      </c>
      <c r="AN71" s="93"/>
      <c r="AO71" s="23">
        <v>45</v>
      </c>
      <c r="AP71" s="26">
        <v>65</v>
      </c>
      <c r="AQ71" s="26">
        <v>70</v>
      </c>
      <c r="AR71" s="26">
        <v>75</v>
      </c>
      <c r="AS71" s="26">
        <v>80</v>
      </c>
      <c r="AT71" s="26">
        <v>90</v>
      </c>
      <c r="AU71" s="26">
        <v>100</v>
      </c>
      <c r="AV71" s="26">
        <v>100</v>
      </c>
      <c r="AW71" s="23" t="s">
        <v>29</v>
      </c>
      <c r="AX71" s="23"/>
      <c r="AY71" s="93">
        <v>45</v>
      </c>
      <c r="AZ71" s="105">
        <v>100</v>
      </c>
      <c r="BA71" s="105">
        <v>100</v>
      </c>
      <c r="BB71" s="105">
        <v>100</v>
      </c>
      <c r="BC71" s="105">
        <v>100</v>
      </c>
      <c r="BD71" s="105">
        <v>100</v>
      </c>
      <c r="BE71" s="105">
        <v>100</v>
      </c>
      <c r="BF71" s="105">
        <v>100</v>
      </c>
      <c r="BG71" s="93" t="s">
        <v>29</v>
      </c>
      <c r="BH71" s="106"/>
      <c r="BI71" s="1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12"/>
      <c r="CB71" s="12"/>
      <c r="CC71" s="2"/>
    </row>
    <row r="72" spans="1:81" x14ac:dyDescent="0.2">
      <c r="A72" s="96">
        <v>1206</v>
      </c>
      <c r="B72" s="96">
        <v>100</v>
      </c>
      <c r="C72" s="96">
        <v>100</v>
      </c>
      <c r="D72" s="96">
        <v>100</v>
      </c>
      <c r="E72" s="96">
        <v>100</v>
      </c>
      <c r="F72" s="96">
        <v>100</v>
      </c>
      <c r="G72" s="96">
        <v>100</v>
      </c>
      <c r="H72" s="96">
        <v>100</v>
      </c>
      <c r="I72" s="96" t="s">
        <v>29</v>
      </c>
      <c r="J72" s="93"/>
      <c r="K72" s="93">
        <v>1305</v>
      </c>
      <c r="L72" s="93">
        <v>100</v>
      </c>
      <c r="M72" s="93">
        <v>100</v>
      </c>
      <c r="N72" s="93">
        <v>100</v>
      </c>
      <c r="O72" s="93">
        <v>100</v>
      </c>
      <c r="P72" s="93">
        <v>100</v>
      </c>
      <c r="Q72" s="93">
        <v>100</v>
      </c>
      <c r="R72" s="93">
        <v>100</v>
      </c>
      <c r="S72" s="93" t="s">
        <v>29</v>
      </c>
      <c r="T72" s="93"/>
      <c r="U72" s="96">
        <v>66</v>
      </c>
      <c r="V72" s="101">
        <v>100</v>
      </c>
      <c r="W72" s="101">
        <v>100</v>
      </c>
      <c r="X72" s="101">
        <v>100</v>
      </c>
      <c r="Y72" s="101">
        <v>100</v>
      </c>
      <c r="Z72" s="101">
        <v>100</v>
      </c>
      <c r="AA72" s="101">
        <v>100</v>
      </c>
      <c r="AB72" s="101">
        <v>100</v>
      </c>
      <c r="AC72" s="96" t="s">
        <v>29</v>
      </c>
      <c r="AD72" s="96"/>
      <c r="AE72" s="93">
        <v>66</v>
      </c>
      <c r="AF72" s="105">
        <v>100</v>
      </c>
      <c r="AG72" s="105">
        <v>100</v>
      </c>
      <c r="AH72" s="105">
        <v>100</v>
      </c>
      <c r="AI72" s="105">
        <v>100</v>
      </c>
      <c r="AJ72" s="105">
        <v>100</v>
      </c>
      <c r="AK72" s="105">
        <v>100</v>
      </c>
      <c r="AL72" s="105">
        <v>100</v>
      </c>
      <c r="AM72" s="93" t="s">
        <v>29</v>
      </c>
      <c r="AN72" s="93"/>
      <c r="AO72" s="23">
        <v>46</v>
      </c>
      <c r="AP72" s="26">
        <v>70</v>
      </c>
      <c r="AQ72" s="26">
        <v>75</v>
      </c>
      <c r="AR72" s="26">
        <v>80</v>
      </c>
      <c r="AS72" s="26">
        <v>85</v>
      </c>
      <c r="AT72" s="26">
        <v>95</v>
      </c>
      <c r="AU72" s="26">
        <v>100</v>
      </c>
      <c r="AV72" s="26">
        <v>100</v>
      </c>
      <c r="AW72" s="23" t="s">
        <v>29</v>
      </c>
      <c r="AX72" s="23"/>
      <c r="AY72" s="93">
        <v>46</v>
      </c>
      <c r="AZ72" s="105">
        <v>100</v>
      </c>
      <c r="BA72" s="105">
        <v>100</v>
      </c>
      <c r="BB72" s="105">
        <v>100</v>
      </c>
      <c r="BC72" s="105">
        <v>100</v>
      </c>
      <c r="BD72" s="105">
        <v>100</v>
      </c>
      <c r="BE72" s="105">
        <v>100</v>
      </c>
      <c r="BF72" s="105">
        <v>100</v>
      </c>
      <c r="BG72" s="93" t="s">
        <v>29</v>
      </c>
      <c r="BH72" s="106"/>
      <c r="BI72" s="1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12"/>
      <c r="CB72" s="12"/>
      <c r="CC72" s="2"/>
    </row>
    <row r="73" spans="1:81" x14ac:dyDescent="0.2">
      <c r="A73" s="96">
        <v>1207</v>
      </c>
      <c r="B73" s="96">
        <v>100</v>
      </c>
      <c r="C73" s="96">
        <v>100</v>
      </c>
      <c r="D73" s="96">
        <v>100</v>
      </c>
      <c r="E73" s="96">
        <v>100</v>
      </c>
      <c r="F73" s="96">
        <v>100</v>
      </c>
      <c r="G73" s="96">
        <v>100</v>
      </c>
      <c r="H73" s="96">
        <v>100</v>
      </c>
      <c r="I73" s="96" t="s">
        <v>29</v>
      </c>
      <c r="J73" s="93"/>
      <c r="K73" s="93">
        <v>1306</v>
      </c>
      <c r="L73" s="93">
        <v>100</v>
      </c>
      <c r="M73" s="93">
        <v>100</v>
      </c>
      <c r="N73" s="93">
        <v>100</v>
      </c>
      <c r="O73" s="93">
        <v>100</v>
      </c>
      <c r="P73" s="93">
        <v>100</v>
      </c>
      <c r="Q73" s="93">
        <v>100</v>
      </c>
      <c r="R73" s="93">
        <v>100</v>
      </c>
      <c r="S73" s="93" t="s">
        <v>29</v>
      </c>
      <c r="T73" s="93"/>
      <c r="U73" s="96">
        <v>67</v>
      </c>
      <c r="V73" s="101">
        <v>100</v>
      </c>
      <c r="W73" s="101">
        <v>100</v>
      </c>
      <c r="X73" s="101">
        <v>100</v>
      </c>
      <c r="Y73" s="101">
        <v>100</v>
      </c>
      <c r="Z73" s="101">
        <v>100</v>
      </c>
      <c r="AA73" s="101">
        <v>100</v>
      </c>
      <c r="AB73" s="101">
        <v>100</v>
      </c>
      <c r="AC73" s="96" t="s">
        <v>29</v>
      </c>
      <c r="AD73" s="96"/>
      <c r="AE73" s="93">
        <v>67</v>
      </c>
      <c r="AF73" s="105">
        <v>100</v>
      </c>
      <c r="AG73" s="105">
        <v>100</v>
      </c>
      <c r="AH73" s="105">
        <v>100</v>
      </c>
      <c r="AI73" s="105">
        <v>100</v>
      </c>
      <c r="AJ73" s="105">
        <v>100</v>
      </c>
      <c r="AK73" s="105">
        <v>100</v>
      </c>
      <c r="AL73" s="105">
        <v>100</v>
      </c>
      <c r="AM73" s="93" t="s">
        <v>29</v>
      </c>
      <c r="AN73" s="93"/>
      <c r="AO73" s="23">
        <v>47</v>
      </c>
      <c r="AP73" s="26">
        <v>70</v>
      </c>
      <c r="AQ73" s="26">
        <v>75</v>
      </c>
      <c r="AR73" s="26">
        <v>80</v>
      </c>
      <c r="AS73" s="26">
        <v>85</v>
      </c>
      <c r="AT73" s="26">
        <v>95</v>
      </c>
      <c r="AU73" s="26">
        <v>100</v>
      </c>
      <c r="AV73" s="26">
        <v>100</v>
      </c>
      <c r="AW73" s="23" t="s">
        <v>29</v>
      </c>
      <c r="AX73" s="23"/>
      <c r="AY73" s="93">
        <v>47</v>
      </c>
      <c r="AZ73" s="105">
        <v>100</v>
      </c>
      <c r="BA73" s="105">
        <v>100</v>
      </c>
      <c r="BB73" s="105">
        <v>100</v>
      </c>
      <c r="BC73" s="105">
        <v>100</v>
      </c>
      <c r="BD73" s="105">
        <v>100</v>
      </c>
      <c r="BE73" s="105">
        <v>100</v>
      </c>
      <c r="BF73" s="105">
        <v>100</v>
      </c>
      <c r="BG73" s="93" t="s">
        <v>29</v>
      </c>
      <c r="BH73" s="106"/>
      <c r="BI73" s="1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12"/>
      <c r="CB73" s="12"/>
      <c r="CC73" s="2"/>
    </row>
    <row r="74" spans="1:81" x14ac:dyDescent="0.2">
      <c r="A74" s="96">
        <v>1208</v>
      </c>
      <c r="B74" s="96">
        <v>100</v>
      </c>
      <c r="C74" s="96">
        <v>100</v>
      </c>
      <c r="D74" s="96">
        <v>100</v>
      </c>
      <c r="E74" s="96">
        <v>100</v>
      </c>
      <c r="F74" s="96">
        <v>100</v>
      </c>
      <c r="G74" s="96">
        <v>100</v>
      </c>
      <c r="H74" s="96">
        <v>100</v>
      </c>
      <c r="I74" s="96" t="s">
        <v>29</v>
      </c>
      <c r="J74" s="93"/>
      <c r="K74" s="93">
        <v>1307</v>
      </c>
      <c r="L74" s="93">
        <v>100</v>
      </c>
      <c r="M74" s="93">
        <v>100</v>
      </c>
      <c r="N74" s="93">
        <v>100</v>
      </c>
      <c r="O74" s="93">
        <v>100</v>
      </c>
      <c r="P74" s="93">
        <v>100</v>
      </c>
      <c r="Q74" s="93">
        <v>100</v>
      </c>
      <c r="R74" s="93">
        <v>100</v>
      </c>
      <c r="S74" s="93" t="s">
        <v>29</v>
      </c>
      <c r="T74" s="93"/>
      <c r="U74" s="96">
        <v>68</v>
      </c>
      <c r="V74" s="101">
        <v>100</v>
      </c>
      <c r="W74" s="101">
        <v>100</v>
      </c>
      <c r="X74" s="101">
        <v>100</v>
      </c>
      <c r="Y74" s="101">
        <v>100</v>
      </c>
      <c r="Z74" s="101">
        <v>100</v>
      </c>
      <c r="AA74" s="101">
        <v>100</v>
      </c>
      <c r="AB74" s="101">
        <v>100</v>
      </c>
      <c r="AC74" s="96" t="s">
        <v>29</v>
      </c>
      <c r="AD74" s="96"/>
      <c r="AE74" s="93">
        <v>68</v>
      </c>
      <c r="AF74" s="105">
        <v>100</v>
      </c>
      <c r="AG74" s="105">
        <v>100</v>
      </c>
      <c r="AH74" s="105">
        <v>100</v>
      </c>
      <c r="AI74" s="105">
        <v>100</v>
      </c>
      <c r="AJ74" s="105">
        <v>100</v>
      </c>
      <c r="AK74" s="105">
        <v>100</v>
      </c>
      <c r="AL74" s="105">
        <v>100</v>
      </c>
      <c r="AM74" s="93" t="s">
        <v>29</v>
      </c>
      <c r="AN74" s="93"/>
      <c r="AO74" s="23">
        <v>48</v>
      </c>
      <c r="AP74" s="26">
        <v>75</v>
      </c>
      <c r="AQ74" s="26">
        <v>80</v>
      </c>
      <c r="AR74" s="26">
        <v>85</v>
      </c>
      <c r="AS74" s="26">
        <v>90</v>
      </c>
      <c r="AT74" s="26">
        <v>100</v>
      </c>
      <c r="AU74" s="26">
        <v>100</v>
      </c>
      <c r="AV74" s="26">
        <v>100</v>
      </c>
      <c r="AW74" s="23" t="s">
        <v>29</v>
      </c>
      <c r="AX74" s="23"/>
      <c r="AY74" s="93">
        <v>48</v>
      </c>
      <c r="AZ74" s="105">
        <v>100</v>
      </c>
      <c r="BA74" s="105">
        <v>100</v>
      </c>
      <c r="BB74" s="105">
        <v>100</v>
      </c>
      <c r="BC74" s="105">
        <v>100</v>
      </c>
      <c r="BD74" s="105">
        <v>100</v>
      </c>
      <c r="BE74" s="105">
        <v>100</v>
      </c>
      <c r="BF74" s="105">
        <v>100</v>
      </c>
      <c r="BG74" s="93" t="s">
        <v>29</v>
      </c>
      <c r="BH74" s="106"/>
      <c r="BI74" s="1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12"/>
      <c r="CB74" s="12"/>
      <c r="CC74" s="2"/>
    </row>
    <row r="75" spans="1:81" x14ac:dyDescent="0.2">
      <c r="A75" s="96">
        <v>1209</v>
      </c>
      <c r="B75" s="96">
        <v>100</v>
      </c>
      <c r="C75" s="96">
        <v>100</v>
      </c>
      <c r="D75" s="96">
        <v>100</v>
      </c>
      <c r="E75" s="96">
        <v>100</v>
      </c>
      <c r="F75" s="96">
        <v>100</v>
      </c>
      <c r="G75" s="96">
        <v>100</v>
      </c>
      <c r="H75" s="96">
        <v>100</v>
      </c>
      <c r="I75" s="96" t="s">
        <v>29</v>
      </c>
      <c r="J75" s="93"/>
      <c r="K75" s="93">
        <v>1308</v>
      </c>
      <c r="L75" s="93">
        <v>100</v>
      </c>
      <c r="M75" s="93">
        <v>100</v>
      </c>
      <c r="N75" s="93">
        <v>100</v>
      </c>
      <c r="O75" s="93">
        <v>100</v>
      </c>
      <c r="P75" s="93">
        <v>100</v>
      </c>
      <c r="Q75" s="93">
        <v>100</v>
      </c>
      <c r="R75" s="93">
        <v>100</v>
      </c>
      <c r="S75" s="93" t="s">
        <v>29</v>
      </c>
      <c r="T75" s="93"/>
      <c r="U75" s="96">
        <v>69</v>
      </c>
      <c r="V75" s="101">
        <v>100</v>
      </c>
      <c r="W75" s="101">
        <v>100</v>
      </c>
      <c r="X75" s="101">
        <v>100</v>
      </c>
      <c r="Y75" s="101">
        <v>100</v>
      </c>
      <c r="Z75" s="101">
        <v>100</v>
      </c>
      <c r="AA75" s="101">
        <v>100</v>
      </c>
      <c r="AB75" s="101">
        <v>100</v>
      </c>
      <c r="AC75" s="96" t="s">
        <v>29</v>
      </c>
      <c r="AD75" s="96"/>
      <c r="AE75" s="93">
        <v>69</v>
      </c>
      <c r="AF75" s="105">
        <v>100</v>
      </c>
      <c r="AG75" s="105">
        <v>100</v>
      </c>
      <c r="AH75" s="105">
        <v>100</v>
      </c>
      <c r="AI75" s="105">
        <v>100</v>
      </c>
      <c r="AJ75" s="105">
        <v>100</v>
      </c>
      <c r="AK75" s="105">
        <v>100</v>
      </c>
      <c r="AL75" s="105">
        <v>100</v>
      </c>
      <c r="AM75" s="93" t="s">
        <v>29</v>
      </c>
      <c r="AN75" s="93"/>
      <c r="AO75" s="23">
        <v>49</v>
      </c>
      <c r="AP75" s="26">
        <v>75</v>
      </c>
      <c r="AQ75" s="26">
        <v>80</v>
      </c>
      <c r="AR75" s="26">
        <v>85</v>
      </c>
      <c r="AS75" s="26">
        <v>90</v>
      </c>
      <c r="AT75" s="26">
        <v>100</v>
      </c>
      <c r="AU75" s="26">
        <v>100</v>
      </c>
      <c r="AV75" s="26">
        <v>100</v>
      </c>
      <c r="AW75" s="23" t="s">
        <v>29</v>
      </c>
      <c r="AX75" s="23"/>
      <c r="AY75" s="93">
        <v>49</v>
      </c>
      <c r="AZ75" s="105">
        <v>100</v>
      </c>
      <c r="BA75" s="105">
        <v>100</v>
      </c>
      <c r="BB75" s="105">
        <v>100</v>
      </c>
      <c r="BC75" s="105">
        <v>100</v>
      </c>
      <c r="BD75" s="105">
        <v>100</v>
      </c>
      <c r="BE75" s="105">
        <v>100</v>
      </c>
      <c r="BF75" s="105">
        <v>100</v>
      </c>
      <c r="BG75" s="93" t="s">
        <v>29</v>
      </c>
      <c r="BH75" s="106"/>
      <c r="BI75" s="1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12"/>
      <c r="CB75" s="12"/>
      <c r="CC75" s="2"/>
    </row>
    <row r="76" spans="1:81" x14ac:dyDescent="0.2">
      <c r="A76" s="96">
        <v>1210</v>
      </c>
      <c r="B76" s="96">
        <v>100</v>
      </c>
      <c r="C76" s="96">
        <v>100</v>
      </c>
      <c r="D76" s="96">
        <v>100</v>
      </c>
      <c r="E76" s="96">
        <v>100</v>
      </c>
      <c r="F76" s="96">
        <v>100</v>
      </c>
      <c r="G76" s="96">
        <v>100</v>
      </c>
      <c r="H76" s="96">
        <v>100</v>
      </c>
      <c r="I76" s="96" t="s">
        <v>29</v>
      </c>
      <c r="J76" s="93"/>
      <c r="K76" s="93">
        <v>1309</v>
      </c>
      <c r="L76" s="93">
        <v>100</v>
      </c>
      <c r="M76" s="93">
        <v>100</v>
      </c>
      <c r="N76" s="93">
        <v>100</v>
      </c>
      <c r="O76" s="93">
        <v>100</v>
      </c>
      <c r="P76" s="93">
        <v>100</v>
      </c>
      <c r="Q76" s="93">
        <v>100</v>
      </c>
      <c r="R76" s="93">
        <v>100</v>
      </c>
      <c r="S76" s="93" t="s">
        <v>29</v>
      </c>
      <c r="T76" s="93"/>
      <c r="U76" s="96">
        <v>70</v>
      </c>
      <c r="V76" s="101">
        <v>100</v>
      </c>
      <c r="W76" s="101">
        <v>100</v>
      </c>
      <c r="X76" s="101">
        <v>100</v>
      </c>
      <c r="Y76" s="101">
        <v>100</v>
      </c>
      <c r="Z76" s="101">
        <v>100</v>
      </c>
      <c r="AA76" s="101">
        <v>100</v>
      </c>
      <c r="AB76" s="101">
        <v>100</v>
      </c>
      <c r="AC76" s="96" t="s">
        <v>29</v>
      </c>
      <c r="AD76" s="96"/>
      <c r="AE76" s="93">
        <v>70</v>
      </c>
      <c r="AF76" s="105">
        <v>100</v>
      </c>
      <c r="AG76" s="105">
        <v>100</v>
      </c>
      <c r="AH76" s="105">
        <v>100</v>
      </c>
      <c r="AI76" s="105">
        <v>100</v>
      </c>
      <c r="AJ76" s="105">
        <v>100</v>
      </c>
      <c r="AK76" s="105">
        <v>100</v>
      </c>
      <c r="AL76" s="105">
        <v>100</v>
      </c>
      <c r="AM76" s="93" t="s">
        <v>29</v>
      </c>
      <c r="AN76" s="93"/>
      <c r="AO76" s="23">
        <v>50</v>
      </c>
      <c r="AP76" s="26">
        <v>80</v>
      </c>
      <c r="AQ76" s="26">
        <v>85</v>
      </c>
      <c r="AR76" s="26">
        <v>90</v>
      </c>
      <c r="AS76" s="26">
        <v>95</v>
      </c>
      <c r="AT76" s="26">
        <v>100</v>
      </c>
      <c r="AU76" s="26">
        <v>100</v>
      </c>
      <c r="AV76" s="26">
        <v>100</v>
      </c>
      <c r="AW76" s="23" t="s">
        <v>29</v>
      </c>
      <c r="AX76" s="23"/>
      <c r="AY76" s="93">
        <v>50</v>
      </c>
      <c r="AZ76" s="105">
        <v>100</v>
      </c>
      <c r="BA76" s="105">
        <v>100</v>
      </c>
      <c r="BB76" s="105">
        <v>100</v>
      </c>
      <c r="BC76" s="105">
        <v>100</v>
      </c>
      <c r="BD76" s="105">
        <v>100</v>
      </c>
      <c r="BE76" s="105">
        <v>100</v>
      </c>
      <c r="BF76" s="105">
        <v>100</v>
      </c>
      <c r="BG76" s="93" t="s">
        <v>29</v>
      </c>
      <c r="BH76" s="106"/>
      <c r="BI76" s="1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12"/>
      <c r="CB76" s="12"/>
      <c r="CC76" s="2"/>
    </row>
    <row r="77" spans="1:81" x14ac:dyDescent="0.2">
      <c r="A77" s="96">
        <v>1211</v>
      </c>
      <c r="B77" s="96">
        <v>100</v>
      </c>
      <c r="C77" s="96">
        <v>100</v>
      </c>
      <c r="D77" s="96">
        <v>100</v>
      </c>
      <c r="E77" s="96">
        <v>100</v>
      </c>
      <c r="F77" s="96">
        <v>100</v>
      </c>
      <c r="G77" s="96">
        <v>100</v>
      </c>
      <c r="H77" s="96">
        <v>100</v>
      </c>
      <c r="I77" s="96" t="s">
        <v>29</v>
      </c>
      <c r="J77" s="93"/>
      <c r="K77" s="93">
        <v>1310</v>
      </c>
      <c r="L77" s="93">
        <v>100</v>
      </c>
      <c r="M77" s="93">
        <v>100</v>
      </c>
      <c r="N77" s="93">
        <v>100</v>
      </c>
      <c r="O77" s="93">
        <v>100</v>
      </c>
      <c r="P77" s="93">
        <v>100</v>
      </c>
      <c r="Q77" s="93">
        <v>100</v>
      </c>
      <c r="R77" s="93">
        <v>100</v>
      </c>
      <c r="S77" s="93" t="s">
        <v>29</v>
      </c>
      <c r="T77" s="93"/>
      <c r="U77" s="96">
        <v>71</v>
      </c>
      <c r="V77" s="101">
        <v>100</v>
      </c>
      <c r="W77" s="101">
        <v>100</v>
      </c>
      <c r="X77" s="101">
        <v>100</v>
      </c>
      <c r="Y77" s="101">
        <v>100</v>
      </c>
      <c r="Z77" s="101">
        <v>100</v>
      </c>
      <c r="AA77" s="101">
        <v>100</v>
      </c>
      <c r="AB77" s="101">
        <v>100</v>
      </c>
      <c r="AC77" s="96" t="s">
        <v>29</v>
      </c>
      <c r="AD77" s="96"/>
      <c r="AE77" s="93">
        <v>71</v>
      </c>
      <c r="AF77" s="105">
        <v>100</v>
      </c>
      <c r="AG77" s="105">
        <v>100</v>
      </c>
      <c r="AH77" s="105">
        <v>100</v>
      </c>
      <c r="AI77" s="105">
        <v>100</v>
      </c>
      <c r="AJ77" s="105">
        <v>100</v>
      </c>
      <c r="AK77" s="105">
        <v>100</v>
      </c>
      <c r="AL77" s="105">
        <v>100</v>
      </c>
      <c r="AM77" s="93" t="s">
        <v>29</v>
      </c>
      <c r="AN77" s="93"/>
      <c r="AO77" s="23">
        <v>51</v>
      </c>
      <c r="AP77" s="26">
        <v>80</v>
      </c>
      <c r="AQ77" s="26">
        <v>85</v>
      </c>
      <c r="AR77" s="26">
        <v>90</v>
      </c>
      <c r="AS77" s="26">
        <v>95</v>
      </c>
      <c r="AT77" s="26">
        <v>100</v>
      </c>
      <c r="AU77" s="26">
        <v>100</v>
      </c>
      <c r="AV77" s="26">
        <v>100</v>
      </c>
      <c r="AW77" s="23" t="s">
        <v>29</v>
      </c>
      <c r="AX77" s="23"/>
      <c r="AY77" s="93">
        <v>51</v>
      </c>
      <c r="AZ77" s="105">
        <v>100</v>
      </c>
      <c r="BA77" s="105">
        <v>100</v>
      </c>
      <c r="BB77" s="105">
        <v>100</v>
      </c>
      <c r="BC77" s="105">
        <v>100</v>
      </c>
      <c r="BD77" s="105">
        <v>100</v>
      </c>
      <c r="BE77" s="105">
        <v>100</v>
      </c>
      <c r="BF77" s="105">
        <v>100</v>
      </c>
      <c r="BG77" s="93" t="s">
        <v>29</v>
      </c>
      <c r="BH77" s="106"/>
      <c r="BI77" s="1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12"/>
      <c r="CB77" s="12"/>
      <c r="CC77" s="2"/>
    </row>
    <row r="78" spans="1:81" x14ac:dyDescent="0.2">
      <c r="A78" s="96">
        <v>1212</v>
      </c>
      <c r="B78" s="96">
        <v>100</v>
      </c>
      <c r="C78" s="96">
        <v>100</v>
      </c>
      <c r="D78" s="96">
        <v>100</v>
      </c>
      <c r="E78" s="96">
        <v>100</v>
      </c>
      <c r="F78" s="96">
        <v>100</v>
      </c>
      <c r="G78" s="96">
        <v>100</v>
      </c>
      <c r="H78" s="96">
        <v>100</v>
      </c>
      <c r="I78" s="96" t="s">
        <v>29</v>
      </c>
      <c r="J78" s="93"/>
      <c r="K78" s="93">
        <v>1311</v>
      </c>
      <c r="L78" s="93">
        <v>100</v>
      </c>
      <c r="M78" s="93">
        <v>100</v>
      </c>
      <c r="N78" s="93">
        <v>100</v>
      </c>
      <c r="O78" s="93">
        <v>100</v>
      </c>
      <c r="P78" s="93">
        <v>100</v>
      </c>
      <c r="Q78" s="93">
        <v>100</v>
      </c>
      <c r="R78" s="93">
        <v>100</v>
      </c>
      <c r="S78" s="93" t="s">
        <v>29</v>
      </c>
      <c r="T78" s="93"/>
      <c r="U78" s="96">
        <v>72</v>
      </c>
      <c r="V78" s="101">
        <v>100</v>
      </c>
      <c r="W78" s="101">
        <v>100</v>
      </c>
      <c r="X78" s="101">
        <v>100</v>
      </c>
      <c r="Y78" s="101">
        <v>100</v>
      </c>
      <c r="Z78" s="101">
        <v>100</v>
      </c>
      <c r="AA78" s="101">
        <v>100</v>
      </c>
      <c r="AB78" s="101">
        <v>100</v>
      </c>
      <c r="AC78" s="96" t="s">
        <v>29</v>
      </c>
      <c r="AD78" s="96"/>
      <c r="AE78" s="93">
        <v>72</v>
      </c>
      <c r="AF78" s="105">
        <v>100</v>
      </c>
      <c r="AG78" s="105">
        <v>100</v>
      </c>
      <c r="AH78" s="105">
        <v>100</v>
      </c>
      <c r="AI78" s="105">
        <v>100</v>
      </c>
      <c r="AJ78" s="105">
        <v>100</v>
      </c>
      <c r="AK78" s="105">
        <v>100</v>
      </c>
      <c r="AL78" s="105">
        <v>100</v>
      </c>
      <c r="AM78" s="93" t="s">
        <v>29</v>
      </c>
      <c r="AN78" s="93"/>
      <c r="AO78" s="23">
        <v>52</v>
      </c>
      <c r="AP78" s="26">
        <v>85</v>
      </c>
      <c r="AQ78" s="26">
        <v>90</v>
      </c>
      <c r="AR78" s="26">
        <v>95</v>
      </c>
      <c r="AS78" s="26">
        <v>100</v>
      </c>
      <c r="AT78" s="26">
        <v>100</v>
      </c>
      <c r="AU78" s="26">
        <v>100</v>
      </c>
      <c r="AV78" s="26">
        <v>100</v>
      </c>
      <c r="AW78" s="23" t="s">
        <v>29</v>
      </c>
      <c r="AX78" s="23"/>
      <c r="AY78" s="93">
        <v>52</v>
      </c>
      <c r="AZ78" s="105">
        <v>100</v>
      </c>
      <c r="BA78" s="105">
        <v>100</v>
      </c>
      <c r="BB78" s="105">
        <v>100</v>
      </c>
      <c r="BC78" s="105">
        <v>100</v>
      </c>
      <c r="BD78" s="105">
        <v>100</v>
      </c>
      <c r="BE78" s="105">
        <v>100</v>
      </c>
      <c r="BF78" s="105">
        <v>100</v>
      </c>
      <c r="BG78" s="93" t="s">
        <v>29</v>
      </c>
      <c r="BH78" s="106"/>
      <c r="BI78" s="1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12"/>
      <c r="CB78" s="12"/>
      <c r="CC78" s="2"/>
    </row>
    <row r="79" spans="1:81" x14ac:dyDescent="0.2">
      <c r="A79" s="96">
        <v>1213</v>
      </c>
      <c r="B79" s="96">
        <v>100</v>
      </c>
      <c r="C79" s="96">
        <v>100</v>
      </c>
      <c r="D79" s="96">
        <v>100</v>
      </c>
      <c r="E79" s="96">
        <v>100</v>
      </c>
      <c r="F79" s="96">
        <v>100</v>
      </c>
      <c r="G79" s="96">
        <v>100</v>
      </c>
      <c r="H79" s="96">
        <v>100</v>
      </c>
      <c r="I79" s="96" t="s">
        <v>29</v>
      </c>
      <c r="J79" s="93"/>
      <c r="K79" s="93">
        <v>1312</v>
      </c>
      <c r="L79" s="93">
        <v>100</v>
      </c>
      <c r="M79" s="93">
        <v>100</v>
      </c>
      <c r="N79" s="93">
        <v>100</v>
      </c>
      <c r="O79" s="93">
        <v>100</v>
      </c>
      <c r="P79" s="93">
        <v>100</v>
      </c>
      <c r="Q79" s="93">
        <v>100</v>
      </c>
      <c r="R79" s="93">
        <v>100</v>
      </c>
      <c r="S79" s="93" t="s">
        <v>29</v>
      </c>
      <c r="T79" s="93"/>
      <c r="U79" s="96">
        <v>73</v>
      </c>
      <c r="V79" s="101">
        <v>100</v>
      </c>
      <c r="W79" s="101">
        <v>100</v>
      </c>
      <c r="X79" s="101">
        <v>100</v>
      </c>
      <c r="Y79" s="101">
        <v>100</v>
      </c>
      <c r="Z79" s="101">
        <v>100</v>
      </c>
      <c r="AA79" s="101">
        <v>100</v>
      </c>
      <c r="AB79" s="101">
        <v>100</v>
      </c>
      <c r="AC79" s="96" t="s">
        <v>29</v>
      </c>
      <c r="AD79" s="96"/>
      <c r="AE79" s="93">
        <v>73</v>
      </c>
      <c r="AF79" s="105">
        <v>100</v>
      </c>
      <c r="AG79" s="105">
        <v>100</v>
      </c>
      <c r="AH79" s="105">
        <v>100</v>
      </c>
      <c r="AI79" s="105">
        <v>100</v>
      </c>
      <c r="AJ79" s="105">
        <v>100</v>
      </c>
      <c r="AK79" s="105">
        <v>100</v>
      </c>
      <c r="AL79" s="105">
        <v>100</v>
      </c>
      <c r="AM79" s="93" t="s">
        <v>29</v>
      </c>
      <c r="AN79" s="93"/>
      <c r="AO79" s="23">
        <v>53</v>
      </c>
      <c r="AP79" s="26">
        <v>85</v>
      </c>
      <c r="AQ79" s="26">
        <v>90</v>
      </c>
      <c r="AR79" s="26">
        <v>95</v>
      </c>
      <c r="AS79" s="26">
        <v>100</v>
      </c>
      <c r="AT79" s="26">
        <v>100</v>
      </c>
      <c r="AU79" s="26">
        <v>100</v>
      </c>
      <c r="AV79" s="26">
        <v>100</v>
      </c>
      <c r="AW79" s="23" t="s">
        <v>29</v>
      </c>
      <c r="AX79" s="23"/>
      <c r="AY79" s="93">
        <v>53</v>
      </c>
      <c r="AZ79" s="105">
        <v>100</v>
      </c>
      <c r="BA79" s="105">
        <v>100</v>
      </c>
      <c r="BB79" s="105">
        <v>100</v>
      </c>
      <c r="BC79" s="105">
        <v>100</v>
      </c>
      <c r="BD79" s="105">
        <v>100</v>
      </c>
      <c r="BE79" s="105">
        <v>100</v>
      </c>
      <c r="BF79" s="105">
        <v>100</v>
      </c>
      <c r="BG79" s="93" t="s">
        <v>29</v>
      </c>
      <c r="BH79" s="106"/>
      <c r="BI79" s="1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12"/>
      <c r="CB79" s="12"/>
      <c r="CC79" s="2"/>
    </row>
    <row r="80" spans="1:81" x14ac:dyDescent="0.2">
      <c r="A80" s="96">
        <v>1214</v>
      </c>
      <c r="B80" s="96">
        <v>100</v>
      </c>
      <c r="C80" s="96">
        <v>100</v>
      </c>
      <c r="D80" s="96">
        <v>100</v>
      </c>
      <c r="E80" s="96">
        <v>100</v>
      </c>
      <c r="F80" s="96">
        <v>100</v>
      </c>
      <c r="G80" s="96">
        <v>100</v>
      </c>
      <c r="H80" s="96">
        <v>100</v>
      </c>
      <c r="I80" s="96" t="s">
        <v>29</v>
      </c>
      <c r="J80" s="93"/>
      <c r="K80" s="93">
        <v>1313</v>
      </c>
      <c r="L80" s="93">
        <v>100</v>
      </c>
      <c r="M80" s="93">
        <v>100</v>
      </c>
      <c r="N80" s="93">
        <v>100</v>
      </c>
      <c r="O80" s="93">
        <v>100</v>
      </c>
      <c r="P80" s="93">
        <v>100</v>
      </c>
      <c r="Q80" s="93">
        <v>100</v>
      </c>
      <c r="R80" s="93">
        <v>100</v>
      </c>
      <c r="S80" s="93" t="s">
        <v>29</v>
      </c>
      <c r="T80" s="93"/>
      <c r="U80" s="96">
        <v>74</v>
      </c>
      <c r="V80" s="101">
        <v>100</v>
      </c>
      <c r="W80" s="101">
        <v>100</v>
      </c>
      <c r="X80" s="101">
        <v>100</v>
      </c>
      <c r="Y80" s="101">
        <v>100</v>
      </c>
      <c r="Z80" s="101">
        <v>100</v>
      </c>
      <c r="AA80" s="101">
        <v>100</v>
      </c>
      <c r="AB80" s="101">
        <v>100</v>
      </c>
      <c r="AC80" s="96" t="s">
        <v>29</v>
      </c>
      <c r="AD80" s="96"/>
      <c r="AE80" s="93">
        <v>74</v>
      </c>
      <c r="AF80" s="105">
        <v>100</v>
      </c>
      <c r="AG80" s="105">
        <v>100</v>
      </c>
      <c r="AH80" s="105">
        <v>100</v>
      </c>
      <c r="AI80" s="105">
        <v>100</v>
      </c>
      <c r="AJ80" s="105">
        <v>100</v>
      </c>
      <c r="AK80" s="105">
        <v>100</v>
      </c>
      <c r="AL80" s="105">
        <v>100</v>
      </c>
      <c r="AM80" s="93" t="s">
        <v>29</v>
      </c>
      <c r="AN80" s="93"/>
      <c r="AO80" s="26">
        <v>54</v>
      </c>
      <c r="AP80" s="26">
        <v>90</v>
      </c>
      <c r="AQ80" s="26">
        <v>95</v>
      </c>
      <c r="AR80" s="26">
        <v>100</v>
      </c>
      <c r="AS80" s="26">
        <v>100</v>
      </c>
      <c r="AT80" s="26">
        <v>100</v>
      </c>
      <c r="AU80" s="26">
        <v>100</v>
      </c>
      <c r="AV80" s="26">
        <v>100</v>
      </c>
      <c r="AW80" s="23" t="s">
        <v>29</v>
      </c>
      <c r="AX80" s="23"/>
      <c r="AY80" s="105">
        <v>54</v>
      </c>
      <c r="AZ80" s="105">
        <v>100</v>
      </c>
      <c r="BA80" s="105">
        <v>100</v>
      </c>
      <c r="BB80" s="105">
        <v>100</v>
      </c>
      <c r="BC80" s="105">
        <v>100</v>
      </c>
      <c r="BD80" s="105">
        <v>100</v>
      </c>
      <c r="BE80" s="105">
        <v>100</v>
      </c>
      <c r="BF80" s="105">
        <v>100</v>
      </c>
      <c r="BG80" s="93" t="s">
        <v>29</v>
      </c>
      <c r="BH80" s="106"/>
      <c r="BI80" s="1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12"/>
      <c r="CB80" s="12"/>
      <c r="CC80" s="2"/>
    </row>
    <row r="81" spans="1:81" x14ac:dyDescent="0.2">
      <c r="A81" s="96">
        <v>1215</v>
      </c>
      <c r="B81" s="96">
        <v>100</v>
      </c>
      <c r="C81" s="96">
        <v>100</v>
      </c>
      <c r="D81" s="96">
        <v>100</v>
      </c>
      <c r="E81" s="96">
        <v>100</v>
      </c>
      <c r="F81" s="96">
        <v>100</v>
      </c>
      <c r="G81" s="96">
        <v>100</v>
      </c>
      <c r="H81" s="96">
        <v>100</v>
      </c>
      <c r="I81" s="96" t="s">
        <v>29</v>
      </c>
      <c r="J81" s="93"/>
      <c r="K81" s="93">
        <v>1314</v>
      </c>
      <c r="L81" s="93">
        <v>100</v>
      </c>
      <c r="M81" s="93">
        <v>100</v>
      </c>
      <c r="N81" s="93">
        <v>100</v>
      </c>
      <c r="O81" s="93">
        <v>100</v>
      </c>
      <c r="P81" s="93">
        <v>100</v>
      </c>
      <c r="Q81" s="93">
        <v>100</v>
      </c>
      <c r="R81" s="93">
        <v>100</v>
      </c>
      <c r="S81" s="93" t="s">
        <v>29</v>
      </c>
      <c r="T81" s="93"/>
      <c r="U81" s="96">
        <v>75</v>
      </c>
      <c r="V81" s="101">
        <v>100</v>
      </c>
      <c r="W81" s="101">
        <v>100</v>
      </c>
      <c r="X81" s="101">
        <v>100</v>
      </c>
      <c r="Y81" s="101">
        <v>100</v>
      </c>
      <c r="Z81" s="101">
        <v>100</v>
      </c>
      <c r="AA81" s="101">
        <v>100</v>
      </c>
      <c r="AB81" s="101">
        <v>100</v>
      </c>
      <c r="AC81" s="96" t="s">
        <v>29</v>
      </c>
      <c r="AD81" s="96"/>
      <c r="AE81" s="93">
        <v>75</v>
      </c>
      <c r="AF81" s="105">
        <v>100</v>
      </c>
      <c r="AG81" s="105">
        <v>100</v>
      </c>
      <c r="AH81" s="105">
        <v>100</v>
      </c>
      <c r="AI81" s="105">
        <v>100</v>
      </c>
      <c r="AJ81" s="105">
        <v>100</v>
      </c>
      <c r="AK81" s="105">
        <v>100</v>
      </c>
      <c r="AL81" s="105">
        <v>100</v>
      </c>
      <c r="AM81" s="93" t="s">
        <v>29</v>
      </c>
      <c r="AN81" s="93"/>
      <c r="AO81" s="23">
        <v>55</v>
      </c>
      <c r="AP81" s="26">
        <v>90</v>
      </c>
      <c r="AQ81" s="26">
        <v>95</v>
      </c>
      <c r="AR81" s="26">
        <v>100</v>
      </c>
      <c r="AS81" s="26">
        <v>100</v>
      </c>
      <c r="AT81" s="26">
        <v>100</v>
      </c>
      <c r="AU81" s="26">
        <v>100</v>
      </c>
      <c r="AV81" s="26">
        <v>100</v>
      </c>
      <c r="AW81" s="23" t="s">
        <v>29</v>
      </c>
      <c r="AX81" s="23"/>
      <c r="AY81" s="93">
        <v>55</v>
      </c>
      <c r="AZ81" s="105">
        <v>100</v>
      </c>
      <c r="BA81" s="105">
        <v>100</v>
      </c>
      <c r="BB81" s="105">
        <v>100</v>
      </c>
      <c r="BC81" s="105">
        <v>100</v>
      </c>
      <c r="BD81" s="105">
        <v>100</v>
      </c>
      <c r="BE81" s="105">
        <v>100</v>
      </c>
      <c r="BF81" s="105">
        <v>100</v>
      </c>
      <c r="BG81" s="93" t="s">
        <v>29</v>
      </c>
      <c r="BH81" s="106"/>
      <c r="BI81" s="1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12"/>
      <c r="CB81" s="12"/>
      <c r="CC81" s="2"/>
    </row>
    <row r="82" spans="1:81" x14ac:dyDescent="0.2">
      <c r="A82" s="96">
        <v>1216</v>
      </c>
      <c r="B82" s="96">
        <v>100</v>
      </c>
      <c r="C82" s="96">
        <v>100</v>
      </c>
      <c r="D82" s="96">
        <v>100</v>
      </c>
      <c r="E82" s="96">
        <v>100</v>
      </c>
      <c r="F82" s="96">
        <v>100</v>
      </c>
      <c r="G82" s="96">
        <v>100</v>
      </c>
      <c r="H82" s="96">
        <v>100</v>
      </c>
      <c r="I82" s="96" t="s">
        <v>29</v>
      </c>
      <c r="J82" s="93"/>
      <c r="K82" s="93">
        <v>1315</v>
      </c>
      <c r="L82" s="93">
        <v>100</v>
      </c>
      <c r="M82" s="93">
        <v>100</v>
      </c>
      <c r="N82" s="93">
        <v>100</v>
      </c>
      <c r="O82" s="93">
        <v>100</v>
      </c>
      <c r="P82" s="93">
        <v>100</v>
      </c>
      <c r="Q82" s="93">
        <v>100</v>
      </c>
      <c r="R82" s="93">
        <v>100</v>
      </c>
      <c r="S82" s="93" t="s">
        <v>29</v>
      </c>
      <c r="T82" s="93"/>
      <c r="U82" s="96">
        <v>76</v>
      </c>
      <c r="V82" s="101">
        <v>100</v>
      </c>
      <c r="W82" s="101">
        <v>100</v>
      </c>
      <c r="X82" s="101">
        <v>100</v>
      </c>
      <c r="Y82" s="101">
        <v>100</v>
      </c>
      <c r="Z82" s="101">
        <v>100</v>
      </c>
      <c r="AA82" s="101">
        <v>100</v>
      </c>
      <c r="AB82" s="101">
        <v>100</v>
      </c>
      <c r="AC82" s="96" t="s">
        <v>29</v>
      </c>
      <c r="AD82" s="96"/>
      <c r="AE82" s="93">
        <v>76</v>
      </c>
      <c r="AF82" s="105">
        <v>100</v>
      </c>
      <c r="AG82" s="105">
        <v>100</v>
      </c>
      <c r="AH82" s="105">
        <v>100</v>
      </c>
      <c r="AI82" s="105">
        <v>100</v>
      </c>
      <c r="AJ82" s="105">
        <v>100</v>
      </c>
      <c r="AK82" s="105">
        <v>100</v>
      </c>
      <c r="AL82" s="105">
        <v>100</v>
      </c>
      <c r="AM82" s="93" t="s">
        <v>29</v>
      </c>
      <c r="AN82" s="93"/>
      <c r="AO82" s="26">
        <v>56</v>
      </c>
      <c r="AP82" s="26">
        <v>95</v>
      </c>
      <c r="AQ82" s="26">
        <v>100</v>
      </c>
      <c r="AR82" s="26">
        <v>100</v>
      </c>
      <c r="AS82" s="26">
        <v>100</v>
      </c>
      <c r="AT82" s="26">
        <v>100</v>
      </c>
      <c r="AU82" s="26">
        <v>100</v>
      </c>
      <c r="AV82" s="26">
        <v>100</v>
      </c>
      <c r="AW82" s="23" t="s">
        <v>29</v>
      </c>
      <c r="AX82" s="23"/>
      <c r="AY82" s="105">
        <v>56</v>
      </c>
      <c r="AZ82" s="105">
        <v>100</v>
      </c>
      <c r="BA82" s="105">
        <v>100</v>
      </c>
      <c r="BB82" s="105">
        <v>100</v>
      </c>
      <c r="BC82" s="105">
        <v>100</v>
      </c>
      <c r="BD82" s="105">
        <v>100</v>
      </c>
      <c r="BE82" s="105">
        <v>100</v>
      </c>
      <c r="BF82" s="105">
        <v>100</v>
      </c>
      <c r="BG82" s="93" t="s">
        <v>29</v>
      </c>
      <c r="BH82" s="106"/>
      <c r="BI82" s="1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12"/>
      <c r="CB82" s="12"/>
      <c r="CC82" s="2"/>
    </row>
    <row r="83" spans="1:81" x14ac:dyDescent="0.2">
      <c r="A83" s="96">
        <v>1217</v>
      </c>
      <c r="B83" s="96">
        <v>100</v>
      </c>
      <c r="C83" s="96">
        <v>100</v>
      </c>
      <c r="D83" s="96">
        <v>100</v>
      </c>
      <c r="E83" s="96">
        <v>100</v>
      </c>
      <c r="F83" s="96">
        <v>100</v>
      </c>
      <c r="G83" s="96">
        <v>100</v>
      </c>
      <c r="H83" s="96">
        <v>100</v>
      </c>
      <c r="I83" s="96" t="s">
        <v>29</v>
      </c>
      <c r="J83" s="93"/>
      <c r="K83" s="93">
        <v>1316</v>
      </c>
      <c r="L83" s="93">
        <v>100</v>
      </c>
      <c r="M83" s="93">
        <v>100</v>
      </c>
      <c r="N83" s="93">
        <v>100</v>
      </c>
      <c r="O83" s="93">
        <v>100</v>
      </c>
      <c r="P83" s="93">
        <v>100</v>
      </c>
      <c r="Q83" s="93">
        <v>100</v>
      </c>
      <c r="R83" s="93">
        <v>100</v>
      </c>
      <c r="S83" s="93" t="s">
        <v>29</v>
      </c>
      <c r="T83" s="93"/>
      <c r="U83" s="96">
        <v>77</v>
      </c>
      <c r="V83" s="101">
        <v>100</v>
      </c>
      <c r="W83" s="101">
        <v>100</v>
      </c>
      <c r="X83" s="101">
        <v>100</v>
      </c>
      <c r="Y83" s="101">
        <v>100</v>
      </c>
      <c r="Z83" s="101">
        <v>100</v>
      </c>
      <c r="AA83" s="101">
        <v>100</v>
      </c>
      <c r="AB83" s="101">
        <v>100</v>
      </c>
      <c r="AC83" s="96" t="s">
        <v>29</v>
      </c>
      <c r="AD83" s="96"/>
      <c r="AE83" s="93">
        <v>77</v>
      </c>
      <c r="AF83" s="105">
        <v>100</v>
      </c>
      <c r="AG83" s="105">
        <v>100</v>
      </c>
      <c r="AH83" s="105">
        <v>100</v>
      </c>
      <c r="AI83" s="105">
        <v>100</v>
      </c>
      <c r="AJ83" s="105">
        <v>100</v>
      </c>
      <c r="AK83" s="105">
        <v>100</v>
      </c>
      <c r="AL83" s="105">
        <v>100</v>
      </c>
      <c r="AM83" s="93" t="s">
        <v>29</v>
      </c>
      <c r="AN83" s="93"/>
      <c r="AO83" s="26">
        <v>57</v>
      </c>
      <c r="AP83" s="26">
        <v>95</v>
      </c>
      <c r="AQ83" s="26">
        <v>100</v>
      </c>
      <c r="AR83" s="26">
        <v>100</v>
      </c>
      <c r="AS83" s="26">
        <v>100</v>
      </c>
      <c r="AT83" s="26">
        <v>100</v>
      </c>
      <c r="AU83" s="26">
        <v>100</v>
      </c>
      <c r="AV83" s="26">
        <v>100</v>
      </c>
      <c r="AW83" s="23" t="s">
        <v>29</v>
      </c>
      <c r="AX83" s="23"/>
      <c r="AY83" s="105">
        <v>57</v>
      </c>
      <c r="AZ83" s="105">
        <v>100</v>
      </c>
      <c r="BA83" s="105">
        <v>100</v>
      </c>
      <c r="BB83" s="105">
        <v>100</v>
      </c>
      <c r="BC83" s="105">
        <v>100</v>
      </c>
      <c r="BD83" s="105">
        <v>100</v>
      </c>
      <c r="BE83" s="105">
        <v>100</v>
      </c>
      <c r="BF83" s="105">
        <v>100</v>
      </c>
      <c r="BG83" s="93" t="s">
        <v>29</v>
      </c>
      <c r="BH83" s="106"/>
      <c r="BI83" s="1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12"/>
      <c r="CB83" s="12"/>
      <c r="CC83" s="2"/>
    </row>
    <row r="84" spans="1:81" x14ac:dyDescent="0.2">
      <c r="A84" s="96">
        <v>1218</v>
      </c>
      <c r="B84" s="96">
        <v>100</v>
      </c>
      <c r="C84" s="96">
        <v>100</v>
      </c>
      <c r="D84" s="96">
        <v>100</v>
      </c>
      <c r="E84" s="96">
        <v>100</v>
      </c>
      <c r="F84" s="96">
        <v>100</v>
      </c>
      <c r="G84" s="96">
        <v>100</v>
      </c>
      <c r="H84" s="96">
        <v>100</v>
      </c>
      <c r="I84" s="96" t="s">
        <v>29</v>
      </c>
      <c r="J84" s="93"/>
      <c r="K84" s="93">
        <v>1317</v>
      </c>
      <c r="L84" s="93">
        <v>100</v>
      </c>
      <c r="M84" s="93">
        <v>100</v>
      </c>
      <c r="N84" s="93">
        <v>100</v>
      </c>
      <c r="O84" s="93">
        <v>100</v>
      </c>
      <c r="P84" s="93">
        <v>100</v>
      </c>
      <c r="Q84" s="93">
        <v>100</v>
      </c>
      <c r="R84" s="93">
        <v>100</v>
      </c>
      <c r="S84" s="93" t="s">
        <v>29</v>
      </c>
      <c r="T84" s="93"/>
      <c r="U84" s="96">
        <v>78</v>
      </c>
      <c r="V84" s="101">
        <v>100</v>
      </c>
      <c r="W84" s="101">
        <v>100</v>
      </c>
      <c r="X84" s="101">
        <v>100</v>
      </c>
      <c r="Y84" s="101">
        <v>100</v>
      </c>
      <c r="Z84" s="101">
        <v>100</v>
      </c>
      <c r="AA84" s="101">
        <v>100</v>
      </c>
      <c r="AB84" s="101">
        <v>100</v>
      </c>
      <c r="AC84" s="96" t="s">
        <v>29</v>
      </c>
      <c r="AD84" s="96"/>
      <c r="AE84" s="93">
        <v>78</v>
      </c>
      <c r="AF84" s="105">
        <v>100</v>
      </c>
      <c r="AG84" s="105">
        <v>100</v>
      </c>
      <c r="AH84" s="105">
        <v>100</v>
      </c>
      <c r="AI84" s="105">
        <v>100</v>
      </c>
      <c r="AJ84" s="105">
        <v>100</v>
      </c>
      <c r="AK84" s="105">
        <v>100</v>
      </c>
      <c r="AL84" s="105">
        <v>100</v>
      </c>
      <c r="AM84" s="93" t="s">
        <v>29</v>
      </c>
      <c r="AN84" s="93"/>
      <c r="AO84" s="23">
        <v>58</v>
      </c>
      <c r="AP84" s="26">
        <v>100</v>
      </c>
      <c r="AQ84" s="26">
        <v>100</v>
      </c>
      <c r="AR84" s="26">
        <v>100</v>
      </c>
      <c r="AS84" s="26">
        <v>100</v>
      </c>
      <c r="AT84" s="26">
        <v>100</v>
      </c>
      <c r="AU84" s="26">
        <v>100</v>
      </c>
      <c r="AV84" s="26">
        <v>100</v>
      </c>
      <c r="AW84" s="23" t="s">
        <v>29</v>
      </c>
      <c r="AX84" s="23"/>
      <c r="AY84" s="93">
        <v>58</v>
      </c>
      <c r="AZ84" s="105">
        <v>100</v>
      </c>
      <c r="BA84" s="105">
        <v>100</v>
      </c>
      <c r="BB84" s="105">
        <v>100</v>
      </c>
      <c r="BC84" s="105">
        <v>100</v>
      </c>
      <c r="BD84" s="105">
        <v>100</v>
      </c>
      <c r="BE84" s="105">
        <v>100</v>
      </c>
      <c r="BF84" s="105">
        <v>100</v>
      </c>
      <c r="BG84" s="93" t="s">
        <v>29</v>
      </c>
      <c r="BH84" s="106"/>
      <c r="BI84" s="1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12"/>
      <c r="CB84" s="12"/>
      <c r="CC84" s="2"/>
    </row>
    <row r="85" spans="1:81" x14ac:dyDescent="0.2">
      <c r="A85" s="96">
        <v>1219</v>
      </c>
      <c r="B85" s="96">
        <v>100</v>
      </c>
      <c r="C85" s="96">
        <v>100</v>
      </c>
      <c r="D85" s="96">
        <v>100</v>
      </c>
      <c r="E85" s="96">
        <v>100</v>
      </c>
      <c r="F85" s="96">
        <v>100</v>
      </c>
      <c r="G85" s="96">
        <v>100</v>
      </c>
      <c r="H85" s="96">
        <v>100</v>
      </c>
      <c r="I85" s="96" t="s">
        <v>29</v>
      </c>
      <c r="J85" s="93"/>
      <c r="K85" s="93">
        <v>1318</v>
      </c>
      <c r="L85" s="93">
        <v>100</v>
      </c>
      <c r="M85" s="93">
        <v>100</v>
      </c>
      <c r="N85" s="93">
        <v>100</v>
      </c>
      <c r="O85" s="93">
        <v>100</v>
      </c>
      <c r="P85" s="93">
        <v>100</v>
      </c>
      <c r="Q85" s="93">
        <v>100</v>
      </c>
      <c r="R85" s="93">
        <v>100</v>
      </c>
      <c r="S85" s="93" t="s">
        <v>29</v>
      </c>
      <c r="T85" s="93"/>
      <c r="U85" s="96">
        <v>79</v>
      </c>
      <c r="V85" s="101">
        <v>100</v>
      </c>
      <c r="W85" s="101">
        <v>100</v>
      </c>
      <c r="X85" s="101">
        <v>100</v>
      </c>
      <c r="Y85" s="101">
        <v>100</v>
      </c>
      <c r="Z85" s="101">
        <v>100</v>
      </c>
      <c r="AA85" s="101">
        <v>100</v>
      </c>
      <c r="AB85" s="101">
        <v>100</v>
      </c>
      <c r="AC85" s="96" t="s">
        <v>29</v>
      </c>
      <c r="AD85" s="96"/>
      <c r="AE85" s="93">
        <v>79</v>
      </c>
      <c r="AF85" s="105">
        <v>100</v>
      </c>
      <c r="AG85" s="105">
        <v>100</v>
      </c>
      <c r="AH85" s="105">
        <v>100</v>
      </c>
      <c r="AI85" s="105">
        <v>100</v>
      </c>
      <c r="AJ85" s="105">
        <v>100</v>
      </c>
      <c r="AK85" s="105">
        <v>100</v>
      </c>
      <c r="AL85" s="105">
        <v>100</v>
      </c>
      <c r="AM85" s="93" t="s">
        <v>29</v>
      </c>
      <c r="AN85" s="93"/>
      <c r="AO85" s="23">
        <v>59</v>
      </c>
      <c r="AP85" s="26">
        <v>100</v>
      </c>
      <c r="AQ85" s="26">
        <v>100</v>
      </c>
      <c r="AR85" s="26">
        <v>100</v>
      </c>
      <c r="AS85" s="26">
        <v>100</v>
      </c>
      <c r="AT85" s="26">
        <v>100</v>
      </c>
      <c r="AU85" s="26">
        <v>100</v>
      </c>
      <c r="AV85" s="26">
        <v>100</v>
      </c>
      <c r="AW85" s="23" t="s">
        <v>29</v>
      </c>
      <c r="AX85" s="23"/>
      <c r="AY85" s="93">
        <v>59</v>
      </c>
      <c r="AZ85" s="105">
        <v>100</v>
      </c>
      <c r="BA85" s="105">
        <v>100</v>
      </c>
      <c r="BB85" s="105">
        <v>100</v>
      </c>
      <c r="BC85" s="105">
        <v>100</v>
      </c>
      <c r="BD85" s="105">
        <v>100</v>
      </c>
      <c r="BE85" s="105">
        <v>100</v>
      </c>
      <c r="BF85" s="105">
        <v>100</v>
      </c>
      <c r="BG85" s="93" t="s">
        <v>29</v>
      </c>
      <c r="BH85" s="106"/>
      <c r="BI85" s="1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12"/>
      <c r="CB85" s="12"/>
      <c r="CC85" s="2"/>
    </row>
    <row r="86" spans="1:81" x14ac:dyDescent="0.2">
      <c r="A86" s="96">
        <v>1220</v>
      </c>
      <c r="B86" s="96">
        <v>100</v>
      </c>
      <c r="C86" s="96">
        <v>100</v>
      </c>
      <c r="D86" s="96">
        <v>100</v>
      </c>
      <c r="E86" s="96">
        <v>100</v>
      </c>
      <c r="F86" s="96">
        <v>100</v>
      </c>
      <c r="G86" s="96">
        <v>100</v>
      </c>
      <c r="H86" s="96">
        <v>100</v>
      </c>
      <c r="I86" s="96" t="s">
        <v>29</v>
      </c>
      <c r="J86" s="93"/>
      <c r="K86" s="93">
        <v>1319</v>
      </c>
      <c r="L86" s="93">
        <v>100</v>
      </c>
      <c r="M86" s="93">
        <v>100</v>
      </c>
      <c r="N86" s="93">
        <v>100</v>
      </c>
      <c r="O86" s="93">
        <v>100</v>
      </c>
      <c r="P86" s="93">
        <v>100</v>
      </c>
      <c r="Q86" s="93">
        <v>100</v>
      </c>
      <c r="R86" s="93">
        <v>100</v>
      </c>
      <c r="S86" s="93" t="s">
        <v>29</v>
      </c>
      <c r="T86" s="93"/>
      <c r="U86" s="96">
        <v>80</v>
      </c>
      <c r="V86" s="101">
        <v>100</v>
      </c>
      <c r="W86" s="101">
        <v>100</v>
      </c>
      <c r="X86" s="101">
        <v>100</v>
      </c>
      <c r="Y86" s="101">
        <v>100</v>
      </c>
      <c r="Z86" s="101">
        <v>100</v>
      </c>
      <c r="AA86" s="101">
        <v>100</v>
      </c>
      <c r="AB86" s="101">
        <v>100</v>
      </c>
      <c r="AC86" s="96" t="s">
        <v>29</v>
      </c>
      <c r="AD86" s="96"/>
      <c r="AE86" s="93">
        <v>80</v>
      </c>
      <c r="AF86" s="105">
        <v>100</v>
      </c>
      <c r="AG86" s="105">
        <v>100</v>
      </c>
      <c r="AH86" s="105">
        <v>100</v>
      </c>
      <c r="AI86" s="105">
        <v>100</v>
      </c>
      <c r="AJ86" s="105">
        <v>100</v>
      </c>
      <c r="AK86" s="105">
        <v>100</v>
      </c>
      <c r="AL86" s="105">
        <v>100</v>
      </c>
      <c r="AM86" s="93" t="s">
        <v>29</v>
      </c>
      <c r="AN86" s="93"/>
      <c r="AO86" s="23">
        <v>60</v>
      </c>
      <c r="AP86" s="26">
        <v>100</v>
      </c>
      <c r="AQ86" s="26">
        <v>100</v>
      </c>
      <c r="AR86" s="26">
        <v>100</v>
      </c>
      <c r="AS86" s="26">
        <v>100</v>
      </c>
      <c r="AT86" s="26">
        <v>100</v>
      </c>
      <c r="AU86" s="26">
        <v>100</v>
      </c>
      <c r="AV86" s="26">
        <v>100</v>
      </c>
      <c r="AW86" s="23" t="s">
        <v>29</v>
      </c>
      <c r="AX86" s="23"/>
      <c r="AY86" s="93">
        <v>60</v>
      </c>
      <c r="AZ86" s="105">
        <v>100</v>
      </c>
      <c r="BA86" s="105">
        <v>100</v>
      </c>
      <c r="BB86" s="105">
        <v>100</v>
      </c>
      <c r="BC86" s="105">
        <v>100</v>
      </c>
      <c r="BD86" s="105">
        <v>100</v>
      </c>
      <c r="BE86" s="105">
        <v>100</v>
      </c>
      <c r="BF86" s="105">
        <v>100</v>
      </c>
      <c r="BG86" s="93" t="s">
        <v>29</v>
      </c>
      <c r="BH86" s="106"/>
      <c r="BI86" s="1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12"/>
      <c r="CB86" s="12"/>
      <c r="CC86" s="2"/>
    </row>
    <row r="87" spans="1:81" x14ac:dyDescent="0.2">
      <c r="A87" s="96">
        <v>1221</v>
      </c>
      <c r="B87" s="96">
        <v>100</v>
      </c>
      <c r="C87" s="96">
        <v>100</v>
      </c>
      <c r="D87" s="96">
        <v>100</v>
      </c>
      <c r="E87" s="96">
        <v>100</v>
      </c>
      <c r="F87" s="96">
        <v>100</v>
      </c>
      <c r="G87" s="96">
        <v>100</v>
      </c>
      <c r="H87" s="96">
        <v>100</v>
      </c>
      <c r="I87" s="96" t="s">
        <v>29</v>
      </c>
      <c r="J87" s="93"/>
      <c r="K87" s="93">
        <v>1320</v>
      </c>
      <c r="L87" s="93">
        <v>100</v>
      </c>
      <c r="M87" s="93">
        <v>100</v>
      </c>
      <c r="N87" s="93">
        <v>100</v>
      </c>
      <c r="O87" s="93">
        <v>100</v>
      </c>
      <c r="P87" s="93">
        <v>100</v>
      </c>
      <c r="Q87" s="93">
        <v>100</v>
      </c>
      <c r="R87" s="93">
        <v>100</v>
      </c>
      <c r="S87" s="93" t="s">
        <v>29</v>
      </c>
      <c r="T87" s="93"/>
      <c r="U87" s="12"/>
      <c r="V87" s="1"/>
      <c r="W87" s="12"/>
      <c r="X87" s="12"/>
      <c r="Y87" s="12"/>
      <c r="Z87" s="12"/>
      <c r="AA87" s="12"/>
      <c r="AB87" s="12"/>
      <c r="AC87" s="12"/>
      <c r="AD87" s="12"/>
      <c r="AE87" s="12"/>
      <c r="AF87" s="1"/>
      <c r="AG87" s="1"/>
      <c r="AH87" s="12"/>
      <c r="AI87" s="12"/>
      <c r="AJ87" s="12"/>
      <c r="AK87" s="12"/>
      <c r="AL87" s="12"/>
      <c r="AM87" s="12"/>
      <c r="AN87" s="12"/>
      <c r="AO87" s="23">
        <v>61</v>
      </c>
      <c r="AP87" s="26">
        <v>100</v>
      </c>
      <c r="AQ87" s="26">
        <v>100</v>
      </c>
      <c r="AR87" s="26">
        <v>100</v>
      </c>
      <c r="AS87" s="26">
        <v>100</v>
      </c>
      <c r="AT87" s="26">
        <v>100</v>
      </c>
      <c r="AU87" s="26">
        <v>100</v>
      </c>
      <c r="AV87" s="26">
        <v>100</v>
      </c>
      <c r="AW87" s="23" t="s">
        <v>29</v>
      </c>
      <c r="AX87" s="23"/>
      <c r="AY87" s="93">
        <v>61</v>
      </c>
      <c r="AZ87" s="105">
        <v>100</v>
      </c>
      <c r="BA87" s="105">
        <v>100</v>
      </c>
      <c r="BB87" s="105">
        <v>100</v>
      </c>
      <c r="BC87" s="105">
        <v>100</v>
      </c>
      <c r="BD87" s="105">
        <v>100</v>
      </c>
      <c r="BE87" s="105">
        <v>100</v>
      </c>
      <c r="BF87" s="105">
        <v>100</v>
      </c>
      <c r="BG87" s="93" t="s">
        <v>29</v>
      </c>
      <c r="BH87" s="106"/>
      <c r="BI87" s="1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12"/>
      <c r="CB87" s="12"/>
      <c r="CC87" s="2"/>
    </row>
    <row r="88" spans="1:81" ht="15.75" x14ac:dyDescent="0.25">
      <c r="A88" s="96">
        <v>1222</v>
      </c>
      <c r="B88" s="96">
        <v>100</v>
      </c>
      <c r="C88" s="96">
        <v>100</v>
      </c>
      <c r="D88" s="96">
        <v>100</v>
      </c>
      <c r="E88" s="96">
        <v>100</v>
      </c>
      <c r="F88" s="96">
        <v>100</v>
      </c>
      <c r="G88" s="96">
        <v>100</v>
      </c>
      <c r="H88" s="96">
        <v>100</v>
      </c>
      <c r="I88" s="96" t="s">
        <v>29</v>
      </c>
      <c r="J88" s="93"/>
      <c r="K88" s="93">
        <v>1321</v>
      </c>
      <c r="L88" s="93">
        <v>100</v>
      </c>
      <c r="M88" s="93">
        <v>100</v>
      </c>
      <c r="N88" s="93">
        <v>100</v>
      </c>
      <c r="O88" s="93">
        <v>100</v>
      </c>
      <c r="P88" s="93">
        <v>100</v>
      </c>
      <c r="Q88" s="93">
        <v>100</v>
      </c>
      <c r="R88" s="93">
        <v>100</v>
      </c>
      <c r="S88" s="93" t="s">
        <v>29</v>
      </c>
      <c r="T88" s="93"/>
      <c r="U88" s="17"/>
      <c r="V88" s="18"/>
      <c r="W88" s="18"/>
      <c r="X88" s="18"/>
      <c r="Y88" s="18"/>
      <c r="Z88" s="18"/>
      <c r="AA88" s="18"/>
      <c r="AB88" s="18"/>
      <c r="AC88" s="18"/>
      <c r="AD88" s="18"/>
      <c r="AE88" s="17"/>
      <c r="AF88" s="18"/>
      <c r="AG88" s="18"/>
      <c r="AH88" s="18"/>
      <c r="AI88" s="18"/>
      <c r="AJ88" s="18"/>
      <c r="AK88" s="12"/>
      <c r="AL88" s="12"/>
      <c r="AM88" s="12"/>
      <c r="AN88" s="12"/>
      <c r="AO88" s="23">
        <v>62</v>
      </c>
      <c r="AP88" s="26">
        <v>100</v>
      </c>
      <c r="AQ88" s="26">
        <v>100</v>
      </c>
      <c r="AR88" s="26">
        <v>100</v>
      </c>
      <c r="AS88" s="26">
        <v>100</v>
      </c>
      <c r="AT88" s="26">
        <v>100</v>
      </c>
      <c r="AU88" s="26">
        <v>100</v>
      </c>
      <c r="AV88" s="26">
        <v>100</v>
      </c>
      <c r="AW88" s="23" t="s">
        <v>29</v>
      </c>
      <c r="AX88" s="23"/>
      <c r="AY88" s="93">
        <v>62</v>
      </c>
      <c r="AZ88" s="105">
        <v>100</v>
      </c>
      <c r="BA88" s="105">
        <v>100</v>
      </c>
      <c r="BB88" s="105">
        <v>100</v>
      </c>
      <c r="BC88" s="105">
        <v>100</v>
      </c>
      <c r="BD88" s="105">
        <v>100</v>
      </c>
      <c r="BE88" s="105">
        <v>100</v>
      </c>
      <c r="BF88" s="105">
        <v>100</v>
      </c>
      <c r="BG88" s="93" t="s">
        <v>29</v>
      </c>
      <c r="BH88" s="106"/>
      <c r="BI88" s="1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12"/>
      <c r="CB88" s="12"/>
      <c r="CC88" s="2"/>
    </row>
    <row r="89" spans="1:81" x14ac:dyDescent="0.2">
      <c r="A89" s="96">
        <v>1223</v>
      </c>
      <c r="B89" s="96">
        <v>100</v>
      </c>
      <c r="C89" s="96">
        <v>100</v>
      </c>
      <c r="D89" s="96">
        <v>100</v>
      </c>
      <c r="E89" s="96">
        <v>100</v>
      </c>
      <c r="F89" s="96">
        <v>100</v>
      </c>
      <c r="G89" s="96">
        <v>100</v>
      </c>
      <c r="H89" s="96">
        <v>100</v>
      </c>
      <c r="I89" s="96" t="s">
        <v>29</v>
      </c>
      <c r="J89" s="93"/>
      <c r="K89" s="93">
        <v>1322</v>
      </c>
      <c r="L89" s="93">
        <v>100</v>
      </c>
      <c r="M89" s="93">
        <v>100</v>
      </c>
      <c r="N89" s="93">
        <v>100</v>
      </c>
      <c r="O89" s="93">
        <v>100</v>
      </c>
      <c r="P89" s="93">
        <v>100</v>
      </c>
      <c r="Q89" s="93">
        <v>100</v>
      </c>
      <c r="R89" s="93">
        <v>100</v>
      </c>
      <c r="S89" s="93" t="s">
        <v>29</v>
      </c>
      <c r="T89" s="93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2"/>
      <c r="AL89" s="12"/>
      <c r="AM89" s="12"/>
      <c r="AN89" s="12"/>
      <c r="AO89" s="23">
        <v>63</v>
      </c>
      <c r="AP89" s="26">
        <v>100</v>
      </c>
      <c r="AQ89" s="26">
        <v>100</v>
      </c>
      <c r="AR89" s="26">
        <v>100</v>
      </c>
      <c r="AS89" s="26">
        <v>100</v>
      </c>
      <c r="AT89" s="26">
        <v>100</v>
      </c>
      <c r="AU89" s="26">
        <v>100</v>
      </c>
      <c r="AV89" s="26">
        <v>100</v>
      </c>
      <c r="AW89" s="23" t="s">
        <v>29</v>
      </c>
      <c r="AX89" s="23"/>
      <c r="AY89" s="93">
        <v>63</v>
      </c>
      <c r="AZ89" s="105">
        <v>100</v>
      </c>
      <c r="BA89" s="105">
        <v>100</v>
      </c>
      <c r="BB89" s="105">
        <v>100</v>
      </c>
      <c r="BC89" s="105">
        <v>100</v>
      </c>
      <c r="BD89" s="105">
        <v>100</v>
      </c>
      <c r="BE89" s="105">
        <v>100</v>
      </c>
      <c r="BF89" s="105">
        <v>100</v>
      </c>
      <c r="BG89" s="93" t="s">
        <v>29</v>
      </c>
      <c r="BH89" s="106"/>
      <c r="BI89" s="1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12"/>
      <c r="CB89" s="12"/>
      <c r="CC89" s="2"/>
    </row>
    <row r="90" spans="1:81" x14ac:dyDescent="0.2">
      <c r="A90" s="96">
        <v>1224</v>
      </c>
      <c r="B90" s="96">
        <v>100</v>
      </c>
      <c r="C90" s="96">
        <v>100</v>
      </c>
      <c r="D90" s="96">
        <v>100</v>
      </c>
      <c r="E90" s="96">
        <v>100</v>
      </c>
      <c r="F90" s="96">
        <v>100</v>
      </c>
      <c r="G90" s="96">
        <v>100</v>
      </c>
      <c r="H90" s="96">
        <v>100</v>
      </c>
      <c r="I90" s="96" t="s">
        <v>29</v>
      </c>
      <c r="J90" s="93"/>
      <c r="K90" s="93">
        <v>1323</v>
      </c>
      <c r="L90" s="93">
        <v>100</v>
      </c>
      <c r="M90" s="93">
        <v>100</v>
      </c>
      <c r="N90" s="93">
        <v>100</v>
      </c>
      <c r="O90" s="93">
        <v>100</v>
      </c>
      <c r="P90" s="93">
        <v>100</v>
      </c>
      <c r="Q90" s="93">
        <v>100</v>
      </c>
      <c r="R90" s="93">
        <v>100</v>
      </c>
      <c r="S90" s="93" t="s">
        <v>29</v>
      </c>
      <c r="T90" s="93"/>
      <c r="U90" s="19"/>
      <c r="V90" s="19"/>
      <c r="W90" s="19"/>
      <c r="X90" s="19"/>
      <c r="Y90" s="19"/>
      <c r="Z90" s="19"/>
      <c r="AA90" s="19"/>
      <c r="AB90" s="18"/>
      <c r="AC90" s="18"/>
      <c r="AD90" s="18"/>
      <c r="AE90" s="19"/>
      <c r="AF90" s="19"/>
      <c r="AG90" s="19"/>
      <c r="AH90" s="19"/>
      <c r="AI90" s="19"/>
      <c r="AJ90" s="19"/>
      <c r="AK90" s="12"/>
      <c r="AL90" s="12"/>
      <c r="AM90" s="12"/>
      <c r="AN90" s="12"/>
      <c r="AO90" s="23">
        <v>64</v>
      </c>
      <c r="AP90" s="26">
        <v>100</v>
      </c>
      <c r="AQ90" s="26">
        <v>100</v>
      </c>
      <c r="AR90" s="26">
        <v>100</v>
      </c>
      <c r="AS90" s="26">
        <v>100</v>
      </c>
      <c r="AT90" s="26">
        <v>100</v>
      </c>
      <c r="AU90" s="26">
        <v>100</v>
      </c>
      <c r="AV90" s="26">
        <v>100</v>
      </c>
      <c r="AW90" s="23" t="s">
        <v>29</v>
      </c>
      <c r="AX90" s="23"/>
      <c r="AY90" s="93">
        <v>64</v>
      </c>
      <c r="AZ90" s="105">
        <v>100</v>
      </c>
      <c r="BA90" s="105">
        <v>100</v>
      </c>
      <c r="BB90" s="105">
        <v>100</v>
      </c>
      <c r="BC90" s="105">
        <v>100</v>
      </c>
      <c r="BD90" s="105">
        <v>100</v>
      </c>
      <c r="BE90" s="105">
        <v>100</v>
      </c>
      <c r="BF90" s="105">
        <v>100</v>
      </c>
      <c r="BG90" s="93" t="s">
        <v>29</v>
      </c>
      <c r="BH90" s="106"/>
      <c r="BI90" s="1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12"/>
      <c r="CB90" s="12"/>
      <c r="CC90" s="2"/>
    </row>
    <row r="91" spans="1:81" x14ac:dyDescent="0.2">
      <c r="A91" s="96">
        <v>1225</v>
      </c>
      <c r="B91" s="96">
        <v>100</v>
      </c>
      <c r="C91" s="96">
        <v>100</v>
      </c>
      <c r="D91" s="96">
        <v>100</v>
      </c>
      <c r="E91" s="96">
        <v>100</v>
      </c>
      <c r="F91" s="96">
        <v>100</v>
      </c>
      <c r="G91" s="96">
        <v>100</v>
      </c>
      <c r="H91" s="96">
        <v>100</v>
      </c>
      <c r="I91" s="96" t="s">
        <v>29</v>
      </c>
      <c r="J91" s="93"/>
      <c r="K91" s="93">
        <v>1324</v>
      </c>
      <c r="L91" s="93">
        <v>100</v>
      </c>
      <c r="M91" s="93">
        <v>100</v>
      </c>
      <c r="N91" s="93">
        <v>100</v>
      </c>
      <c r="O91" s="93">
        <v>100</v>
      </c>
      <c r="P91" s="93">
        <v>100</v>
      </c>
      <c r="Q91" s="93">
        <v>100</v>
      </c>
      <c r="R91" s="93">
        <v>100</v>
      </c>
      <c r="S91" s="93" t="s">
        <v>29</v>
      </c>
      <c r="T91" s="93"/>
      <c r="U91" s="19"/>
      <c r="V91" s="20"/>
      <c r="W91" s="19"/>
      <c r="X91" s="19"/>
      <c r="Y91" s="19"/>
      <c r="Z91" s="19"/>
      <c r="AA91" s="20"/>
      <c r="AB91" s="18"/>
      <c r="AC91" s="18"/>
      <c r="AD91" s="18"/>
      <c r="AE91" s="19"/>
      <c r="AF91" s="20"/>
      <c r="AG91" s="19"/>
      <c r="AH91" s="19"/>
      <c r="AI91" s="19"/>
      <c r="AJ91" s="19"/>
      <c r="AK91" s="12"/>
      <c r="AL91" s="12"/>
      <c r="AM91" s="12"/>
      <c r="AN91" s="12"/>
      <c r="AO91" s="23">
        <v>65</v>
      </c>
      <c r="AP91" s="26">
        <v>100</v>
      </c>
      <c r="AQ91" s="26">
        <v>100</v>
      </c>
      <c r="AR91" s="26">
        <v>100</v>
      </c>
      <c r="AS91" s="26">
        <v>100</v>
      </c>
      <c r="AT91" s="26">
        <v>100</v>
      </c>
      <c r="AU91" s="26">
        <v>100</v>
      </c>
      <c r="AV91" s="26">
        <v>100</v>
      </c>
      <c r="AW91" s="23" t="s">
        <v>29</v>
      </c>
      <c r="AX91" s="23"/>
      <c r="AY91" s="93">
        <v>65</v>
      </c>
      <c r="AZ91" s="105">
        <v>100</v>
      </c>
      <c r="BA91" s="105">
        <v>100</v>
      </c>
      <c r="BB91" s="105">
        <v>100</v>
      </c>
      <c r="BC91" s="105">
        <v>100</v>
      </c>
      <c r="BD91" s="105">
        <v>100</v>
      </c>
      <c r="BE91" s="105">
        <v>100</v>
      </c>
      <c r="BF91" s="105">
        <v>100</v>
      </c>
      <c r="BG91" s="93" t="s">
        <v>29</v>
      </c>
      <c r="BH91" s="106"/>
      <c r="BI91" s="1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12"/>
      <c r="CB91" s="12"/>
      <c r="CC91" s="2"/>
    </row>
    <row r="92" spans="1:81" x14ac:dyDescent="0.2">
      <c r="A92" s="96">
        <v>1226</v>
      </c>
      <c r="B92" s="96">
        <v>100</v>
      </c>
      <c r="C92" s="96">
        <v>100</v>
      </c>
      <c r="D92" s="96">
        <v>100</v>
      </c>
      <c r="E92" s="96">
        <v>100</v>
      </c>
      <c r="F92" s="96">
        <v>100</v>
      </c>
      <c r="G92" s="96">
        <v>100</v>
      </c>
      <c r="H92" s="96">
        <v>100</v>
      </c>
      <c r="I92" s="96" t="s">
        <v>29</v>
      </c>
      <c r="J92" s="93"/>
      <c r="K92" s="93">
        <v>1325</v>
      </c>
      <c r="L92" s="93">
        <v>100</v>
      </c>
      <c r="M92" s="93">
        <v>100</v>
      </c>
      <c r="N92" s="93">
        <v>100</v>
      </c>
      <c r="O92" s="93">
        <v>100</v>
      </c>
      <c r="P92" s="93">
        <v>100</v>
      </c>
      <c r="Q92" s="93">
        <v>100</v>
      </c>
      <c r="R92" s="93">
        <v>100</v>
      </c>
      <c r="S92" s="93" t="s">
        <v>29</v>
      </c>
      <c r="T92" s="93"/>
      <c r="U92" s="18"/>
      <c r="V92" s="21"/>
      <c r="W92" s="21"/>
      <c r="X92" s="21"/>
      <c r="Y92" s="21"/>
      <c r="Z92" s="21"/>
      <c r="AA92" s="21"/>
      <c r="AB92" s="18"/>
      <c r="AC92" s="18"/>
      <c r="AD92" s="18"/>
      <c r="AE92" s="18"/>
      <c r="AF92" s="21"/>
      <c r="AG92" s="21"/>
      <c r="AH92" s="21"/>
      <c r="AI92" s="21"/>
      <c r="AJ92" s="21"/>
      <c r="AK92" s="12"/>
      <c r="AL92" s="12"/>
      <c r="AM92" s="12"/>
      <c r="AN92" s="12"/>
      <c r="AO92" s="23">
        <v>66</v>
      </c>
      <c r="AP92" s="26">
        <v>100</v>
      </c>
      <c r="AQ92" s="26">
        <v>100</v>
      </c>
      <c r="AR92" s="26">
        <v>100</v>
      </c>
      <c r="AS92" s="26">
        <v>100</v>
      </c>
      <c r="AT92" s="26">
        <v>100</v>
      </c>
      <c r="AU92" s="26">
        <v>100</v>
      </c>
      <c r="AV92" s="26">
        <v>100</v>
      </c>
      <c r="AW92" s="23" t="s">
        <v>29</v>
      </c>
      <c r="AX92" s="23"/>
      <c r="AY92" s="93">
        <v>66</v>
      </c>
      <c r="AZ92" s="105">
        <v>100</v>
      </c>
      <c r="BA92" s="105">
        <v>100</v>
      </c>
      <c r="BB92" s="105">
        <v>100</v>
      </c>
      <c r="BC92" s="105">
        <v>100</v>
      </c>
      <c r="BD92" s="105">
        <v>100</v>
      </c>
      <c r="BE92" s="105">
        <v>100</v>
      </c>
      <c r="BF92" s="105">
        <v>100</v>
      </c>
      <c r="BG92" s="93" t="s">
        <v>29</v>
      </c>
      <c r="BH92" s="106"/>
      <c r="BI92" s="1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12"/>
      <c r="CB92" s="12"/>
      <c r="CC92" s="2"/>
    </row>
    <row r="93" spans="1:81" x14ac:dyDescent="0.2">
      <c r="A93" s="96">
        <v>1227</v>
      </c>
      <c r="B93" s="96">
        <v>100</v>
      </c>
      <c r="C93" s="96">
        <v>100</v>
      </c>
      <c r="D93" s="96">
        <v>100</v>
      </c>
      <c r="E93" s="96">
        <v>100</v>
      </c>
      <c r="F93" s="96">
        <v>100</v>
      </c>
      <c r="G93" s="96">
        <v>100</v>
      </c>
      <c r="H93" s="96">
        <v>100</v>
      </c>
      <c r="I93" s="96" t="s">
        <v>29</v>
      </c>
      <c r="J93" s="93"/>
      <c r="K93" s="93">
        <v>1326</v>
      </c>
      <c r="L93" s="93">
        <v>100</v>
      </c>
      <c r="M93" s="93">
        <v>100</v>
      </c>
      <c r="N93" s="93">
        <v>100</v>
      </c>
      <c r="O93" s="93">
        <v>100</v>
      </c>
      <c r="P93" s="93">
        <v>100</v>
      </c>
      <c r="Q93" s="93">
        <v>100</v>
      </c>
      <c r="R93" s="93">
        <v>100</v>
      </c>
      <c r="S93" s="93" t="s">
        <v>29</v>
      </c>
      <c r="T93" s="93"/>
      <c r="U93" s="18"/>
      <c r="V93" s="21"/>
      <c r="W93" s="21"/>
      <c r="X93" s="21"/>
      <c r="Y93" s="21"/>
      <c r="Z93" s="21"/>
      <c r="AA93" s="21"/>
      <c r="AB93" s="18"/>
      <c r="AC93" s="18"/>
      <c r="AD93" s="18"/>
      <c r="AE93" s="18"/>
      <c r="AF93" s="21"/>
      <c r="AG93" s="21"/>
      <c r="AH93" s="21"/>
      <c r="AI93" s="21"/>
      <c r="AJ93" s="21"/>
      <c r="AK93" s="12"/>
      <c r="AL93" s="12"/>
      <c r="AM93" s="12"/>
      <c r="AN93" s="12"/>
      <c r="AO93" s="23">
        <v>67</v>
      </c>
      <c r="AP93" s="26">
        <v>100</v>
      </c>
      <c r="AQ93" s="26">
        <v>100</v>
      </c>
      <c r="AR93" s="26">
        <v>100</v>
      </c>
      <c r="AS93" s="26">
        <v>100</v>
      </c>
      <c r="AT93" s="26">
        <v>100</v>
      </c>
      <c r="AU93" s="26">
        <v>100</v>
      </c>
      <c r="AV93" s="26">
        <v>100</v>
      </c>
      <c r="AW93" s="23" t="s">
        <v>29</v>
      </c>
      <c r="AX93" s="23"/>
      <c r="AY93" s="93">
        <v>67</v>
      </c>
      <c r="AZ93" s="105">
        <v>100</v>
      </c>
      <c r="BA93" s="105">
        <v>100</v>
      </c>
      <c r="BB93" s="105">
        <v>100</v>
      </c>
      <c r="BC93" s="105">
        <v>100</v>
      </c>
      <c r="BD93" s="105">
        <v>100</v>
      </c>
      <c r="BE93" s="105">
        <v>100</v>
      </c>
      <c r="BF93" s="105">
        <v>100</v>
      </c>
      <c r="BG93" s="93" t="s">
        <v>29</v>
      </c>
      <c r="BH93" s="106"/>
      <c r="BI93" s="1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12"/>
      <c r="CB93" s="12"/>
      <c r="CC93" s="2"/>
    </row>
    <row r="94" spans="1:81" x14ac:dyDescent="0.2">
      <c r="A94" s="96">
        <v>1228</v>
      </c>
      <c r="B94" s="96">
        <v>100</v>
      </c>
      <c r="C94" s="96">
        <v>100</v>
      </c>
      <c r="D94" s="96">
        <v>100</v>
      </c>
      <c r="E94" s="96">
        <v>100</v>
      </c>
      <c r="F94" s="96">
        <v>100</v>
      </c>
      <c r="G94" s="96">
        <v>100</v>
      </c>
      <c r="H94" s="96">
        <v>100</v>
      </c>
      <c r="I94" s="96" t="s">
        <v>29</v>
      </c>
      <c r="J94" s="93"/>
      <c r="K94" s="93">
        <v>1327</v>
      </c>
      <c r="L94" s="93">
        <v>100</v>
      </c>
      <c r="M94" s="93">
        <v>100</v>
      </c>
      <c r="N94" s="93">
        <v>100</v>
      </c>
      <c r="O94" s="93">
        <v>100</v>
      </c>
      <c r="P94" s="93">
        <v>100</v>
      </c>
      <c r="Q94" s="93">
        <v>100</v>
      </c>
      <c r="R94" s="93">
        <v>100</v>
      </c>
      <c r="S94" s="93" t="s">
        <v>29</v>
      </c>
      <c r="T94" s="93"/>
      <c r="U94" s="21"/>
      <c r="V94" s="21"/>
      <c r="W94" s="21"/>
      <c r="X94" s="21"/>
      <c r="Y94" s="21"/>
      <c r="Z94" s="21"/>
      <c r="AA94" s="21"/>
      <c r="AB94" s="18"/>
      <c r="AC94" s="18"/>
      <c r="AD94" s="18"/>
      <c r="AE94" s="21"/>
      <c r="AF94" s="21"/>
      <c r="AG94" s="21"/>
      <c r="AH94" s="21"/>
      <c r="AI94" s="21"/>
      <c r="AJ94" s="21"/>
      <c r="AK94" s="12"/>
      <c r="AL94" s="12"/>
      <c r="AM94" s="12"/>
      <c r="AN94" s="12"/>
      <c r="AO94" s="23">
        <v>68</v>
      </c>
      <c r="AP94" s="26">
        <v>100</v>
      </c>
      <c r="AQ94" s="26">
        <v>100</v>
      </c>
      <c r="AR94" s="26">
        <v>100</v>
      </c>
      <c r="AS94" s="26">
        <v>100</v>
      </c>
      <c r="AT94" s="26">
        <v>100</v>
      </c>
      <c r="AU94" s="26">
        <v>100</v>
      </c>
      <c r="AV94" s="26">
        <v>100</v>
      </c>
      <c r="AW94" s="23" t="s">
        <v>29</v>
      </c>
      <c r="AX94" s="23"/>
      <c r="AY94" s="93">
        <v>68</v>
      </c>
      <c r="AZ94" s="105">
        <v>100</v>
      </c>
      <c r="BA94" s="105">
        <v>100</v>
      </c>
      <c r="BB94" s="105">
        <v>100</v>
      </c>
      <c r="BC94" s="105">
        <v>100</v>
      </c>
      <c r="BD94" s="105">
        <v>100</v>
      </c>
      <c r="BE94" s="105">
        <v>100</v>
      </c>
      <c r="BF94" s="105">
        <v>100</v>
      </c>
      <c r="BG94" s="93" t="s">
        <v>29</v>
      </c>
      <c r="BH94" s="106"/>
      <c r="BI94" s="1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12"/>
      <c r="CB94" s="12"/>
      <c r="CC94" s="2"/>
    </row>
    <row r="95" spans="1:81" x14ac:dyDescent="0.2">
      <c r="A95" s="96">
        <v>1229</v>
      </c>
      <c r="B95" s="96">
        <v>100</v>
      </c>
      <c r="C95" s="96">
        <v>100</v>
      </c>
      <c r="D95" s="96">
        <v>100</v>
      </c>
      <c r="E95" s="96">
        <v>100</v>
      </c>
      <c r="F95" s="96">
        <v>100</v>
      </c>
      <c r="G95" s="96">
        <v>100</v>
      </c>
      <c r="H95" s="96">
        <v>100</v>
      </c>
      <c r="I95" s="96" t="s">
        <v>29</v>
      </c>
      <c r="J95" s="93"/>
      <c r="K95" s="93">
        <v>1328</v>
      </c>
      <c r="L95" s="93">
        <v>100</v>
      </c>
      <c r="M95" s="93">
        <v>100</v>
      </c>
      <c r="N95" s="93">
        <v>100</v>
      </c>
      <c r="O95" s="93">
        <v>100</v>
      </c>
      <c r="P95" s="93">
        <v>100</v>
      </c>
      <c r="Q95" s="93">
        <v>100</v>
      </c>
      <c r="R95" s="93">
        <v>100</v>
      </c>
      <c r="S95" s="93" t="s">
        <v>29</v>
      </c>
      <c r="T95" s="93"/>
      <c r="U95" s="21"/>
      <c r="V95" s="21"/>
      <c r="W95" s="21"/>
      <c r="X95" s="21"/>
      <c r="Y95" s="21"/>
      <c r="Z95" s="21"/>
      <c r="AA95" s="21"/>
      <c r="AB95" s="18"/>
      <c r="AC95" s="18"/>
      <c r="AD95" s="18"/>
      <c r="AE95" s="21"/>
      <c r="AF95" s="21"/>
      <c r="AG95" s="21"/>
      <c r="AH95" s="21"/>
      <c r="AI95" s="21"/>
      <c r="AJ95" s="21"/>
      <c r="AK95" s="12"/>
      <c r="AL95" s="12"/>
      <c r="AM95" s="12"/>
      <c r="AN95" s="12"/>
      <c r="AO95" s="23">
        <v>69</v>
      </c>
      <c r="AP95" s="26">
        <v>100</v>
      </c>
      <c r="AQ95" s="26">
        <v>100</v>
      </c>
      <c r="AR95" s="26">
        <v>100</v>
      </c>
      <c r="AS95" s="26">
        <v>100</v>
      </c>
      <c r="AT95" s="26">
        <v>100</v>
      </c>
      <c r="AU95" s="26">
        <v>100</v>
      </c>
      <c r="AV95" s="26">
        <v>100</v>
      </c>
      <c r="AW95" s="23" t="s">
        <v>29</v>
      </c>
      <c r="AX95" s="23"/>
      <c r="AY95" s="93">
        <v>69</v>
      </c>
      <c r="AZ95" s="105">
        <v>100</v>
      </c>
      <c r="BA95" s="105">
        <v>100</v>
      </c>
      <c r="BB95" s="105">
        <v>100</v>
      </c>
      <c r="BC95" s="105">
        <v>100</v>
      </c>
      <c r="BD95" s="105">
        <v>100</v>
      </c>
      <c r="BE95" s="105">
        <v>100</v>
      </c>
      <c r="BF95" s="105">
        <v>100</v>
      </c>
      <c r="BG95" s="93" t="s">
        <v>29</v>
      </c>
      <c r="BH95" s="106"/>
      <c r="BI95" s="1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12"/>
      <c r="CB95" s="12"/>
      <c r="CC95" s="2"/>
    </row>
    <row r="96" spans="1:81" x14ac:dyDescent="0.2">
      <c r="A96" s="96">
        <v>1230</v>
      </c>
      <c r="B96" s="96">
        <v>100</v>
      </c>
      <c r="C96" s="96">
        <v>100</v>
      </c>
      <c r="D96" s="96">
        <v>100</v>
      </c>
      <c r="E96" s="96">
        <v>100</v>
      </c>
      <c r="F96" s="96">
        <v>100</v>
      </c>
      <c r="G96" s="96">
        <v>100</v>
      </c>
      <c r="H96" s="96">
        <v>100</v>
      </c>
      <c r="I96" s="96" t="s">
        <v>29</v>
      </c>
      <c r="J96" s="93"/>
      <c r="K96" s="93">
        <v>1329</v>
      </c>
      <c r="L96" s="93">
        <v>100</v>
      </c>
      <c r="M96" s="93">
        <v>100</v>
      </c>
      <c r="N96" s="93">
        <v>100</v>
      </c>
      <c r="O96" s="93">
        <v>100</v>
      </c>
      <c r="P96" s="93">
        <v>100</v>
      </c>
      <c r="Q96" s="93">
        <v>100</v>
      </c>
      <c r="R96" s="93">
        <v>100</v>
      </c>
      <c r="S96" s="93" t="s">
        <v>29</v>
      </c>
      <c r="T96" s="93"/>
      <c r="U96" s="21"/>
      <c r="V96" s="21"/>
      <c r="W96" s="21"/>
      <c r="X96" s="21"/>
      <c r="Y96" s="21"/>
      <c r="Z96" s="21"/>
      <c r="AA96" s="21"/>
      <c r="AB96" s="18"/>
      <c r="AC96" s="18"/>
      <c r="AD96" s="18"/>
      <c r="AE96" s="21"/>
      <c r="AF96" s="21"/>
      <c r="AG96" s="21"/>
      <c r="AH96" s="21"/>
      <c r="AI96" s="21"/>
      <c r="AJ96" s="21"/>
      <c r="AK96" s="12"/>
      <c r="AL96" s="12"/>
      <c r="AM96" s="12"/>
      <c r="AN96" s="12"/>
      <c r="AO96" s="23">
        <v>70</v>
      </c>
      <c r="AP96" s="26">
        <v>100</v>
      </c>
      <c r="AQ96" s="26">
        <v>100</v>
      </c>
      <c r="AR96" s="26">
        <v>100</v>
      </c>
      <c r="AS96" s="26">
        <v>100</v>
      </c>
      <c r="AT96" s="26">
        <v>100</v>
      </c>
      <c r="AU96" s="26">
        <v>100</v>
      </c>
      <c r="AV96" s="26">
        <v>100</v>
      </c>
      <c r="AW96" s="23" t="s">
        <v>29</v>
      </c>
      <c r="AX96" s="23"/>
      <c r="AY96" s="93">
        <v>70</v>
      </c>
      <c r="AZ96" s="105">
        <v>100</v>
      </c>
      <c r="BA96" s="105">
        <v>100</v>
      </c>
      <c r="BB96" s="105">
        <v>100</v>
      </c>
      <c r="BC96" s="105">
        <v>100</v>
      </c>
      <c r="BD96" s="105">
        <v>100</v>
      </c>
      <c r="BE96" s="105">
        <v>100</v>
      </c>
      <c r="BF96" s="105">
        <v>100</v>
      </c>
      <c r="BG96" s="93" t="s">
        <v>29</v>
      </c>
      <c r="BH96" s="106"/>
      <c r="BI96" s="1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12"/>
      <c r="CB96" s="12"/>
      <c r="CC96" s="2"/>
    </row>
    <row r="97" spans="1:81" x14ac:dyDescent="0.2">
      <c r="A97" s="96">
        <v>1231</v>
      </c>
      <c r="B97" s="96">
        <v>100</v>
      </c>
      <c r="C97" s="96">
        <v>100</v>
      </c>
      <c r="D97" s="96">
        <v>100</v>
      </c>
      <c r="E97" s="96">
        <v>100</v>
      </c>
      <c r="F97" s="96">
        <v>100</v>
      </c>
      <c r="G97" s="96">
        <v>100</v>
      </c>
      <c r="H97" s="96">
        <v>100</v>
      </c>
      <c r="I97" s="96" t="s">
        <v>29</v>
      </c>
      <c r="J97" s="93"/>
      <c r="K97" s="93">
        <v>1330</v>
      </c>
      <c r="L97" s="93">
        <v>100</v>
      </c>
      <c r="M97" s="93">
        <v>100</v>
      </c>
      <c r="N97" s="93">
        <v>100</v>
      </c>
      <c r="O97" s="93">
        <v>100</v>
      </c>
      <c r="P97" s="93">
        <v>100</v>
      </c>
      <c r="Q97" s="93">
        <v>100</v>
      </c>
      <c r="R97" s="93">
        <v>100</v>
      </c>
      <c r="S97" s="93" t="s">
        <v>29</v>
      </c>
      <c r="T97" s="93"/>
      <c r="U97" s="21"/>
      <c r="V97" s="21"/>
      <c r="W97" s="21"/>
      <c r="X97" s="21"/>
      <c r="Y97" s="21"/>
      <c r="Z97" s="21"/>
      <c r="AA97" s="22"/>
      <c r="AB97" s="18"/>
      <c r="AC97" s="18"/>
      <c r="AD97" s="18"/>
      <c r="AE97" s="21"/>
      <c r="AF97" s="21"/>
      <c r="AG97" s="21"/>
      <c r="AH97" s="21"/>
      <c r="AI97" s="21"/>
      <c r="AJ97" s="21"/>
      <c r="AK97" s="12"/>
      <c r="AL97" s="12"/>
      <c r="AM97" s="12"/>
      <c r="AN97" s="12"/>
      <c r="AO97" s="23">
        <v>71</v>
      </c>
      <c r="AP97" s="26">
        <v>100</v>
      </c>
      <c r="AQ97" s="26">
        <v>100</v>
      </c>
      <c r="AR97" s="26">
        <v>100</v>
      </c>
      <c r="AS97" s="26">
        <v>100</v>
      </c>
      <c r="AT97" s="26">
        <v>100</v>
      </c>
      <c r="AU97" s="26">
        <v>100</v>
      </c>
      <c r="AV97" s="26">
        <v>100</v>
      </c>
      <c r="AW97" s="23" t="s">
        <v>29</v>
      </c>
      <c r="AX97" s="23"/>
      <c r="AY97" s="93">
        <v>71</v>
      </c>
      <c r="AZ97" s="105">
        <v>100</v>
      </c>
      <c r="BA97" s="105">
        <v>100</v>
      </c>
      <c r="BB97" s="105">
        <v>100</v>
      </c>
      <c r="BC97" s="105">
        <v>100</v>
      </c>
      <c r="BD97" s="105">
        <v>100</v>
      </c>
      <c r="BE97" s="105">
        <v>100</v>
      </c>
      <c r="BF97" s="105">
        <v>100</v>
      </c>
      <c r="BG97" s="93" t="s">
        <v>29</v>
      </c>
      <c r="BH97" s="106"/>
      <c r="BI97" s="1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12"/>
      <c r="CB97" s="12"/>
      <c r="CC97" s="2"/>
    </row>
    <row r="98" spans="1:81" x14ac:dyDescent="0.2">
      <c r="A98" s="96">
        <v>1232</v>
      </c>
      <c r="B98" s="96">
        <v>100</v>
      </c>
      <c r="C98" s="96">
        <v>100</v>
      </c>
      <c r="D98" s="96">
        <v>100</v>
      </c>
      <c r="E98" s="96">
        <v>100</v>
      </c>
      <c r="F98" s="96">
        <v>100</v>
      </c>
      <c r="G98" s="96">
        <v>100</v>
      </c>
      <c r="H98" s="96">
        <v>100</v>
      </c>
      <c r="I98" s="96" t="s">
        <v>29</v>
      </c>
      <c r="J98" s="93"/>
      <c r="K98" s="93">
        <v>1331</v>
      </c>
      <c r="L98" s="93">
        <v>100</v>
      </c>
      <c r="M98" s="93">
        <v>100</v>
      </c>
      <c r="N98" s="93">
        <v>100</v>
      </c>
      <c r="O98" s="93">
        <v>100</v>
      </c>
      <c r="P98" s="93">
        <v>100</v>
      </c>
      <c r="Q98" s="93">
        <v>100</v>
      </c>
      <c r="R98" s="93">
        <v>100</v>
      </c>
      <c r="S98" s="93" t="s">
        <v>29</v>
      </c>
      <c r="T98" s="93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2"/>
      <c r="AL98" s="12"/>
      <c r="AM98" s="12"/>
      <c r="AN98" s="12"/>
      <c r="AO98" s="23">
        <v>72</v>
      </c>
      <c r="AP98" s="26">
        <v>100</v>
      </c>
      <c r="AQ98" s="26">
        <v>100</v>
      </c>
      <c r="AR98" s="26">
        <v>100</v>
      </c>
      <c r="AS98" s="26">
        <v>100</v>
      </c>
      <c r="AT98" s="26">
        <v>100</v>
      </c>
      <c r="AU98" s="26">
        <v>100</v>
      </c>
      <c r="AV98" s="26">
        <v>100</v>
      </c>
      <c r="AW98" s="23" t="s">
        <v>29</v>
      </c>
      <c r="AX98" s="23"/>
      <c r="AY98" s="93">
        <v>72</v>
      </c>
      <c r="AZ98" s="105">
        <v>100</v>
      </c>
      <c r="BA98" s="105">
        <v>100</v>
      </c>
      <c r="BB98" s="105">
        <v>100</v>
      </c>
      <c r="BC98" s="105">
        <v>100</v>
      </c>
      <c r="BD98" s="105">
        <v>100</v>
      </c>
      <c r="BE98" s="105">
        <v>100</v>
      </c>
      <c r="BF98" s="105">
        <v>100</v>
      </c>
      <c r="BG98" s="93" t="s">
        <v>29</v>
      </c>
      <c r="BH98" s="106"/>
      <c r="BI98" s="1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12"/>
      <c r="CB98" s="12"/>
      <c r="CC98" s="2"/>
    </row>
    <row r="99" spans="1:81" x14ac:dyDescent="0.2">
      <c r="A99" s="96">
        <v>1233</v>
      </c>
      <c r="B99" s="96">
        <v>100</v>
      </c>
      <c r="C99" s="96">
        <v>100</v>
      </c>
      <c r="D99" s="96">
        <v>100</v>
      </c>
      <c r="E99" s="96">
        <v>100</v>
      </c>
      <c r="F99" s="96">
        <v>100</v>
      </c>
      <c r="G99" s="96">
        <v>100</v>
      </c>
      <c r="H99" s="96">
        <v>100</v>
      </c>
      <c r="I99" s="96" t="s">
        <v>29</v>
      </c>
      <c r="J99" s="93"/>
      <c r="K99" s="93">
        <v>1332</v>
      </c>
      <c r="L99" s="93">
        <v>100</v>
      </c>
      <c r="M99" s="93">
        <v>100</v>
      </c>
      <c r="N99" s="93">
        <v>100</v>
      </c>
      <c r="O99" s="93">
        <v>100</v>
      </c>
      <c r="P99" s="93">
        <v>100</v>
      </c>
      <c r="Q99" s="93">
        <v>100</v>
      </c>
      <c r="R99" s="93">
        <v>100</v>
      </c>
      <c r="S99" s="93" t="s">
        <v>29</v>
      </c>
      <c r="T99" s="93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23">
        <v>73</v>
      </c>
      <c r="AP99" s="26">
        <v>100</v>
      </c>
      <c r="AQ99" s="26">
        <v>100</v>
      </c>
      <c r="AR99" s="26">
        <v>100</v>
      </c>
      <c r="AS99" s="26">
        <v>100</v>
      </c>
      <c r="AT99" s="26">
        <v>100</v>
      </c>
      <c r="AU99" s="26">
        <v>100</v>
      </c>
      <c r="AV99" s="26">
        <v>100</v>
      </c>
      <c r="AW99" s="23" t="s">
        <v>29</v>
      </c>
      <c r="AX99" s="23"/>
      <c r="AY99" s="93">
        <v>73</v>
      </c>
      <c r="AZ99" s="105">
        <v>100</v>
      </c>
      <c r="BA99" s="105">
        <v>100</v>
      </c>
      <c r="BB99" s="105">
        <v>100</v>
      </c>
      <c r="BC99" s="105">
        <v>100</v>
      </c>
      <c r="BD99" s="105">
        <v>100</v>
      </c>
      <c r="BE99" s="105">
        <v>100</v>
      </c>
      <c r="BF99" s="105">
        <v>100</v>
      </c>
      <c r="BG99" s="93" t="s">
        <v>29</v>
      </c>
      <c r="BH99" s="106"/>
      <c r="BI99" s="1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12"/>
      <c r="CB99" s="12"/>
      <c r="CC99" s="2"/>
    </row>
    <row r="100" spans="1:81" x14ac:dyDescent="0.2">
      <c r="A100" s="96">
        <v>1234</v>
      </c>
      <c r="B100" s="96">
        <v>100</v>
      </c>
      <c r="C100" s="96">
        <v>100</v>
      </c>
      <c r="D100" s="96">
        <v>100</v>
      </c>
      <c r="E100" s="96">
        <v>100</v>
      </c>
      <c r="F100" s="96">
        <v>100</v>
      </c>
      <c r="G100" s="96">
        <v>100</v>
      </c>
      <c r="H100" s="96">
        <v>100</v>
      </c>
      <c r="I100" s="96" t="s">
        <v>29</v>
      </c>
      <c r="J100" s="93"/>
      <c r="K100" s="93">
        <v>1333</v>
      </c>
      <c r="L100" s="93">
        <v>100</v>
      </c>
      <c r="M100" s="93">
        <v>100</v>
      </c>
      <c r="N100" s="93">
        <v>100</v>
      </c>
      <c r="O100" s="93">
        <v>100</v>
      </c>
      <c r="P100" s="93">
        <v>100</v>
      </c>
      <c r="Q100" s="93">
        <v>100</v>
      </c>
      <c r="R100" s="93">
        <v>100</v>
      </c>
      <c r="S100" s="93" t="s">
        <v>29</v>
      </c>
      <c r="T100" s="93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23">
        <v>74</v>
      </c>
      <c r="AP100" s="26">
        <v>100</v>
      </c>
      <c r="AQ100" s="26">
        <v>100</v>
      </c>
      <c r="AR100" s="26">
        <v>100</v>
      </c>
      <c r="AS100" s="26">
        <v>100</v>
      </c>
      <c r="AT100" s="26">
        <v>100</v>
      </c>
      <c r="AU100" s="26">
        <v>100</v>
      </c>
      <c r="AV100" s="26">
        <v>100</v>
      </c>
      <c r="AW100" s="23" t="s">
        <v>29</v>
      </c>
      <c r="AX100" s="23"/>
      <c r="AY100" s="93">
        <v>74</v>
      </c>
      <c r="AZ100" s="105">
        <v>100</v>
      </c>
      <c r="BA100" s="105">
        <v>100</v>
      </c>
      <c r="BB100" s="105">
        <v>100</v>
      </c>
      <c r="BC100" s="105">
        <v>100</v>
      </c>
      <c r="BD100" s="105">
        <v>100</v>
      </c>
      <c r="BE100" s="105">
        <v>100</v>
      </c>
      <c r="BF100" s="105">
        <v>100</v>
      </c>
      <c r="BG100" s="93" t="s">
        <v>29</v>
      </c>
      <c r="BH100" s="106"/>
      <c r="BI100" s="1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12"/>
      <c r="CB100" s="12"/>
      <c r="CC100" s="2"/>
    </row>
    <row r="101" spans="1:81" x14ac:dyDescent="0.2">
      <c r="A101" s="96">
        <v>1235</v>
      </c>
      <c r="B101" s="96">
        <v>100</v>
      </c>
      <c r="C101" s="96">
        <v>100</v>
      </c>
      <c r="D101" s="96">
        <v>100</v>
      </c>
      <c r="E101" s="96">
        <v>100</v>
      </c>
      <c r="F101" s="96">
        <v>100</v>
      </c>
      <c r="G101" s="96">
        <v>100</v>
      </c>
      <c r="H101" s="96">
        <v>100</v>
      </c>
      <c r="I101" s="96" t="s">
        <v>29</v>
      </c>
      <c r="J101" s="93"/>
      <c r="K101" s="93">
        <v>1334</v>
      </c>
      <c r="L101" s="93">
        <v>100</v>
      </c>
      <c r="M101" s="93">
        <v>100</v>
      </c>
      <c r="N101" s="93">
        <v>100</v>
      </c>
      <c r="O101" s="93">
        <v>100</v>
      </c>
      <c r="P101" s="93">
        <v>100</v>
      </c>
      <c r="Q101" s="93">
        <v>100</v>
      </c>
      <c r="R101" s="93">
        <v>100</v>
      </c>
      <c r="S101" s="93" t="s">
        <v>29</v>
      </c>
      <c r="T101" s="93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23">
        <v>75</v>
      </c>
      <c r="AP101" s="26">
        <v>100</v>
      </c>
      <c r="AQ101" s="26">
        <v>100</v>
      </c>
      <c r="AR101" s="26">
        <v>100</v>
      </c>
      <c r="AS101" s="26">
        <v>100</v>
      </c>
      <c r="AT101" s="26">
        <v>100</v>
      </c>
      <c r="AU101" s="26">
        <v>100</v>
      </c>
      <c r="AV101" s="26">
        <v>100</v>
      </c>
      <c r="AW101" s="23" t="s">
        <v>29</v>
      </c>
      <c r="AX101" s="23"/>
      <c r="AY101" s="93">
        <v>75</v>
      </c>
      <c r="AZ101" s="105">
        <v>100</v>
      </c>
      <c r="BA101" s="105">
        <v>100</v>
      </c>
      <c r="BB101" s="105">
        <v>100</v>
      </c>
      <c r="BC101" s="105">
        <v>100</v>
      </c>
      <c r="BD101" s="105">
        <v>100</v>
      </c>
      <c r="BE101" s="105">
        <v>100</v>
      </c>
      <c r="BF101" s="105">
        <v>100</v>
      </c>
      <c r="BG101" s="93" t="s">
        <v>29</v>
      </c>
      <c r="BH101" s="106"/>
      <c r="BI101" s="1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12"/>
      <c r="CB101" s="12"/>
      <c r="CC101" s="2"/>
    </row>
    <row r="102" spans="1:81" x14ac:dyDescent="0.2">
      <c r="A102" s="96">
        <v>1236</v>
      </c>
      <c r="B102" s="96">
        <v>100</v>
      </c>
      <c r="C102" s="96">
        <v>100</v>
      </c>
      <c r="D102" s="96">
        <v>100</v>
      </c>
      <c r="E102" s="96">
        <v>100</v>
      </c>
      <c r="F102" s="96">
        <v>100</v>
      </c>
      <c r="G102" s="96">
        <v>100</v>
      </c>
      <c r="H102" s="96">
        <v>100</v>
      </c>
      <c r="I102" s="96" t="s">
        <v>29</v>
      </c>
      <c r="J102" s="93"/>
      <c r="K102" s="93">
        <v>1335</v>
      </c>
      <c r="L102" s="93">
        <v>100</v>
      </c>
      <c r="M102" s="93">
        <v>100</v>
      </c>
      <c r="N102" s="93">
        <v>100</v>
      </c>
      <c r="O102" s="93">
        <v>100</v>
      </c>
      <c r="P102" s="93">
        <v>100</v>
      </c>
      <c r="Q102" s="93">
        <v>100</v>
      </c>
      <c r="R102" s="93">
        <v>100</v>
      </c>
      <c r="S102" s="93" t="s">
        <v>29</v>
      </c>
      <c r="T102" s="93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23">
        <v>76</v>
      </c>
      <c r="AP102" s="26">
        <v>100</v>
      </c>
      <c r="AQ102" s="26">
        <v>100</v>
      </c>
      <c r="AR102" s="26">
        <v>100</v>
      </c>
      <c r="AS102" s="26">
        <v>100</v>
      </c>
      <c r="AT102" s="26">
        <v>100</v>
      </c>
      <c r="AU102" s="26">
        <v>100</v>
      </c>
      <c r="AV102" s="26">
        <v>100</v>
      </c>
      <c r="AW102" s="23" t="s">
        <v>29</v>
      </c>
      <c r="AX102" s="23"/>
      <c r="AY102" s="93">
        <v>76</v>
      </c>
      <c r="AZ102" s="105">
        <v>100</v>
      </c>
      <c r="BA102" s="105">
        <v>100</v>
      </c>
      <c r="BB102" s="105">
        <v>100</v>
      </c>
      <c r="BC102" s="105">
        <v>100</v>
      </c>
      <c r="BD102" s="105">
        <v>100</v>
      </c>
      <c r="BE102" s="105">
        <v>100</v>
      </c>
      <c r="BF102" s="105">
        <v>100</v>
      </c>
      <c r="BG102" s="93" t="s">
        <v>29</v>
      </c>
      <c r="BH102" s="106"/>
      <c r="BI102" s="1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12"/>
      <c r="CB102" s="12"/>
      <c r="CC102" s="2"/>
    </row>
    <row r="103" spans="1:81" x14ac:dyDescent="0.2">
      <c r="A103" s="96">
        <v>1237</v>
      </c>
      <c r="B103" s="96">
        <v>100</v>
      </c>
      <c r="C103" s="96">
        <v>100</v>
      </c>
      <c r="D103" s="96">
        <v>100</v>
      </c>
      <c r="E103" s="96">
        <v>100</v>
      </c>
      <c r="F103" s="96">
        <v>100</v>
      </c>
      <c r="G103" s="96">
        <v>100</v>
      </c>
      <c r="H103" s="96">
        <v>100</v>
      </c>
      <c r="I103" s="96" t="s">
        <v>29</v>
      </c>
      <c r="J103" s="93"/>
      <c r="K103" s="93">
        <v>1336</v>
      </c>
      <c r="L103" s="93">
        <v>100</v>
      </c>
      <c r="M103" s="93">
        <v>100</v>
      </c>
      <c r="N103" s="93">
        <v>100</v>
      </c>
      <c r="O103" s="93">
        <v>100</v>
      </c>
      <c r="P103" s="93">
        <v>100</v>
      </c>
      <c r="Q103" s="93">
        <v>100</v>
      </c>
      <c r="R103" s="93">
        <v>100</v>
      </c>
      <c r="S103" s="93" t="s">
        <v>29</v>
      </c>
      <c r="T103" s="93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23">
        <v>77</v>
      </c>
      <c r="AP103" s="26">
        <v>100</v>
      </c>
      <c r="AQ103" s="26">
        <v>100</v>
      </c>
      <c r="AR103" s="26">
        <v>100</v>
      </c>
      <c r="AS103" s="26">
        <v>100</v>
      </c>
      <c r="AT103" s="26">
        <v>100</v>
      </c>
      <c r="AU103" s="26">
        <v>100</v>
      </c>
      <c r="AV103" s="26">
        <v>100</v>
      </c>
      <c r="AW103" s="23" t="s">
        <v>29</v>
      </c>
      <c r="AX103" s="23"/>
      <c r="AY103" s="93">
        <v>77</v>
      </c>
      <c r="AZ103" s="105">
        <v>100</v>
      </c>
      <c r="BA103" s="105">
        <v>100</v>
      </c>
      <c r="BB103" s="105">
        <v>100</v>
      </c>
      <c r="BC103" s="105">
        <v>100</v>
      </c>
      <c r="BD103" s="105">
        <v>100</v>
      </c>
      <c r="BE103" s="105">
        <v>100</v>
      </c>
      <c r="BF103" s="105">
        <v>100</v>
      </c>
      <c r="BG103" s="93" t="s">
        <v>29</v>
      </c>
      <c r="BH103" s="106"/>
      <c r="BI103" s="1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12"/>
      <c r="CB103" s="12"/>
      <c r="CC103" s="2"/>
    </row>
    <row r="104" spans="1:81" x14ac:dyDescent="0.2">
      <c r="A104" s="96">
        <v>1238</v>
      </c>
      <c r="B104" s="96">
        <v>100</v>
      </c>
      <c r="C104" s="96">
        <v>100</v>
      </c>
      <c r="D104" s="96">
        <v>100</v>
      </c>
      <c r="E104" s="96">
        <v>100</v>
      </c>
      <c r="F104" s="96">
        <v>100</v>
      </c>
      <c r="G104" s="96">
        <v>100</v>
      </c>
      <c r="H104" s="96">
        <v>100</v>
      </c>
      <c r="I104" s="96" t="s">
        <v>29</v>
      </c>
      <c r="J104" s="93"/>
      <c r="K104" s="93">
        <v>1337</v>
      </c>
      <c r="L104" s="93">
        <v>100</v>
      </c>
      <c r="M104" s="93">
        <v>100</v>
      </c>
      <c r="N104" s="93">
        <v>100</v>
      </c>
      <c r="O104" s="93">
        <v>100</v>
      </c>
      <c r="P104" s="93">
        <v>100</v>
      </c>
      <c r="Q104" s="93">
        <v>100</v>
      </c>
      <c r="R104" s="93">
        <v>100</v>
      </c>
      <c r="S104" s="93" t="s">
        <v>29</v>
      </c>
      <c r="T104" s="93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23">
        <v>78</v>
      </c>
      <c r="AP104" s="26">
        <v>100</v>
      </c>
      <c r="AQ104" s="26">
        <v>100</v>
      </c>
      <c r="AR104" s="26">
        <v>100</v>
      </c>
      <c r="AS104" s="26">
        <v>100</v>
      </c>
      <c r="AT104" s="26">
        <v>100</v>
      </c>
      <c r="AU104" s="26">
        <v>100</v>
      </c>
      <c r="AV104" s="26">
        <v>100</v>
      </c>
      <c r="AW104" s="23" t="s">
        <v>29</v>
      </c>
      <c r="AX104" s="23"/>
      <c r="AY104" s="93">
        <v>78</v>
      </c>
      <c r="AZ104" s="105">
        <v>100</v>
      </c>
      <c r="BA104" s="105">
        <v>100</v>
      </c>
      <c r="BB104" s="105">
        <v>100</v>
      </c>
      <c r="BC104" s="105">
        <v>100</v>
      </c>
      <c r="BD104" s="105">
        <v>100</v>
      </c>
      <c r="BE104" s="105">
        <v>100</v>
      </c>
      <c r="BF104" s="105">
        <v>100</v>
      </c>
      <c r="BG104" s="93" t="s">
        <v>29</v>
      </c>
      <c r="BH104" s="106"/>
      <c r="BI104" s="1"/>
      <c r="BJ104" s="2"/>
      <c r="BK104" s="2"/>
      <c r="BL104" s="2"/>
      <c r="BM104" s="2"/>
      <c r="BN104" s="2"/>
      <c r="BO104" s="12"/>
      <c r="BP104" s="12"/>
      <c r="BQ104" s="12"/>
      <c r="BR104" s="12"/>
      <c r="BS104" s="12"/>
      <c r="BT104" s="12"/>
      <c r="BU104" s="2"/>
      <c r="BV104" s="2"/>
      <c r="BW104" s="2"/>
      <c r="BX104" s="2"/>
      <c r="BY104" s="2"/>
      <c r="BZ104" s="2"/>
      <c r="CA104" s="12"/>
      <c r="CB104" s="12"/>
      <c r="CC104" s="2"/>
    </row>
    <row r="105" spans="1:81" x14ac:dyDescent="0.2">
      <c r="A105" s="96">
        <v>1239</v>
      </c>
      <c r="B105" s="96">
        <v>100</v>
      </c>
      <c r="C105" s="96">
        <v>100</v>
      </c>
      <c r="D105" s="96">
        <v>100</v>
      </c>
      <c r="E105" s="96">
        <v>100</v>
      </c>
      <c r="F105" s="96">
        <v>100</v>
      </c>
      <c r="G105" s="96">
        <v>100</v>
      </c>
      <c r="H105" s="96">
        <v>100</v>
      </c>
      <c r="I105" s="96" t="s">
        <v>29</v>
      </c>
      <c r="J105" s="93"/>
      <c r="K105" s="93">
        <v>1338</v>
      </c>
      <c r="L105" s="93">
        <v>100</v>
      </c>
      <c r="M105" s="93">
        <v>100</v>
      </c>
      <c r="N105" s="93">
        <v>100</v>
      </c>
      <c r="O105" s="93">
        <v>100</v>
      </c>
      <c r="P105" s="93">
        <v>100</v>
      </c>
      <c r="Q105" s="93">
        <v>100</v>
      </c>
      <c r="R105" s="93">
        <v>100</v>
      </c>
      <c r="S105" s="93" t="s">
        <v>29</v>
      </c>
      <c r="T105" s="93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23">
        <v>79</v>
      </c>
      <c r="AP105" s="26">
        <v>100</v>
      </c>
      <c r="AQ105" s="26">
        <v>100</v>
      </c>
      <c r="AR105" s="26">
        <v>100</v>
      </c>
      <c r="AS105" s="26">
        <v>100</v>
      </c>
      <c r="AT105" s="26">
        <v>100</v>
      </c>
      <c r="AU105" s="26">
        <v>100</v>
      </c>
      <c r="AV105" s="26">
        <v>100</v>
      </c>
      <c r="AW105" s="23" t="s">
        <v>29</v>
      </c>
      <c r="AX105" s="23"/>
      <c r="AY105" s="93">
        <v>79</v>
      </c>
      <c r="AZ105" s="105">
        <v>100</v>
      </c>
      <c r="BA105" s="105">
        <v>100</v>
      </c>
      <c r="BB105" s="105">
        <v>100</v>
      </c>
      <c r="BC105" s="105">
        <v>100</v>
      </c>
      <c r="BD105" s="105">
        <v>100</v>
      </c>
      <c r="BE105" s="105">
        <v>100</v>
      </c>
      <c r="BF105" s="105">
        <v>100</v>
      </c>
      <c r="BG105" s="93" t="s">
        <v>29</v>
      </c>
      <c r="BH105" s="106"/>
      <c r="BI105" s="1"/>
      <c r="BJ105" s="2"/>
      <c r="BK105" s="2"/>
      <c r="BL105" s="2"/>
      <c r="BM105" s="2"/>
      <c r="BN105" s="2"/>
      <c r="BO105" s="12"/>
      <c r="BP105" s="12"/>
      <c r="BQ105" s="12"/>
      <c r="BR105" s="12"/>
      <c r="BS105" s="12"/>
      <c r="BT105" s="12"/>
      <c r="BU105" s="2"/>
      <c r="BV105" s="2"/>
      <c r="BW105" s="2"/>
      <c r="BX105" s="2"/>
      <c r="BY105" s="2"/>
      <c r="BZ105" s="2"/>
      <c r="CA105" s="12"/>
      <c r="CB105" s="12"/>
      <c r="CC105" s="2"/>
    </row>
    <row r="106" spans="1:81" x14ac:dyDescent="0.2">
      <c r="A106" s="96">
        <v>1240</v>
      </c>
      <c r="B106" s="96">
        <v>100</v>
      </c>
      <c r="C106" s="96">
        <v>100</v>
      </c>
      <c r="D106" s="96">
        <v>100</v>
      </c>
      <c r="E106" s="96">
        <v>100</v>
      </c>
      <c r="F106" s="96">
        <v>100</v>
      </c>
      <c r="G106" s="96">
        <v>100</v>
      </c>
      <c r="H106" s="96">
        <v>100</v>
      </c>
      <c r="I106" s="96" t="s">
        <v>29</v>
      </c>
      <c r="J106" s="93"/>
      <c r="K106" s="93">
        <v>1339</v>
      </c>
      <c r="L106" s="93">
        <v>100</v>
      </c>
      <c r="M106" s="93">
        <v>100</v>
      </c>
      <c r="N106" s="93">
        <v>100</v>
      </c>
      <c r="O106" s="93">
        <v>100</v>
      </c>
      <c r="P106" s="93">
        <v>100</v>
      </c>
      <c r="Q106" s="93">
        <v>100</v>
      </c>
      <c r="R106" s="93">
        <v>100</v>
      </c>
      <c r="S106" s="93" t="s">
        <v>29</v>
      </c>
      <c r="T106" s="93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23">
        <v>80</v>
      </c>
      <c r="AP106" s="26">
        <v>100</v>
      </c>
      <c r="AQ106" s="26">
        <v>100</v>
      </c>
      <c r="AR106" s="26">
        <v>100</v>
      </c>
      <c r="AS106" s="26">
        <v>100</v>
      </c>
      <c r="AT106" s="26">
        <v>100</v>
      </c>
      <c r="AU106" s="26">
        <v>100</v>
      </c>
      <c r="AV106" s="26">
        <v>100</v>
      </c>
      <c r="AW106" s="23" t="s">
        <v>29</v>
      </c>
      <c r="AX106" s="23"/>
      <c r="AY106" s="93">
        <v>80</v>
      </c>
      <c r="AZ106" s="105">
        <v>100</v>
      </c>
      <c r="BA106" s="105">
        <v>100</v>
      </c>
      <c r="BB106" s="105">
        <v>100</v>
      </c>
      <c r="BC106" s="105">
        <v>100</v>
      </c>
      <c r="BD106" s="105">
        <v>100</v>
      </c>
      <c r="BE106" s="105">
        <v>100</v>
      </c>
      <c r="BF106" s="105">
        <v>100</v>
      </c>
      <c r="BG106" s="93" t="s">
        <v>29</v>
      </c>
      <c r="BH106" s="106"/>
      <c r="BI106" s="1"/>
      <c r="BJ106" s="2"/>
      <c r="BK106" s="2"/>
      <c r="BL106" s="2"/>
      <c r="BM106" s="2"/>
      <c r="BN106" s="2"/>
      <c r="BO106" s="12"/>
      <c r="BP106" s="12"/>
      <c r="BQ106" s="12"/>
      <c r="BR106" s="12"/>
      <c r="BS106" s="12"/>
      <c r="BT106" s="12"/>
      <c r="BU106" s="2"/>
      <c r="BV106" s="2"/>
      <c r="BW106" s="2"/>
      <c r="BX106" s="2"/>
      <c r="BY106" s="2"/>
      <c r="BZ106" s="2"/>
      <c r="CA106" s="12"/>
      <c r="CB106" s="12"/>
      <c r="CC106" s="12"/>
    </row>
    <row r="107" spans="1:81" x14ac:dyDescent="0.2">
      <c r="A107" s="96">
        <v>1241</v>
      </c>
      <c r="B107" s="96">
        <v>100</v>
      </c>
      <c r="C107" s="96">
        <v>100</v>
      </c>
      <c r="D107" s="96">
        <v>100</v>
      </c>
      <c r="E107" s="96">
        <v>100</v>
      </c>
      <c r="F107" s="96">
        <v>100</v>
      </c>
      <c r="G107" s="96">
        <v>100</v>
      </c>
      <c r="H107" s="96">
        <v>100</v>
      </c>
      <c r="I107" s="96" t="s">
        <v>29</v>
      </c>
      <c r="J107" s="93"/>
      <c r="K107" s="93">
        <v>1340</v>
      </c>
      <c r="L107" s="93">
        <v>100</v>
      </c>
      <c r="M107" s="93">
        <v>100</v>
      </c>
      <c r="N107" s="93">
        <v>100</v>
      </c>
      <c r="O107" s="93">
        <v>100</v>
      </c>
      <c r="P107" s="93">
        <v>100</v>
      </c>
      <c r="Q107" s="93">
        <v>100</v>
      </c>
      <c r="R107" s="93">
        <v>100</v>
      </c>
      <c r="S107" s="93" t="s">
        <v>29</v>
      </c>
      <c r="T107" s="93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23">
        <v>81</v>
      </c>
      <c r="AP107" s="26">
        <v>100</v>
      </c>
      <c r="AQ107" s="26">
        <v>100</v>
      </c>
      <c r="AR107" s="26">
        <v>100</v>
      </c>
      <c r="AS107" s="26">
        <v>100</v>
      </c>
      <c r="AT107" s="26">
        <v>100</v>
      </c>
      <c r="AU107" s="26">
        <v>100</v>
      </c>
      <c r="AV107" s="26">
        <v>100</v>
      </c>
      <c r="AW107" s="23" t="s">
        <v>29</v>
      </c>
      <c r="AX107" s="23"/>
      <c r="AY107" s="93">
        <v>81</v>
      </c>
      <c r="AZ107" s="105">
        <v>100</v>
      </c>
      <c r="BA107" s="105">
        <v>100</v>
      </c>
      <c r="BB107" s="105">
        <v>100</v>
      </c>
      <c r="BC107" s="105">
        <v>100</v>
      </c>
      <c r="BD107" s="105">
        <v>100</v>
      </c>
      <c r="BE107" s="105">
        <v>100</v>
      </c>
      <c r="BF107" s="105">
        <v>100</v>
      </c>
      <c r="BG107" s="93" t="s">
        <v>29</v>
      </c>
      <c r="BH107" s="106"/>
      <c r="BI107" s="1"/>
      <c r="BJ107" s="2"/>
      <c r="BK107" s="2"/>
      <c r="BL107" s="2"/>
      <c r="BM107" s="2"/>
      <c r="BN107" s="2"/>
      <c r="BO107" s="12"/>
      <c r="BP107" s="12"/>
      <c r="BQ107" s="12"/>
      <c r="BR107" s="12"/>
      <c r="BS107" s="12"/>
      <c r="BT107" s="12"/>
      <c r="BU107" s="2"/>
      <c r="BV107" s="2"/>
      <c r="BW107" s="2"/>
      <c r="BX107" s="2"/>
      <c r="BY107" s="2"/>
      <c r="BZ107" s="2"/>
      <c r="CA107" s="12"/>
      <c r="CB107" s="12"/>
      <c r="CC107" s="12"/>
    </row>
    <row r="108" spans="1:81" x14ac:dyDescent="0.2">
      <c r="A108" s="96">
        <v>1242</v>
      </c>
      <c r="B108" s="96">
        <v>100</v>
      </c>
      <c r="C108" s="96">
        <v>100</v>
      </c>
      <c r="D108" s="96">
        <v>100</v>
      </c>
      <c r="E108" s="96">
        <v>100</v>
      </c>
      <c r="F108" s="96">
        <v>100</v>
      </c>
      <c r="G108" s="96">
        <v>100</v>
      </c>
      <c r="H108" s="96">
        <v>100</v>
      </c>
      <c r="I108" s="96" t="s">
        <v>29</v>
      </c>
      <c r="J108" s="93"/>
      <c r="K108" s="93">
        <v>1341</v>
      </c>
      <c r="L108" s="93">
        <v>100</v>
      </c>
      <c r="M108" s="93">
        <v>100</v>
      </c>
      <c r="N108" s="93">
        <v>100</v>
      </c>
      <c r="O108" s="93">
        <v>100</v>
      </c>
      <c r="P108" s="93">
        <v>100</v>
      </c>
      <c r="Q108" s="93">
        <v>100</v>
      </c>
      <c r="R108" s="93">
        <v>100</v>
      </c>
      <c r="S108" s="93" t="s">
        <v>29</v>
      </c>
      <c r="T108" s="93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23">
        <v>82</v>
      </c>
      <c r="AP108" s="26">
        <v>100</v>
      </c>
      <c r="AQ108" s="26">
        <v>100</v>
      </c>
      <c r="AR108" s="26">
        <v>100</v>
      </c>
      <c r="AS108" s="26">
        <v>100</v>
      </c>
      <c r="AT108" s="26">
        <v>100</v>
      </c>
      <c r="AU108" s="26">
        <v>100</v>
      </c>
      <c r="AV108" s="26">
        <v>100</v>
      </c>
      <c r="AW108" s="23" t="s">
        <v>29</v>
      </c>
      <c r="AX108" s="23"/>
      <c r="AY108" s="93">
        <v>82</v>
      </c>
      <c r="AZ108" s="105">
        <v>100</v>
      </c>
      <c r="BA108" s="105">
        <v>100</v>
      </c>
      <c r="BB108" s="105">
        <v>100</v>
      </c>
      <c r="BC108" s="105">
        <v>100</v>
      </c>
      <c r="BD108" s="105">
        <v>100</v>
      </c>
      <c r="BE108" s="105">
        <v>100</v>
      </c>
      <c r="BF108" s="105">
        <v>100</v>
      </c>
      <c r="BG108" s="93" t="s">
        <v>29</v>
      </c>
      <c r="BH108" s="106"/>
      <c r="BI108" s="1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2"/>
      <c r="BV108" s="2"/>
      <c r="BW108" s="2"/>
      <c r="BX108" s="2"/>
      <c r="BY108" s="2"/>
      <c r="BZ108" s="2"/>
      <c r="CA108" s="12"/>
      <c r="CB108" s="12"/>
      <c r="CC108" s="12"/>
    </row>
    <row r="109" spans="1:81" x14ac:dyDescent="0.2">
      <c r="A109" s="96">
        <v>1243</v>
      </c>
      <c r="B109" s="96">
        <v>100</v>
      </c>
      <c r="C109" s="96">
        <v>100</v>
      </c>
      <c r="D109" s="96">
        <v>100</v>
      </c>
      <c r="E109" s="96">
        <v>100</v>
      </c>
      <c r="F109" s="96">
        <v>100</v>
      </c>
      <c r="G109" s="96">
        <v>100</v>
      </c>
      <c r="H109" s="96">
        <v>100</v>
      </c>
      <c r="I109" s="96" t="s">
        <v>29</v>
      </c>
      <c r="J109" s="93"/>
      <c r="K109" s="93">
        <v>1342</v>
      </c>
      <c r="L109" s="93">
        <v>100</v>
      </c>
      <c r="M109" s="93">
        <v>100</v>
      </c>
      <c r="N109" s="93">
        <v>100</v>
      </c>
      <c r="O109" s="93">
        <v>100</v>
      </c>
      <c r="P109" s="93">
        <v>100</v>
      </c>
      <c r="Q109" s="93">
        <v>100</v>
      </c>
      <c r="R109" s="93">
        <v>100</v>
      </c>
      <c r="S109" s="93" t="s">
        <v>29</v>
      </c>
      <c r="T109" s="93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23">
        <v>83</v>
      </c>
      <c r="AP109" s="26">
        <v>100</v>
      </c>
      <c r="AQ109" s="26">
        <v>100</v>
      </c>
      <c r="AR109" s="26">
        <v>100</v>
      </c>
      <c r="AS109" s="26">
        <v>100</v>
      </c>
      <c r="AT109" s="26">
        <v>100</v>
      </c>
      <c r="AU109" s="26">
        <v>100</v>
      </c>
      <c r="AV109" s="26">
        <v>100</v>
      </c>
      <c r="AW109" s="23" t="s">
        <v>29</v>
      </c>
      <c r="AX109" s="23"/>
      <c r="AY109" s="93">
        <v>83</v>
      </c>
      <c r="AZ109" s="105">
        <v>100</v>
      </c>
      <c r="BA109" s="105">
        <v>100</v>
      </c>
      <c r="BB109" s="105">
        <v>100</v>
      </c>
      <c r="BC109" s="105">
        <v>100</v>
      </c>
      <c r="BD109" s="105">
        <v>100</v>
      </c>
      <c r="BE109" s="105">
        <v>100</v>
      </c>
      <c r="BF109" s="105">
        <v>100</v>
      </c>
      <c r="BG109" s="93" t="s">
        <v>29</v>
      </c>
      <c r="BH109" s="106"/>
      <c r="BI109" s="1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2"/>
      <c r="BV109" s="2"/>
      <c r="BW109" s="2"/>
      <c r="BX109" s="2"/>
      <c r="BY109" s="2"/>
      <c r="BZ109" s="2"/>
      <c r="CA109" s="12"/>
      <c r="CB109" s="12"/>
      <c r="CC109" s="12"/>
    </row>
    <row r="110" spans="1:81" x14ac:dyDescent="0.2">
      <c r="A110" s="96">
        <v>1244</v>
      </c>
      <c r="B110" s="96">
        <v>100</v>
      </c>
      <c r="C110" s="96">
        <v>100</v>
      </c>
      <c r="D110" s="96">
        <v>100</v>
      </c>
      <c r="E110" s="96">
        <v>100</v>
      </c>
      <c r="F110" s="96">
        <v>100</v>
      </c>
      <c r="G110" s="96">
        <v>100</v>
      </c>
      <c r="H110" s="96">
        <v>100</v>
      </c>
      <c r="I110" s="96" t="s">
        <v>29</v>
      </c>
      <c r="J110" s="93"/>
      <c r="K110" s="93">
        <v>1343</v>
      </c>
      <c r="L110" s="93">
        <v>100</v>
      </c>
      <c r="M110" s="93">
        <v>100</v>
      </c>
      <c r="N110" s="93">
        <v>100</v>
      </c>
      <c r="O110" s="93">
        <v>100</v>
      </c>
      <c r="P110" s="93">
        <v>100</v>
      </c>
      <c r="Q110" s="93">
        <v>100</v>
      </c>
      <c r="R110" s="93">
        <v>100</v>
      </c>
      <c r="S110" s="93" t="s">
        <v>29</v>
      </c>
      <c r="T110" s="93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23">
        <v>84</v>
      </c>
      <c r="AP110" s="26">
        <v>100</v>
      </c>
      <c r="AQ110" s="26">
        <v>100</v>
      </c>
      <c r="AR110" s="26">
        <v>100</v>
      </c>
      <c r="AS110" s="26">
        <v>100</v>
      </c>
      <c r="AT110" s="26">
        <v>100</v>
      </c>
      <c r="AU110" s="26">
        <v>100</v>
      </c>
      <c r="AV110" s="26">
        <v>100</v>
      </c>
      <c r="AW110" s="23" t="s">
        <v>29</v>
      </c>
      <c r="AX110" s="23"/>
      <c r="AY110" s="93">
        <v>84</v>
      </c>
      <c r="AZ110" s="105">
        <v>100</v>
      </c>
      <c r="BA110" s="105">
        <v>100</v>
      </c>
      <c r="BB110" s="105">
        <v>100</v>
      </c>
      <c r="BC110" s="105">
        <v>100</v>
      </c>
      <c r="BD110" s="105">
        <v>100</v>
      </c>
      <c r="BE110" s="105">
        <v>100</v>
      </c>
      <c r="BF110" s="105">
        <v>100</v>
      </c>
      <c r="BG110" s="93" t="s">
        <v>29</v>
      </c>
      <c r="BH110" s="106"/>
      <c r="BI110" s="1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2"/>
      <c r="BV110" s="2"/>
      <c r="BW110" s="2"/>
      <c r="BX110" s="2"/>
      <c r="BY110" s="2"/>
      <c r="BZ110" s="2"/>
      <c r="CA110" s="12"/>
      <c r="CB110" s="12"/>
      <c r="CC110" s="12"/>
    </row>
    <row r="111" spans="1:81" x14ac:dyDescent="0.2">
      <c r="A111" s="96">
        <v>1245</v>
      </c>
      <c r="B111" s="96">
        <v>100</v>
      </c>
      <c r="C111" s="96">
        <v>100</v>
      </c>
      <c r="D111" s="96">
        <v>100</v>
      </c>
      <c r="E111" s="96">
        <v>100</v>
      </c>
      <c r="F111" s="96">
        <v>100</v>
      </c>
      <c r="G111" s="96">
        <v>100</v>
      </c>
      <c r="H111" s="96">
        <v>100</v>
      </c>
      <c r="I111" s="96" t="s">
        <v>29</v>
      </c>
      <c r="J111" s="93"/>
      <c r="K111" s="93">
        <v>1344</v>
      </c>
      <c r="L111" s="93">
        <v>100</v>
      </c>
      <c r="M111" s="93">
        <v>100</v>
      </c>
      <c r="N111" s="93">
        <v>100</v>
      </c>
      <c r="O111" s="93">
        <v>100</v>
      </c>
      <c r="P111" s="93">
        <v>100</v>
      </c>
      <c r="Q111" s="93">
        <v>100</v>
      </c>
      <c r="R111" s="93">
        <v>100</v>
      </c>
      <c r="S111" s="93" t="s">
        <v>29</v>
      </c>
      <c r="T111" s="93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23">
        <v>85</v>
      </c>
      <c r="AP111" s="26">
        <v>100</v>
      </c>
      <c r="AQ111" s="26">
        <v>100</v>
      </c>
      <c r="AR111" s="26">
        <v>100</v>
      </c>
      <c r="AS111" s="26">
        <v>100</v>
      </c>
      <c r="AT111" s="26">
        <v>100</v>
      </c>
      <c r="AU111" s="26">
        <v>100</v>
      </c>
      <c r="AV111" s="26">
        <v>100</v>
      </c>
      <c r="AW111" s="23" t="s">
        <v>29</v>
      </c>
      <c r="AX111" s="23"/>
      <c r="AY111" s="93">
        <v>85</v>
      </c>
      <c r="AZ111" s="105">
        <v>100</v>
      </c>
      <c r="BA111" s="105">
        <v>100</v>
      </c>
      <c r="BB111" s="105">
        <v>100</v>
      </c>
      <c r="BC111" s="105">
        <v>100</v>
      </c>
      <c r="BD111" s="105">
        <v>100</v>
      </c>
      <c r="BE111" s="105">
        <v>100</v>
      </c>
      <c r="BF111" s="105">
        <v>100</v>
      </c>
      <c r="BG111" s="93" t="s">
        <v>29</v>
      </c>
      <c r="BH111" s="106"/>
      <c r="BI111" s="1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2"/>
      <c r="BV111" s="2"/>
      <c r="BW111" s="2"/>
      <c r="BX111" s="2"/>
      <c r="BY111" s="2"/>
      <c r="BZ111" s="2"/>
      <c r="CA111" s="12"/>
      <c r="CB111" s="12"/>
      <c r="CC111" s="12"/>
    </row>
    <row r="112" spans="1:81" x14ac:dyDescent="0.2">
      <c r="A112" s="96">
        <v>1246</v>
      </c>
      <c r="B112" s="96">
        <v>100</v>
      </c>
      <c r="C112" s="96">
        <v>100</v>
      </c>
      <c r="D112" s="96">
        <v>100</v>
      </c>
      <c r="E112" s="96">
        <v>100</v>
      </c>
      <c r="F112" s="96">
        <v>100</v>
      </c>
      <c r="G112" s="96">
        <v>100</v>
      </c>
      <c r="H112" s="96">
        <v>100</v>
      </c>
      <c r="I112" s="96" t="s">
        <v>29</v>
      </c>
      <c r="J112" s="93"/>
      <c r="K112" s="93">
        <v>1345</v>
      </c>
      <c r="L112" s="93">
        <v>100</v>
      </c>
      <c r="M112" s="93">
        <v>100</v>
      </c>
      <c r="N112" s="93">
        <v>100</v>
      </c>
      <c r="O112" s="93">
        <v>100</v>
      </c>
      <c r="P112" s="93">
        <v>100</v>
      </c>
      <c r="Q112" s="93">
        <v>100</v>
      </c>
      <c r="R112" s="93">
        <v>100</v>
      </c>
      <c r="S112" s="93" t="s">
        <v>29</v>
      </c>
      <c r="T112" s="93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23">
        <v>86</v>
      </c>
      <c r="AP112" s="26">
        <v>100</v>
      </c>
      <c r="AQ112" s="26">
        <v>100</v>
      </c>
      <c r="AR112" s="26">
        <v>100</v>
      </c>
      <c r="AS112" s="26">
        <v>100</v>
      </c>
      <c r="AT112" s="26">
        <v>100</v>
      </c>
      <c r="AU112" s="26">
        <v>100</v>
      </c>
      <c r="AV112" s="26">
        <v>100</v>
      </c>
      <c r="AW112" s="23" t="s">
        <v>29</v>
      </c>
      <c r="AX112" s="23"/>
      <c r="AY112" s="93">
        <v>86</v>
      </c>
      <c r="AZ112" s="105">
        <v>100</v>
      </c>
      <c r="BA112" s="105">
        <v>100</v>
      </c>
      <c r="BB112" s="105">
        <v>100</v>
      </c>
      <c r="BC112" s="105">
        <v>100</v>
      </c>
      <c r="BD112" s="105">
        <v>100</v>
      </c>
      <c r="BE112" s="105">
        <v>100</v>
      </c>
      <c r="BF112" s="105">
        <v>100</v>
      </c>
      <c r="BG112" s="93" t="s">
        <v>29</v>
      </c>
      <c r="BH112" s="106"/>
      <c r="BI112" s="1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</row>
    <row r="113" spans="1:81" x14ac:dyDescent="0.2">
      <c r="A113" s="96">
        <v>1247</v>
      </c>
      <c r="B113" s="96">
        <v>100</v>
      </c>
      <c r="C113" s="96">
        <v>100</v>
      </c>
      <c r="D113" s="96">
        <v>100</v>
      </c>
      <c r="E113" s="96">
        <v>100</v>
      </c>
      <c r="F113" s="96">
        <v>100</v>
      </c>
      <c r="G113" s="96">
        <v>100</v>
      </c>
      <c r="H113" s="96">
        <v>100</v>
      </c>
      <c r="I113" s="96" t="s">
        <v>29</v>
      </c>
      <c r="J113" s="93"/>
      <c r="K113" s="93">
        <v>1346</v>
      </c>
      <c r="L113" s="93">
        <v>100</v>
      </c>
      <c r="M113" s="93">
        <v>100</v>
      </c>
      <c r="N113" s="93">
        <v>100</v>
      </c>
      <c r="O113" s="93">
        <v>100</v>
      </c>
      <c r="P113" s="93">
        <v>100</v>
      </c>
      <c r="Q113" s="93">
        <v>100</v>
      </c>
      <c r="R113" s="93">
        <v>100</v>
      </c>
      <c r="S113" s="93" t="s">
        <v>29</v>
      </c>
      <c r="T113" s="93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23">
        <v>87</v>
      </c>
      <c r="AP113" s="26">
        <v>100</v>
      </c>
      <c r="AQ113" s="26">
        <v>100</v>
      </c>
      <c r="AR113" s="26">
        <v>100</v>
      </c>
      <c r="AS113" s="26">
        <v>100</v>
      </c>
      <c r="AT113" s="26">
        <v>100</v>
      </c>
      <c r="AU113" s="26">
        <v>100</v>
      </c>
      <c r="AV113" s="26">
        <v>100</v>
      </c>
      <c r="AW113" s="23" t="s">
        <v>29</v>
      </c>
      <c r="AX113" s="23"/>
      <c r="AY113" s="93">
        <v>87</v>
      </c>
      <c r="AZ113" s="105">
        <v>100</v>
      </c>
      <c r="BA113" s="105">
        <v>100</v>
      </c>
      <c r="BB113" s="105">
        <v>100</v>
      </c>
      <c r="BC113" s="105">
        <v>100</v>
      </c>
      <c r="BD113" s="105">
        <v>100</v>
      </c>
      <c r="BE113" s="105">
        <v>100</v>
      </c>
      <c r="BF113" s="105">
        <v>100</v>
      </c>
      <c r="BG113" s="93" t="s">
        <v>29</v>
      </c>
      <c r="BH113" s="106"/>
      <c r="BI113" s="1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</row>
    <row r="114" spans="1:81" x14ac:dyDescent="0.2">
      <c r="A114" s="96">
        <v>1248</v>
      </c>
      <c r="B114" s="96">
        <v>100</v>
      </c>
      <c r="C114" s="96">
        <v>100</v>
      </c>
      <c r="D114" s="96">
        <v>100</v>
      </c>
      <c r="E114" s="96">
        <v>100</v>
      </c>
      <c r="F114" s="96">
        <v>100</v>
      </c>
      <c r="G114" s="96">
        <v>100</v>
      </c>
      <c r="H114" s="96">
        <v>100</v>
      </c>
      <c r="I114" s="96" t="s">
        <v>29</v>
      </c>
      <c r="J114" s="93"/>
      <c r="K114" s="93">
        <v>1347</v>
      </c>
      <c r="L114" s="93">
        <v>100</v>
      </c>
      <c r="M114" s="93">
        <v>100</v>
      </c>
      <c r="N114" s="93">
        <v>100</v>
      </c>
      <c r="O114" s="93">
        <v>100</v>
      </c>
      <c r="P114" s="93">
        <v>100</v>
      </c>
      <c r="Q114" s="93">
        <v>100</v>
      </c>
      <c r="R114" s="93">
        <v>100</v>
      </c>
      <c r="S114" s="93" t="s">
        <v>29</v>
      </c>
      <c r="T114" s="93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23">
        <v>88</v>
      </c>
      <c r="AP114" s="26">
        <v>100</v>
      </c>
      <c r="AQ114" s="26">
        <v>100</v>
      </c>
      <c r="AR114" s="26">
        <v>100</v>
      </c>
      <c r="AS114" s="26">
        <v>100</v>
      </c>
      <c r="AT114" s="26">
        <v>100</v>
      </c>
      <c r="AU114" s="26">
        <v>100</v>
      </c>
      <c r="AV114" s="26">
        <v>100</v>
      </c>
      <c r="AW114" s="23" t="s">
        <v>29</v>
      </c>
      <c r="AX114" s="23"/>
      <c r="AY114" s="93">
        <v>88</v>
      </c>
      <c r="AZ114" s="105">
        <v>100</v>
      </c>
      <c r="BA114" s="105">
        <v>100</v>
      </c>
      <c r="BB114" s="105">
        <v>100</v>
      </c>
      <c r="BC114" s="105">
        <v>100</v>
      </c>
      <c r="BD114" s="105">
        <v>100</v>
      </c>
      <c r="BE114" s="105">
        <v>100</v>
      </c>
      <c r="BF114" s="105">
        <v>100</v>
      </c>
      <c r="BG114" s="93" t="s">
        <v>29</v>
      </c>
      <c r="BH114" s="106"/>
      <c r="BI114" s="1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</row>
    <row r="115" spans="1:81" x14ac:dyDescent="0.2">
      <c r="A115" s="96">
        <v>1249</v>
      </c>
      <c r="B115" s="96">
        <v>100</v>
      </c>
      <c r="C115" s="96">
        <v>100</v>
      </c>
      <c r="D115" s="96">
        <v>100</v>
      </c>
      <c r="E115" s="96">
        <v>100</v>
      </c>
      <c r="F115" s="96">
        <v>100</v>
      </c>
      <c r="G115" s="96">
        <v>100</v>
      </c>
      <c r="H115" s="96">
        <v>100</v>
      </c>
      <c r="I115" s="96" t="s">
        <v>29</v>
      </c>
      <c r="J115" s="93"/>
      <c r="K115" s="93">
        <v>1348</v>
      </c>
      <c r="L115" s="93">
        <v>100</v>
      </c>
      <c r="M115" s="93">
        <v>100</v>
      </c>
      <c r="N115" s="93">
        <v>100</v>
      </c>
      <c r="O115" s="93">
        <v>100</v>
      </c>
      <c r="P115" s="93">
        <v>100</v>
      </c>
      <c r="Q115" s="93">
        <v>100</v>
      </c>
      <c r="R115" s="93">
        <v>100</v>
      </c>
      <c r="S115" s="93" t="s">
        <v>29</v>
      </c>
      <c r="T115" s="93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23">
        <v>89</v>
      </c>
      <c r="AP115" s="26">
        <v>100</v>
      </c>
      <c r="AQ115" s="26">
        <v>100</v>
      </c>
      <c r="AR115" s="26">
        <v>100</v>
      </c>
      <c r="AS115" s="26">
        <v>100</v>
      </c>
      <c r="AT115" s="26">
        <v>100</v>
      </c>
      <c r="AU115" s="26">
        <v>100</v>
      </c>
      <c r="AV115" s="26">
        <v>100</v>
      </c>
      <c r="AW115" s="23" t="s">
        <v>29</v>
      </c>
      <c r="AX115" s="23"/>
      <c r="AY115" s="93">
        <v>89</v>
      </c>
      <c r="AZ115" s="105">
        <v>100</v>
      </c>
      <c r="BA115" s="105">
        <v>100</v>
      </c>
      <c r="BB115" s="105">
        <v>100</v>
      </c>
      <c r="BC115" s="105">
        <v>100</v>
      </c>
      <c r="BD115" s="105">
        <v>100</v>
      </c>
      <c r="BE115" s="105">
        <v>100</v>
      </c>
      <c r="BF115" s="105">
        <v>100</v>
      </c>
      <c r="BG115" s="93" t="s">
        <v>29</v>
      </c>
      <c r="BH115" s="106"/>
      <c r="BI115" s="1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</row>
    <row r="116" spans="1:81" x14ac:dyDescent="0.2">
      <c r="A116" s="96">
        <v>1250</v>
      </c>
      <c r="B116" s="96">
        <v>100</v>
      </c>
      <c r="C116" s="96">
        <v>100</v>
      </c>
      <c r="D116" s="96">
        <v>100</v>
      </c>
      <c r="E116" s="96">
        <v>100</v>
      </c>
      <c r="F116" s="96">
        <v>100</v>
      </c>
      <c r="G116" s="96">
        <v>100</v>
      </c>
      <c r="H116" s="96">
        <v>100</v>
      </c>
      <c r="I116" s="96" t="s">
        <v>29</v>
      </c>
      <c r="J116" s="93"/>
      <c r="K116" s="93">
        <v>1349</v>
      </c>
      <c r="L116" s="93">
        <v>100</v>
      </c>
      <c r="M116" s="93">
        <v>100</v>
      </c>
      <c r="N116" s="93">
        <v>100</v>
      </c>
      <c r="O116" s="93">
        <v>100</v>
      </c>
      <c r="P116" s="93">
        <v>100</v>
      </c>
      <c r="Q116" s="93">
        <v>100</v>
      </c>
      <c r="R116" s="93">
        <v>100</v>
      </c>
      <c r="S116" s="93" t="s">
        <v>29</v>
      </c>
      <c r="T116" s="93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23">
        <v>90</v>
      </c>
      <c r="AP116" s="26">
        <v>100</v>
      </c>
      <c r="AQ116" s="26">
        <v>100</v>
      </c>
      <c r="AR116" s="26">
        <v>100</v>
      </c>
      <c r="AS116" s="26">
        <v>100</v>
      </c>
      <c r="AT116" s="26">
        <v>100</v>
      </c>
      <c r="AU116" s="26">
        <v>100</v>
      </c>
      <c r="AV116" s="26">
        <v>100</v>
      </c>
      <c r="AW116" s="23" t="s">
        <v>29</v>
      </c>
      <c r="AX116" s="23"/>
      <c r="AY116" s="93">
        <v>90</v>
      </c>
      <c r="AZ116" s="105">
        <v>100</v>
      </c>
      <c r="BA116" s="105">
        <v>100</v>
      </c>
      <c r="BB116" s="105">
        <v>100</v>
      </c>
      <c r="BC116" s="105">
        <v>100</v>
      </c>
      <c r="BD116" s="105">
        <v>100</v>
      </c>
      <c r="BE116" s="105">
        <v>100</v>
      </c>
      <c r="BF116" s="105">
        <v>100</v>
      </c>
      <c r="BG116" s="93" t="s">
        <v>29</v>
      </c>
      <c r="BH116" s="106"/>
      <c r="BI116" s="1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</row>
    <row r="117" spans="1:81" x14ac:dyDescent="0.2">
      <c r="A117" s="96">
        <v>1251</v>
      </c>
      <c r="B117" s="96">
        <v>100</v>
      </c>
      <c r="C117" s="96">
        <v>100</v>
      </c>
      <c r="D117" s="96">
        <v>100</v>
      </c>
      <c r="E117" s="96">
        <v>100</v>
      </c>
      <c r="F117" s="96">
        <v>100</v>
      </c>
      <c r="G117" s="96">
        <v>100</v>
      </c>
      <c r="H117" s="96">
        <v>100</v>
      </c>
      <c r="I117" s="96" t="s">
        <v>29</v>
      </c>
      <c r="J117" s="93"/>
      <c r="K117" s="93">
        <v>1350</v>
      </c>
      <c r="L117" s="93">
        <v>100</v>
      </c>
      <c r="M117" s="93">
        <v>100</v>
      </c>
      <c r="N117" s="93">
        <v>100</v>
      </c>
      <c r="O117" s="93">
        <v>100</v>
      </c>
      <c r="P117" s="93">
        <v>100</v>
      </c>
      <c r="Q117" s="93">
        <v>100</v>
      </c>
      <c r="R117" s="93">
        <v>100</v>
      </c>
      <c r="S117" s="93" t="s">
        <v>29</v>
      </c>
      <c r="T117" s="93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23">
        <v>91</v>
      </c>
      <c r="AP117" s="26">
        <v>100</v>
      </c>
      <c r="AQ117" s="26">
        <v>100</v>
      </c>
      <c r="AR117" s="26">
        <v>100</v>
      </c>
      <c r="AS117" s="26">
        <v>100</v>
      </c>
      <c r="AT117" s="26">
        <v>100</v>
      </c>
      <c r="AU117" s="26">
        <v>100</v>
      </c>
      <c r="AV117" s="26">
        <v>100</v>
      </c>
      <c r="AW117" s="23" t="s">
        <v>29</v>
      </c>
      <c r="AX117" s="23"/>
      <c r="AY117" s="93">
        <v>91</v>
      </c>
      <c r="AZ117" s="105">
        <v>100</v>
      </c>
      <c r="BA117" s="105">
        <v>100</v>
      </c>
      <c r="BB117" s="105">
        <v>100</v>
      </c>
      <c r="BC117" s="105">
        <v>100</v>
      </c>
      <c r="BD117" s="105">
        <v>100</v>
      </c>
      <c r="BE117" s="105">
        <v>100</v>
      </c>
      <c r="BF117" s="105">
        <v>100</v>
      </c>
      <c r="BG117" s="93" t="s">
        <v>29</v>
      </c>
      <c r="BH117" s="106"/>
      <c r="BI117" s="1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</row>
    <row r="118" spans="1:81" x14ac:dyDescent="0.2">
      <c r="A118" s="96">
        <v>1252</v>
      </c>
      <c r="B118" s="96">
        <v>100</v>
      </c>
      <c r="C118" s="96">
        <v>100</v>
      </c>
      <c r="D118" s="96">
        <v>100</v>
      </c>
      <c r="E118" s="96">
        <v>100</v>
      </c>
      <c r="F118" s="96">
        <v>100</v>
      </c>
      <c r="G118" s="96">
        <v>100</v>
      </c>
      <c r="H118" s="96">
        <v>100</v>
      </c>
      <c r="I118" s="96" t="s">
        <v>29</v>
      </c>
      <c r="J118" s="93"/>
      <c r="K118" s="93">
        <v>1351</v>
      </c>
      <c r="L118" s="93">
        <v>100</v>
      </c>
      <c r="M118" s="93">
        <v>100</v>
      </c>
      <c r="N118" s="93">
        <v>100</v>
      </c>
      <c r="O118" s="93">
        <v>100</v>
      </c>
      <c r="P118" s="93">
        <v>100</v>
      </c>
      <c r="Q118" s="93">
        <v>100</v>
      </c>
      <c r="R118" s="93">
        <v>100</v>
      </c>
      <c r="S118" s="93" t="s">
        <v>29</v>
      </c>
      <c r="T118" s="93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23">
        <v>92</v>
      </c>
      <c r="AP118" s="26">
        <v>100</v>
      </c>
      <c r="AQ118" s="26">
        <v>100</v>
      </c>
      <c r="AR118" s="26">
        <v>100</v>
      </c>
      <c r="AS118" s="26">
        <v>100</v>
      </c>
      <c r="AT118" s="26">
        <v>100</v>
      </c>
      <c r="AU118" s="26">
        <v>100</v>
      </c>
      <c r="AV118" s="26">
        <v>100</v>
      </c>
      <c r="AW118" s="23" t="s">
        <v>29</v>
      </c>
      <c r="AX118" s="23"/>
      <c r="AY118" s="93">
        <v>92</v>
      </c>
      <c r="AZ118" s="105">
        <v>100</v>
      </c>
      <c r="BA118" s="105">
        <v>100</v>
      </c>
      <c r="BB118" s="105">
        <v>100</v>
      </c>
      <c r="BC118" s="105">
        <v>100</v>
      </c>
      <c r="BD118" s="105">
        <v>100</v>
      </c>
      <c r="BE118" s="105">
        <v>100</v>
      </c>
      <c r="BF118" s="105">
        <v>100</v>
      </c>
      <c r="BG118" s="93" t="s">
        <v>29</v>
      </c>
      <c r="BH118" s="106"/>
      <c r="BI118" s="1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</row>
    <row r="119" spans="1:81" x14ac:dyDescent="0.2">
      <c r="A119" s="96">
        <v>1253</v>
      </c>
      <c r="B119" s="96">
        <v>100</v>
      </c>
      <c r="C119" s="96">
        <v>100</v>
      </c>
      <c r="D119" s="96">
        <v>100</v>
      </c>
      <c r="E119" s="96">
        <v>100</v>
      </c>
      <c r="F119" s="96">
        <v>100</v>
      </c>
      <c r="G119" s="96">
        <v>100</v>
      </c>
      <c r="H119" s="96">
        <v>100</v>
      </c>
      <c r="I119" s="96" t="s">
        <v>29</v>
      </c>
      <c r="J119" s="93"/>
      <c r="K119" s="93">
        <v>1352</v>
      </c>
      <c r="L119" s="93">
        <v>100</v>
      </c>
      <c r="M119" s="93">
        <v>100</v>
      </c>
      <c r="N119" s="93">
        <v>100</v>
      </c>
      <c r="O119" s="93">
        <v>100</v>
      </c>
      <c r="P119" s="93">
        <v>100</v>
      </c>
      <c r="Q119" s="93">
        <v>100</v>
      </c>
      <c r="R119" s="93">
        <v>100</v>
      </c>
      <c r="S119" s="93" t="s">
        <v>29</v>
      </c>
      <c r="T119" s="93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23">
        <v>93</v>
      </c>
      <c r="AP119" s="26">
        <v>100</v>
      </c>
      <c r="AQ119" s="26">
        <v>100</v>
      </c>
      <c r="AR119" s="26">
        <v>100</v>
      </c>
      <c r="AS119" s="26">
        <v>100</v>
      </c>
      <c r="AT119" s="26">
        <v>100</v>
      </c>
      <c r="AU119" s="26">
        <v>100</v>
      </c>
      <c r="AV119" s="26">
        <v>100</v>
      </c>
      <c r="AW119" s="23" t="s">
        <v>29</v>
      </c>
      <c r="AX119" s="23"/>
      <c r="AY119" s="93">
        <v>93</v>
      </c>
      <c r="AZ119" s="105">
        <v>100</v>
      </c>
      <c r="BA119" s="105">
        <v>100</v>
      </c>
      <c r="BB119" s="105">
        <v>100</v>
      </c>
      <c r="BC119" s="105">
        <v>100</v>
      </c>
      <c r="BD119" s="105">
        <v>100</v>
      </c>
      <c r="BE119" s="105">
        <v>100</v>
      </c>
      <c r="BF119" s="105">
        <v>100</v>
      </c>
      <c r="BG119" s="93" t="s">
        <v>29</v>
      </c>
      <c r="BH119" s="106"/>
      <c r="BI119" s="1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</row>
    <row r="120" spans="1:81" x14ac:dyDescent="0.2">
      <c r="A120" s="96">
        <v>1254</v>
      </c>
      <c r="B120" s="96">
        <v>100</v>
      </c>
      <c r="C120" s="96">
        <v>100</v>
      </c>
      <c r="D120" s="96">
        <v>100</v>
      </c>
      <c r="E120" s="96">
        <v>100</v>
      </c>
      <c r="F120" s="96">
        <v>100</v>
      </c>
      <c r="G120" s="96">
        <v>100</v>
      </c>
      <c r="H120" s="96">
        <v>100</v>
      </c>
      <c r="I120" s="96" t="s">
        <v>29</v>
      </c>
      <c r="J120" s="93"/>
      <c r="K120" s="93">
        <v>1353</v>
      </c>
      <c r="L120" s="93">
        <v>100</v>
      </c>
      <c r="M120" s="93">
        <v>100</v>
      </c>
      <c r="N120" s="93">
        <v>100</v>
      </c>
      <c r="O120" s="93">
        <v>100</v>
      </c>
      <c r="P120" s="93">
        <v>100</v>
      </c>
      <c r="Q120" s="93">
        <v>100</v>
      </c>
      <c r="R120" s="93">
        <v>100</v>
      </c>
      <c r="S120" s="93" t="s">
        <v>29</v>
      </c>
      <c r="T120" s="93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23">
        <v>94</v>
      </c>
      <c r="AP120" s="26">
        <v>100</v>
      </c>
      <c r="AQ120" s="26">
        <v>100</v>
      </c>
      <c r="AR120" s="26">
        <v>100</v>
      </c>
      <c r="AS120" s="26">
        <v>100</v>
      </c>
      <c r="AT120" s="26">
        <v>100</v>
      </c>
      <c r="AU120" s="26">
        <v>100</v>
      </c>
      <c r="AV120" s="26">
        <v>100</v>
      </c>
      <c r="AW120" s="23" t="s">
        <v>29</v>
      </c>
      <c r="AX120" s="23"/>
      <c r="AY120" s="93">
        <v>94</v>
      </c>
      <c r="AZ120" s="105">
        <v>100</v>
      </c>
      <c r="BA120" s="105">
        <v>100</v>
      </c>
      <c r="BB120" s="105">
        <v>100</v>
      </c>
      <c r="BC120" s="105">
        <v>100</v>
      </c>
      <c r="BD120" s="105">
        <v>100</v>
      </c>
      <c r="BE120" s="105">
        <v>100</v>
      </c>
      <c r="BF120" s="105">
        <v>100</v>
      </c>
      <c r="BG120" s="93" t="s">
        <v>29</v>
      </c>
      <c r="BH120" s="106"/>
      <c r="BI120" s="1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</row>
    <row r="121" spans="1:81" x14ac:dyDescent="0.2">
      <c r="A121" s="96">
        <v>1255</v>
      </c>
      <c r="B121" s="96">
        <v>100</v>
      </c>
      <c r="C121" s="96">
        <v>100</v>
      </c>
      <c r="D121" s="96">
        <v>100</v>
      </c>
      <c r="E121" s="96">
        <v>100</v>
      </c>
      <c r="F121" s="96">
        <v>100</v>
      </c>
      <c r="G121" s="96">
        <v>100</v>
      </c>
      <c r="H121" s="96">
        <v>100</v>
      </c>
      <c r="I121" s="96" t="s">
        <v>29</v>
      </c>
      <c r="J121" s="93"/>
      <c r="K121" s="93">
        <v>1354</v>
      </c>
      <c r="L121" s="93">
        <v>100</v>
      </c>
      <c r="M121" s="93">
        <v>100</v>
      </c>
      <c r="N121" s="93">
        <v>100</v>
      </c>
      <c r="O121" s="93">
        <v>100</v>
      </c>
      <c r="P121" s="93">
        <v>100</v>
      </c>
      <c r="Q121" s="93">
        <v>100</v>
      </c>
      <c r="R121" s="93">
        <v>100</v>
      </c>
      <c r="S121" s="93" t="s">
        <v>29</v>
      </c>
      <c r="T121" s="93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23">
        <v>95</v>
      </c>
      <c r="AP121" s="26">
        <v>100</v>
      </c>
      <c r="AQ121" s="26">
        <v>100</v>
      </c>
      <c r="AR121" s="26">
        <v>100</v>
      </c>
      <c r="AS121" s="26">
        <v>100</v>
      </c>
      <c r="AT121" s="26">
        <v>100</v>
      </c>
      <c r="AU121" s="26">
        <v>100</v>
      </c>
      <c r="AV121" s="26">
        <v>100</v>
      </c>
      <c r="AW121" s="23" t="s">
        <v>29</v>
      </c>
      <c r="AX121" s="23"/>
      <c r="AY121" s="93">
        <v>95</v>
      </c>
      <c r="AZ121" s="105">
        <v>100</v>
      </c>
      <c r="BA121" s="105">
        <v>100</v>
      </c>
      <c r="BB121" s="105">
        <v>100</v>
      </c>
      <c r="BC121" s="105">
        <v>100</v>
      </c>
      <c r="BD121" s="105">
        <v>100</v>
      </c>
      <c r="BE121" s="105">
        <v>100</v>
      </c>
      <c r="BF121" s="105">
        <v>100</v>
      </c>
      <c r="BG121" s="93" t="s">
        <v>29</v>
      </c>
      <c r="BH121" s="106"/>
      <c r="BI121" s="1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</row>
    <row r="122" spans="1:81" x14ac:dyDescent="0.2">
      <c r="A122" s="96">
        <v>1256</v>
      </c>
      <c r="B122" s="96">
        <v>100</v>
      </c>
      <c r="C122" s="96">
        <v>100</v>
      </c>
      <c r="D122" s="96">
        <v>100</v>
      </c>
      <c r="E122" s="96">
        <v>100</v>
      </c>
      <c r="F122" s="96">
        <v>100</v>
      </c>
      <c r="G122" s="96">
        <v>100</v>
      </c>
      <c r="H122" s="96">
        <v>100</v>
      </c>
      <c r="I122" s="96" t="s">
        <v>29</v>
      </c>
      <c r="J122" s="93"/>
      <c r="K122" s="93">
        <v>1355</v>
      </c>
      <c r="L122" s="93">
        <v>100</v>
      </c>
      <c r="M122" s="93">
        <v>100</v>
      </c>
      <c r="N122" s="93">
        <v>100</v>
      </c>
      <c r="O122" s="93">
        <v>100</v>
      </c>
      <c r="P122" s="93">
        <v>100</v>
      </c>
      <c r="Q122" s="93">
        <v>100</v>
      </c>
      <c r="R122" s="93">
        <v>100</v>
      </c>
      <c r="S122" s="93" t="s">
        <v>29</v>
      </c>
      <c r="T122" s="93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23">
        <v>96</v>
      </c>
      <c r="AP122" s="26">
        <v>100</v>
      </c>
      <c r="AQ122" s="26">
        <v>100</v>
      </c>
      <c r="AR122" s="26">
        <v>100</v>
      </c>
      <c r="AS122" s="26">
        <v>100</v>
      </c>
      <c r="AT122" s="26">
        <v>100</v>
      </c>
      <c r="AU122" s="26">
        <v>100</v>
      </c>
      <c r="AV122" s="26">
        <v>100</v>
      </c>
      <c r="AW122" s="23" t="s">
        <v>29</v>
      </c>
      <c r="AX122" s="23"/>
      <c r="AY122" s="93">
        <v>96</v>
      </c>
      <c r="AZ122" s="105">
        <v>100</v>
      </c>
      <c r="BA122" s="105">
        <v>100</v>
      </c>
      <c r="BB122" s="105">
        <v>100</v>
      </c>
      <c r="BC122" s="105">
        <v>100</v>
      </c>
      <c r="BD122" s="105">
        <v>100</v>
      </c>
      <c r="BE122" s="105">
        <v>100</v>
      </c>
      <c r="BF122" s="105">
        <v>100</v>
      </c>
      <c r="BG122" s="93" t="s">
        <v>29</v>
      </c>
      <c r="BH122" s="106"/>
      <c r="BI122" s="1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</row>
    <row r="123" spans="1:81" x14ac:dyDescent="0.2">
      <c r="A123" s="96">
        <v>1257</v>
      </c>
      <c r="B123" s="96">
        <v>100</v>
      </c>
      <c r="C123" s="96">
        <v>100</v>
      </c>
      <c r="D123" s="96">
        <v>100</v>
      </c>
      <c r="E123" s="96">
        <v>100</v>
      </c>
      <c r="F123" s="96">
        <v>100</v>
      </c>
      <c r="G123" s="96">
        <v>100</v>
      </c>
      <c r="H123" s="96">
        <v>100</v>
      </c>
      <c r="I123" s="96" t="s">
        <v>29</v>
      </c>
      <c r="J123" s="93"/>
      <c r="K123" s="93">
        <v>1356</v>
      </c>
      <c r="L123" s="93">
        <v>100</v>
      </c>
      <c r="M123" s="93">
        <v>100</v>
      </c>
      <c r="N123" s="93">
        <v>100</v>
      </c>
      <c r="O123" s="93">
        <v>100</v>
      </c>
      <c r="P123" s="93">
        <v>100</v>
      </c>
      <c r="Q123" s="93">
        <v>100</v>
      </c>
      <c r="R123" s="93">
        <v>100</v>
      </c>
      <c r="S123" s="93" t="s">
        <v>29</v>
      </c>
      <c r="T123" s="93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23">
        <v>97</v>
      </c>
      <c r="AP123" s="26">
        <v>100</v>
      </c>
      <c r="AQ123" s="26">
        <v>100</v>
      </c>
      <c r="AR123" s="26">
        <v>100</v>
      </c>
      <c r="AS123" s="26">
        <v>100</v>
      </c>
      <c r="AT123" s="26">
        <v>100</v>
      </c>
      <c r="AU123" s="26">
        <v>100</v>
      </c>
      <c r="AV123" s="26">
        <v>100</v>
      </c>
      <c r="AW123" s="23" t="s">
        <v>29</v>
      </c>
      <c r="AX123" s="23"/>
      <c r="AY123" s="93">
        <v>97</v>
      </c>
      <c r="AZ123" s="105">
        <v>100</v>
      </c>
      <c r="BA123" s="105">
        <v>100</v>
      </c>
      <c r="BB123" s="105">
        <v>100</v>
      </c>
      <c r="BC123" s="105">
        <v>100</v>
      </c>
      <c r="BD123" s="105">
        <v>100</v>
      </c>
      <c r="BE123" s="105">
        <v>100</v>
      </c>
      <c r="BF123" s="105">
        <v>100</v>
      </c>
      <c r="BG123" s="93" t="s">
        <v>29</v>
      </c>
      <c r="BH123" s="106"/>
      <c r="BI123" s="1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</row>
    <row r="124" spans="1:81" x14ac:dyDescent="0.2">
      <c r="A124" s="96">
        <v>1258</v>
      </c>
      <c r="B124" s="96">
        <v>100</v>
      </c>
      <c r="C124" s="96">
        <v>100</v>
      </c>
      <c r="D124" s="96">
        <v>100</v>
      </c>
      <c r="E124" s="96">
        <v>100</v>
      </c>
      <c r="F124" s="96">
        <v>100</v>
      </c>
      <c r="G124" s="96">
        <v>100</v>
      </c>
      <c r="H124" s="96">
        <v>100</v>
      </c>
      <c r="I124" s="96" t="s">
        <v>29</v>
      </c>
      <c r="J124" s="93"/>
      <c r="K124" s="93">
        <v>1357</v>
      </c>
      <c r="L124" s="93">
        <v>100</v>
      </c>
      <c r="M124" s="93">
        <v>100</v>
      </c>
      <c r="N124" s="93">
        <v>100</v>
      </c>
      <c r="O124" s="93">
        <v>100</v>
      </c>
      <c r="P124" s="93">
        <v>100</v>
      </c>
      <c r="Q124" s="93">
        <v>100</v>
      </c>
      <c r="R124" s="93">
        <v>100</v>
      </c>
      <c r="S124" s="93" t="s">
        <v>29</v>
      </c>
      <c r="T124" s="93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23">
        <v>98</v>
      </c>
      <c r="AP124" s="26">
        <v>100</v>
      </c>
      <c r="AQ124" s="26">
        <v>100</v>
      </c>
      <c r="AR124" s="26">
        <v>100</v>
      </c>
      <c r="AS124" s="26">
        <v>100</v>
      </c>
      <c r="AT124" s="26">
        <v>100</v>
      </c>
      <c r="AU124" s="26">
        <v>100</v>
      </c>
      <c r="AV124" s="26">
        <v>100</v>
      </c>
      <c r="AW124" s="23" t="s">
        <v>29</v>
      </c>
      <c r="AX124" s="23"/>
      <c r="AY124" s="93">
        <v>98</v>
      </c>
      <c r="AZ124" s="105">
        <v>100</v>
      </c>
      <c r="BA124" s="105">
        <v>100</v>
      </c>
      <c r="BB124" s="105">
        <v>100</v>
      </c>
      <c r="BC124" s="105">
        <v>100</v>
      </c>
      <c r="BD124" s="105">
        <v>100</v>
      </c>
      <c r="BE124" s="105">
        <v>100</v>
      </c>
      <c r="BF124" s="105">
        <v>100</v>
      </c>
      <c r="BG124" s="93" t="s">
        <v>29</v>
      </c>
      <c r="BH124" s="106"/>
      <c r="BI124" s="1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</row>
    <row r="125" spans="1:81" x14ac:dyDescent="0.2">
      <c r="A125" s="96">
        <v>1259</v>
      </c>
      <c r="B125" s="96">
        <v>100</v>
      </c>
      <c r="C125" s="96">
        <v>100</v>
      </c>
      <c r="D125" s="96">
        <v>100</v>
      </c>
      <c r="E125" s="96">
        <v>100</v>
      </c>
      <c r="F125" s="96">
        <v>100</v>
      </c>
      <c r="G125" s="96">
        <v>100</v>
      </c>
      <c r="H125" s="96">
        <v>100</v>
      </c>
      <c r="I125" s="96" t="s">
        <v>29</v>
      </c>
      <c r="J125" s="93"/>
      <c r="K125" s="93">
        <v>1358</v>
      </c>
      <c r="L125" s="93">
        <v>100</v>
      </c>
      <c r="M125" s="93">
        <v>100</v>
      </c>
      <c r="N125" s="93">
        <v>100</v>
      </c>
      <c r="O125" s="93">
        <v>100</v>
      </c>
      <c r="P125" s="93">
        <v>100</v>
      </c>
      <c r="Q125" s="93">
        <v>100</v>
      </c>
      <c r="R125" s="93">
        <v>100</v>
      </c>
      <c r="S125" s="93" t="s">
        <v>29</v>
      </c>
      <c r="T125" s="93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23">
        <v>99</v>
      </c>
      <c r="AP125" s="26">
        <v>100</v>
      </c>
      <c r="AQ125" s="26">
        <v>100</v>
      </c>
      <c r="AR125" s="26">
        <v>100</v>
      </c>
      <c r="AS125" s="26">
        <v>100</v>
      </c>
      <c r="AT125" s="26">
        <v>100</v>
      </c>
      <c r="AU125" s="26">
        <v>100</v>
      </c>
      <c r="AV125" s="26">
        <v>100</v>
      </c>
      <c r="AW125" s="23" t="s">
        <v>29</v>
      </c>
      <c r="AX125" s="23"/>
      <c r="AY125" s="93">
        <v>99</v>
      </c>
      <c r="AZ125" s="105">
        <v>100</v>
      </c>
      <c r="BA125" s="105">
        <v>100</v>
      </c>
      <c r="BB125" s="105">
        <v>100</v>
      </c>
      <c r="BC125" s="105">
        <v>100</v>
      </c>
      <c r="BD125" s="105">
        <v>100</v>
      </c>
      <c r="BE125" s="105">
        <v>100</v>
      </c>
      <c r="BF125" s="105">
        <v>100</v>
      </c>
      <c r="BG125" s="93" t="s">
        <v>29</v>
      </c>
      <c r="BH125" s="106"/>
      <c r="BI125" s="1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</row>
    <row r="126" spans="1:81" x14ac:dyDescent="0.2">
      <c r="A126" s="96">
        <v>1300</v>
      </c>
      <c r="B126" s="96">
        <v>100</v>
      </c>
      <c r="C126" s="96">
        <v>100</v>
      </c>
      <c r="D126" s="96">
        <v>100</v>
      </c>
      <c r="E126" s="96">
        <v>100</v>
      </c>
      <c r="F126" s="96">
        <v>100</v>
      </c>
      <c r="G126" s="96">
        <v>100</v>
      </c>
      <c r="H126" s="96">
        <v>100</v>
      </c>
      <c r="I126" s="96" t="s">
        <v>29</v>
      </c>
      <c r="J126" s="93"/>
      <c r="K126" s="93">
        <v>1359</v>
      </c>
      <c r="L126" s="93">
        <v>100</v>
      </c>
      <c r="M126" s="93">
        <v>100</v>
      </c>
      <c r="N126" s="93">
        <v>100</v>
      </c>
      <c r="O126" s="93">
        <v>100</v>
      </c>
      <c r="P126" s="93">
        <v>100</v>
      </c>
      <c r="Q126" s="93">
        <v>100</v>
      </c>
      <c r="R126" s="93">
        <v>100</v>
      </c>
      <c r="S126" s="93" t="s">
        <v>29</v>
      </c>
      <c r="T126" s="93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23">
        <v>100</v>
      </c>
      <c r="AP126" s="26">
        <v>100</v>
      </c>
      <c r="AQ126" s="26">
        <v>100</v>
      </c>
      <c r="AR126" s="26">
        <v>100</v>
      </c>
      <c r="AS126" s="26">
        <v>100</v>
      </c>
      <c r="AT126" s="26">
        <v>100</v>
      </c>
      <c r="AU126" s="26">
        <v>100</v>
      </c>
      <c r="AV126" s="26">
        <v>100</v>
      </c>
      <c r="AW126" s="23" t="s">
        <v>29</v>
      </c>
      <c r="AX126" s="23"/>
      <c r="AY126" s="93">
        <v>100</v>
      </c>
      <c r="AZ126" s="105">
        <v>100</v>
      </c>
      <c r="BA126" s="105">
        <v>100</v>
      </c>
      <c r="BB126" s="105">
        <v>100</v>
      </c>
      <c r="BC126" s="105">
        <v>100</v>
      </c>
      <c r="BD126" s="105">
        <v>100</v>
      </c>
      <c r="BE126" s="105">
        <v>100</v>
      </c>
      <c r="BF126" s="105">
        <v>100</v>
      </c>
      <c r="BG126" s="93" t="s">
        <v>29</v>
      </c>
      <c r="BH126" s="106"/>
      <c r="BI126" s="1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</row>
    <row r="127" spans="1:81" x14ac:dyDescent="0.2">
      <c r="A127" s="96">
        <v>1301</v>
      </c>
      <c r="B127" s="96">
        <v>100</v>
      </c>
      <c r="C127" s="96">
        <v>100</v>
      </c>
      <c r="D127" s="96">
        <v>100</v>
      </c>
      <c r="E127" s="96">
        <v>100</v>
      </c>
      <c r="F127" s="96">
        <v>100</v>
      </c>
      <c r="G127" s="96">
        <v>100</v>
      </c>
      <c r="H127" s="96">
        <v>100</v>
      </c>
      <c r="I127" s="96" t="s">
        <v>29</v>
      </c>
      <c r="J127" s="93"/>
      <c r="K127" s="93">
        <v>1400</v>
      </c>
      <c r="L127" s="93">
        <v>100</v>
      </c>
      <c r="M127" s="93">
        <v>100</v>
      </c>
      <c r="N127" s="93">
        <v>100</v>
      </c>
      <c r="O127" s="93">
        <v>100</v>
      </c>
      <c r="P127" s="93">
        <v>100</v>
      </c>
      <c r="Q127" s="93">
        <v>100</v>
      </c>
      <c r="R127" s="93">
        <v>100</v>
      </c>
      <c r="S127" s="93" t="s">
        <v>29</v>
      </c>
      <c r="T127" s="93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I127" s="1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</row>
    <row r="128" spans="1:81" x14ac:dyDescent="0.2">
      <c r="A128" s="96">
        <v>1302</v>
      </c>
      <c r="B128" s="96">
        <v>100</v>
      </c>
      <c r="C128" s="96">
        <v>100</v>
      </c>
      <c r="D128" s="96">
        <v>100</v>
      </c>
      <c r="E128" s="96">
        <v>100</v>
      </c>
      <c r="F128" s="96">
        <v>100</v>
      </c>
      <c r="G128" s="96">
        <v>100</v>
      </c>
      <c r="H128" s="96">
        <v>100</v>
      </c>
      <c r="I128" s="96" t="s">
        <v>29</v>
      </c>
      <c r="J128" s="93"/>
      <c r="K128" s="93">
        <v>1401</v>
      </c>
      <c r="L128" s="93">
        <v>100</v>
      </c>
      <c r="M128" s="93">
        <v>100</v>
      </c>
      <c r="N128" s="93">
        <v>100</v>
      </c>
      <c r="O128" s="93">
        <v>100</v>
      </c>
      <c r="P128" s="93">
        <v>100</v>
      </c>
      <c r="Q128" s="93">
        <v>100</v>
      </c>
      <c r="R128" s="93">
        <v>100</v>
      </c>
      <c r="S128" s="93" t="s">
        <v>29</v>
      </c>
      <c r="T128" s="93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I128" s="1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</row>
    <row r="129" spans="1:81" x14ac:dyDescent="0.2">
      <c r="A129" s="96">
        <v>1303</v>
      </c>
      <c r="B129" s="96">
        <v>100</v>
      </c>
      <c r="C129" s="96">
        <v>100</v>
      </c>
      <c r="D129" s="96">
        <v>100</v>
      </c>
      <c r="E129" s="96">
        <v>100</v>
      </c>
      <c r="F129" s="96">
        <v>100</v>
      </c>
      <c r="G129" s="96">
        <v>100</v>
      </c>
      <c r="H129" s="96">
        <v>100</v>
      </c>
      <c r="I129" s="96" t="s">
        <v>29</v>
      </c>
      <c r="J129" s="93"/>
      <c r="K129" s="93">
        <v>1402</v>
      </c>
      <c r="L129" s="93">
        <v>100</v>
      </c>
      <c r="M129" s="93">
        <v>100</v>
      </c>
      <c r="N129" s="93">
        <v>100</v>
      </c>
      <c r="O129" s="93">
        <v>100</v>
      </c>
      <c r="P129" s="93">
        <v>100</v>
      </c>
      <c r="Q129" s="93">
        <v>100</v>
      </c>
      <c r="R129" s="93">
        <v>100</v>
      </c>
      <c r="S129" s="93" t="s">
        <v>29</v>
      </c>
      <c r="T129" s="93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I129" s="1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</row>
    <row r="130" spans="1:81" x14ac:dyDescent="0.2">
      <c r="A130" s="96">
        <v>1304</v>
      </c>
      <c r="B130" s="96">
        <v>100</v>
      </c>
      <c r="C130" s="96">
        <v>100</v>
      </c>
      <c r="D130" s="96">
        <v>100</v>
      </c>
      <c r="E130" s="96">
        <v>100</v>
      </c>
      <c r="F130" s="96">
        <v>100</v>
      </c>
      <c r="G130" s="96">
        <v>100</v>
      </c>
      <c r="H130" s="96">
        <v>100</v>
      </c>
      <c r="I130" s="96" t="s">
        <v>29</v>
      </c>
      <c r="J130" s="93"/>
      <c r="K130" s="93">
        <v>1403</v>
      </c>
      <c r="L130" s="93">
        <v>100</v>
      </c>
      <c r="M130" s="93">
        <v>100</v>
      </c>
      <c r="N130" s="93">
        <v>100</v>
      </c>
      <c r="O130" s="93">
        <v>100</v>
      </c>
      <c r="P130" s="93">
        <v>100</v>
      </c>
      <c r="Q130" s="93">
        <v>100</v>
      </c>
      <c r="R130" s="93">
        <v>100</v>
      </c>
      <c r="S130" s="93" t="s">
        <v>29</v>
      </c>
      <c r="T130" s="93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I130" s="1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</row>
    <row r="131" spans="1:81" x14ac:dyDescent="0.2">
      <c r="A131" s="96">
        <v>1305</v>
      </c>
      <c r="B131" s="96">
        <v>100</v>
      </c>
      <c r="C131" s="96">
        <v>100</v>
      </c>
      <c r="D131" s="96">
        <v>100</v>
      </c>
      <c r="E131" s="96">
        <v>100</v>
      </c>
      <c r="F131" s="96">
        <v>100</v>
      </c>
      <c r="G131" s="96">
        <v>100</v>
      </c>
      <c r="H131" s="96">
        <v>100</v>
      </c>
      <c r="I131" s="96" t="s">
        <v>29</v>
      </c>
      <c r="J131" s="93"/>
      <c r="K131" s="93">
        <v>1404</v>
      </c>
      <c r="L131" s="93">
        <v>100</v>
      </c>
      <c r="M131" s="93">
        <v>100</v>
      </c>
      <c r="N131" s="93">
        <v>100</v>
      </c>
      <c r="O131" s="93">
        <v>100</v>
      </c>
      <c r="P131" s="93">
        <v>100</v>
      </c>
      <c r="Q131" s="93">
        <v>100</v>
      </c>
      <c r="R131" s="93">
        <v>100</v>
      </c>
      <c r="S131" s="93" t="s">
        <v>29</v>
      </c>
      <c r="T131" s="93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I131" s="1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</row>
    <row r="132" spans="1:81" x14ac:dyDescent="0.2">
      <c r="A132" s="96">
        <v>1306</v>
      </c>
      <c r="B132" s="96">
        <v>100</v>
      </c>
      <c r="C132" s="96">
        <v>100</v>
      </c>
      <c r="D132" s="96">
        <v>100</v>
      </c>
      <c r="E132" s="96">
        <v>100</v>
      </c>
      <c r="F132" s="96">
        <v>100</v>
      </c>
      <c r="G132" s="96">
        <v>100</v>
      </c>
      <c r="H132" s="96">
        <v>100</v>
      </c>
      <c r="I132" s="96" t="s">
        <v>29</v>
      </c>
      <c r="J132" s="93"/>
      <c r="K132" s="93">
        <v>1405</v>
      </c>
      <c r="L132" s="93">
        <v>100</v>
      </c>
      <c r="M132" s="93">
        <v>100</v>
      </c>
      <c r="N132" s="93">
        <v>100</v>
      </c>
      <c r="O132" s="93">
        <v>100</v>
      </c>
      <c r="P132" s="93">
        <v>100</v>
      </c>
      <c r="Q132" s="93">
        <v>100</v>
      </c>
      <c r="R132" s="93">
        <v>100</v>
      </c>
      <c r="S132" s="93" t="s">
        <v>29</v>
      </c>
      <c r="T132" s="93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I132" s="1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</row>
    <row r="133" spans="1:81" x14ac:dyDescent="0.2">
      <c r="A133" s="96">
        <v>1307</v>
      </c>
      <c r="B133" s="96">
        <v>100</v>
      </c>
      <c r="C133" s="96">
        <v>100</v>
      </c>
      <c r="D133" s="96">
        <v>100</v>
      </c>
      <c r="E133" s="96">
        <v>100</v>
      </c>
      <c r="F133" s="96">
        <v>100</v>
      </c>
      <c r="G133" s="96">
        <v>100</v>
      </c>
      <c r="H133" s="96">
        <v>100</v>
      </c>
      <c r="I133" s="96" t="s">
        <v>29</v>
      </c>
      <c r="J133" s="93"/>
      <c r="K133" s="93">
        <v>1406</v>
      </c>
      <c r="L133" s="93">
        <v>100</v>
      </c>
      <c r="M133" s="93">
        <v>100</v>
      </c>
      <c r="N133" s="93">
        <v>100</v>
      </c>
      <c r="O133" s="93">
        <v>100</v>
      </c>
      <c r="P133" s="93">
        <v>100</v>
      </c>
      <c r="Q133" s="93">
        <v>100</v>
      </c>
      <c r="R133" s="93">
        <v>100</v>
      </c>
      <c r="S133" s="93" t="s">
        <v>29</v>
      </c>
      <c r="T133" s="93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I133" s="1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</row>
    <row r="134" spans="1:81" x14ac:dyDescent="0.2">
      <c r="A134" s="96">
        <v>1308</v>
      </c>
      <c r="B134" s="96">
        <v>100</v>
      </c>
      <c r="C134" s="96">
        <v>100</v>
      </c>
      <c r="D134" s="96">
        <v>100</v>
      </c>
      <c r="E134" s="96">
        <v>100</v>
      </c>
      <c r="F134" s="96">
        <v>100</v>
      </c>
      <c r="G134" s="96">
        <v>100</v>
      </c>
      <c r="H134" s="96">
        <v>100</v>
      </c>
      <c r="I134" s="96" t="s">
        <v>29</v>
      </c>
      <c r="J134" s="93"/>
      <c r="K134" s="93">
        <v>1407</v>
      </c>
      <c r="L134" s="93">
        <v>100</v>
      </c>
      <c r="M134" s="93">
        <v>100</v>
      </c>
      <c r="N134" s="93">
        <v>100</v>
      </c>
      <c r="O134" s="93">
        <v>100</v>
      </c>
      <c r="P134" s="93">
        <v>100</v>
      </c>
      <c r="Q134" s="93">
        <v>100</v>
      </c>
      <c r="R134" s="93">
        <v>100</v>
      </c>
      <c r="S134" s="93" t="s">
        <v>29</v>
      </c>
      <c r="T134" s="93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I134" s="1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</row>
    <row r="135" spans="1:81" x14ac:dyDescent="0.2">
      <c r="A135" s="96">
        <v>1309</v>
      </c>
      <c r="B135" s="96">
        <v>100</v>
      </c>
      <c r="C135" s="96">
        <v>100</v>
      </c>
      <c r="D135" s="96">
        <v>100</v>
      </c>
      <c r="E135" s="96">
        <v>100</v>
      </c>
      <c r="F135" s="96">
        <v>100</v>
      </c>
      <c r="G135" s="96">
        <v>100</v>
      </c>
      <c r="H135" s="96">
        <v>100</v>
      </c>
      <c r="I135" s="96" t="s">
        <v>29</v>
      </c>
      <c r="J135" s="93"/>
      <c r="K135" s="93">
        <v>1408</v>
      </c>
      <c r="L135" s="93">
        <v>100</v>
      </c>
      <c r="M135" s="93">
        <v>100</v>
      </c>
      <c r="N135" s="93">
        <v>100</v>
      </c>
      <c r="O135" s="93">
        <v>100</v>
      </c>
      <c r="P135" s="93">
        <v>100</v>
      </c>
      <c r="Q135" s="93">
        <v>100</v>
      </c>
      <c r="R135" s="93">
        <v>100</v>
      </c>
      <c r="S135" s="93" t="s">
        <v>29</v>
      </c>
      <c r="T135" s="93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I135" s="1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</row>
    <row r="136" spans="1:81" x14ac:dyDescent="0.2">
      <c r="A136" s="96">
        <v>1310</v>
      </c>
      <c r="B136" s="96">
        <v>100</v>
      </c>
      <c r="C136" s="96">
        <v>100</v>
      </c>
      <c r="D136" s="96">
        <v>100</v>
      </c>
      <c r="E136" s="96">
        <v>100</v>
      </c>
      <c r="F136" s="96">
        <v>100</v>
      </c>
      <c r="G136" s="96">
        <v>100</v>
      </c>
      <c r="H136" s="96">
        <v>100</v>
      </c>
      <c r="I136" s="96" t="s">
        <v>29</v>
      </c>
      <c r="J136" s="93"/>
      <c r="K136" s="93">
        <v>1409</v>
      </c>
      <c r="L136" s="93">
        <v>100</v>
      </c>
      <c r="M136" s="93">
        <v>100</v>
      </c>
      <c r="N136" s="93">
        <v>100</v>
      </c>
      <c r="O136" s="93">
        <v>100</v>
      </c>
      <c r="P136" s="93">
        <v>100</v>
      </c>
      <c r="Q136" s="93">
        <v>100</v>
      </c>
      <c r="R136" s="93">
        <v>100</v>
      </c>
      <c r="S136" s="93" t="s">
        <v>29</v>
      </c>
      <c r="T136" s="93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I136" s="1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</row>
    <row r="137" spans="1:81" x14ac:dyDescent="0.2">
      <c r="A137" s="96">
        <v>1311</v>
      </c>
      <c r="B137" s="96">
        <v>100</v>
      </c>
      <c r="C137" s="96">
        <v>100</v>
      </c>
      <c r="D137" s="96">
        <v>100</v>
      </c>
      <c r="E137" s="96">
        <v>100</v>
      </c>
      <c r="F137" s="96">
        <v>100</v>
      </c>
      <c r="G137" s="96">
        <v>100</v>
      </c>
      <c r="H137" s="96">
        <v>100</v>
      </c>
      <c r="I137" s="96" t="s">
        <v>29</v>
      </c>
      <c r="J137" s="93"/>
      <c r="K137" s="93">
        <v>1410</v>
      </c>
      <c r="L137" s="93">
        <v>100</v>
      </c>
      <c r="M137" s="93">
        <v>100</v>
      </c>
      <c r="N137" s="93">
        <v>100</v>
      </c>
      <c r="O137" s="93">
        <v>100</v>
      </c>
      <c r="P137" s="93">
        <v>100</v>
      </c>
      <c r="Q137" s="93">
        <v>100</v>
      </c>
      <c r="R137" s="93">
        <v>100</v>
      </c>
      <c r="S137" s="93" t="s">
        <v>29</v>
      </c>
      <c r="T137" s="93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I137" s="1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</row>
    <row r="138" spans="1:81" x14ac:dyDescent="0.2">
      <c r="A138" s="96">
        <v>1312</v>
      </c>
      <c r="B138" s="96">
        <v>100</v>
      </c>
      <c r="C138" s="96">
        <v>100</v>
      </c>
      <c r="D138" s="96">
        <v>100</v>
      </c>
      <c r="E138" s="96">
        <v>100</v>
      </c>
      <c r="F138" s="96">
        <v>100</v>
      </c>
      <c r="G138" s="96">
        <v>100</v>
      </c>
      <c r="H138" s="96">
        <v>100</v>
      </c>
      <c r="I138" s="96" t="s">
        <v>29</v>
      </c>
      <c r="J138" s="93"/>
      <c r="K138" s="93">
        <v>1411</v>
      </c>
      <c r="L138" s="93">
        <v>100</v>
      </c>
      <c r="M138" s="93">
        <v>100</v>
      </c>
      <c r="N138" s="93">
        <v>100</v>
      </c>
      <c r="O138" s="93">
        <v>100</v>
      </c>
      <c r="P138" s="93">
        <v>100</v>
      </c>
      <c r="Q138" s="93">
        <v>100</v>
      </c>
      <c r="R138" s="93">
        <v>100</v>
      </c>
      <c r="S138" s="93" t="s">
        <v>29</v>
      </c>
      <c r="T138" s="93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I138" s="1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</row>
    <row r="139" spans="1:81" x14ac:dyDescent="0.2">
      <c r="A139" s="96">
        <v>1313</v>
      </c>
      <c r="B139" s="96">
        <v>100</v>
      </c>
      <c r="C139" s="96">
        <v>100</v>
      </c>
      <c r="D139" s="96">
        <v>100</v>
      </c>
      <c r="E139" s="96">
        <v>100</v>
      </c>
      <c r="F139" s="96">
        <v>100</v>
      </c>
      <c r="G139" s="96">
        <v>100</v>
      </c>
      <c r="H139" s="96">
        <v>100</v>
      </c>
      <c r="I139" s="96" t="s">
        <v>29</v>
      </c>
      <c r="J139" s="93"/>
      <c r="K139" s="93">
        <v>1412</v>
      </c>
      <c r="L139" s="93">
        <v>100</v>
      </c>
      <c r="M139" s="93">
        <v>100</v>
      </c>
      <c r="N139" s="93">
        <v>100</v>
      </c>
      <c r="O139" s="93">
        <v>100</v>
      </c>
      <c r="P139" s="93">
        <v>100</v>
      </c>
      <c r="Q139" s="93">
        <v>100</v>
      </c>
      <c r="R139" s="93">
        <v>100</v>
      </c>
      <c r="S139" s="93" t="s">
        <v>29</v>
      </c>
      <c r="T139" s="93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I139" s="1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</row>
    <row r="140" spans="1:81" x14ac:dyDescent="0.2">
      <c r="A140" s="96">
        <v>1314</v>
      </c>
      <c r="B140" s="96">
        <v>100</v>
      </c>
      <c r="C140" s="96">
        <v>100</v>
      </c>
      <c r="D140" s="96">
        <v>100</v>
      </c>
      <c r="E140" s="96">
        <v>100</v>
      </c>
      <c r="F140" s="96">
        <v>100</v>
      </c>
      <c r="G140" s="96">
        <v>100</v>
      </c>
      <c r="H140" s="96">
        <v>100</v>
      </c>
      <c r="I140" s="96" t="s">
        <v>29</v>
      </c>
      <c r="J140" s="93"/>
      <c r="K140" s="93">
        <v>1413</v>
      </c>
      <c r="L140" s="93">
        <v>100</v>
      </c>
      <c r="M140" s="93">
        <v>100</v>
      </c>
      <c r="N140" s="93">
        <v>100</v>
      </c>
      <c r="O140" s="93">
        <v>100</v>
      </c>
      <c r="P140" s="93">
        <v>100</v>
      </c>
      <c r="Q140" s="93">
        <v>100</v>
      </c>
      <c r="R140" s="93">
        <v>100</v>
      </c>
      <c r="S140" s="93" t="s">
        <v>29</v>
      </c>
      <c r="T140" s="93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I140" s="1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</row>
    <row r="141" spans="1:81" x14ac:dyDescent="0.2">
      <c r="A141" s="96">
        <v>1315</v>
      </c>
      <c r="B141" s="96">
        <v>100</v>
      </c>
      <c r="C141" s="96">
        <v>100</v>
      </c>
      <c r="D141" s="96">
        <v>100</v>
      </c>
      <c r="E141" s="96">
        <v>100</v>
      </c>
      <c r="F141" s="96">
        <v>100</v>
      </c>
      <c r="G141" s="96">
        <v>100</v>
      </c>
      <c r="H141" s="96">
        <v>100</v>
      </c>
      <c r="I141" s="96" t="s">
        <v>29</v>
      </c>
      <c r="J141" s="93"/>
      <c r="K141" s="93">
        <v>1414</v>
      </c>
      <c r="L141" s="93">
        <v>100</v>
      </c>
      <c r="M141" s="93">
        <v>100</v>
      </c>
      <c r="N141" s="93">
        <v>100</v>
      </c>
      <c r="O141" s="93">
        <v>100</v>
      </c>
      <c r="P141" s="93">
        <v>100</v>
      </c>
      <c r="Q141" s="93">
        <v>100</v>
      </c>
      <c r="R141" s="93">
        <v>100</v>
      </c>
      <c r="S141" s="93" t="s">
        <v>29</v>
      </c>
      <c r="T141" s="93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I141" s="1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</row>
    <row r="142" spans="1:81" x14ac:dyDescent="0.2">
      <c r="A142" s="96">
        <v>1316</v>
      </c>
      <c r="B142" s="96">
        <v>100</v>
      </c>
      <c r="C142" s="96">
        <v>100</v>
      </c>
      <c r="D142" s="96">
        <v>100</v>
      </c>
      <c r="E142" s="96">
        <v>100</v>
      </c>
      <c r="F142" s="96">
        <v>100</v>
      </c>
      <c r="G142" s="96">
        <v>100</v>
      </c>
      <c r="H142" s="96">
        <v>100</v>
      </c>
      <c r="I142" s="96" t="s">
        <v>29</v>
      </c>
      <c r="J142" s="93"/>
      <c r="K142" s="93">
        <v>1415</v>
      </c>
      <c r="L142" s="93">
        <v>100</v>
      </c>
      <c r="M142" s="93">
        <v>100</v>
      </c>
      <c r="N142" s="93">
        <v>100</v>
      </c>
      <c r="O142" s="93">
        <v>100</v>
      </c>
      <c r="P142" s="93">
        <v>100</v>
      </c>
      <c r="Q142" s="93">
        <v>100</v>
      </c>
      <c r="R142" s="93">
        <v>100</v>
      </c>
      <c r="S142" s="93" t="s">
        <v>29</v>
      </c>
      <c r="T142" s="93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I142" s="1"/>
      <c r="BJ142" s="12"/>
      <c r="BK142" s="12"/>
      <c r="BL142" s="12"/>
      <c r="BM142" s="12"/>
      <c r="BN142" s="12"/>
      <c r="BU142" s="12"/>
      <c r="BV142" s="12"/>
      <c r="BW142" s="12"/>
      <c r="BX142" s="12"/>
      <c r="BY142" s="12"/>
      <c r="BZ142" s="12"/>
      <c r="CA142" s="12"/>
      <c r="CB142" s="12"/>
      <c r="CC142" s="12"/>
    </row>
    <row r="143" spans="1:81" x14ac:dyDescent="0.2">
      <c r="A143" s="96">
        <v>1317</v>
      </c>
      <c r="B143" s="96">
        <v>100</v>
      </c>
      <c r="C143" s="96">
        <v>100</v>
      </c>
      <c r="D143" s="96">
        <v>100</v>
      </c>
      <c r="E143" s="96">
        <v>100</v>
      </c>
      <c r="F143" s="96">
        <v>100</v>
      </c>
      <c r="G143" s="96">
        <v>100</v>
      </c>
      <c r="H143" s="96">
        <v>100</v>
      </c>
      <c r="I143" s="96" t="s">
        <v>29</v>
      </c>
      <c r="J143" s="93"/>
      <c r="K143" s="93">
        <v>1416</v>
      </c>
      <c r="L143" s="93">
        <v>100</v>
      </c>
      <c r="M143" s="93">
        <v>100</v>
      </c>
      <c r="N143" s="93">
        <v>100</v>
      </c>
      <c r="O143" s="93">
        <v>100</v>
      </c>
      <c r="P143" s="93">
        <v>100</v>
      </c>
      <c r="Q143" s="93">
        <v>100</v>
      </c>
      <c r="R143" s="93">
        <v>100</v>
      </c>
      <c r="S143" s="93" t="s">
        <v>29</v>
      </c>
      <c r="T143" s="93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I143" s="1"/>
      <c r="BJ143" s="12"/>
      <c r="BK143" s="12"/>
      <c r="BL143" s="12"/>
      <c r="BM143" s="12"/>
      <c r="BN143" s="12"/>
      <c r="BU143" s="12"/>
      <c r="BV143" s="12"/>
      <c r="BW143" s="12"/>
      <c r="BX143" s="12"/>
      <c r="BY143" s="12"/>
      <c r="BZ143" s="12"/>
      <c r="CA143" s="12"/>
      <c r="CB143" s="12"/>
      <c r="CC143" s="12"/>
    </row>
    <row r="144" spans="1:81" x14ac:dyDescent="0.2">
      <c r="A144" s="96">
        <v>1318</v>
      </c>
      <c r="B144" s="96">
        <v>100</v>
      </c>
      <c r="C144" s="96">
        <v>100</v>
      </c>
      <c r="D144" s="96">
        <v>100</v>
      </c>
      <c r="E144" s="96">
        <v>100</v>
      </c>
      <c r="F144" s="96">
        <v>100</v>
      </c>
      <c r="G144" s="96">
        <v>100</v>
      </c>
      <c r="H144" s="96">
        <v>100</v>
      </c>
      <c r="I144" s="96" t="s">
        <v>29</v>
      </c>
      <c r="J144" s="93"/>
      <c r="K144" s="93">
        <v>1417</v>
      </c>
      <c r="L144" s="93">
        <v>100</v>
      </c>
      <c r="M144" s="93">
        <v>100</v>
      </c>
      <c r="N144" s="93">
        <v>100</v>
      </c>
      <c r="O144" s="93">
        <v>100</v>
      </c>
      <c r="P144" s="93">
        <v>100</v>
      </c>
      <c r="Q144" s="93">
        <v>100</v>
      </c>
      <c r="R144" s="93">
        <v>100</v>
      </c>
      <c r="S144" s="93" t="s">
        <v>29</v>
      </c>
      <c r="T144" s="93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I144" s="1"/>
      <c r="BJ144" s="12"/>
      <c r="BK144" s="12"/>
      <c r="BL144" s="12"/>
      <c r="BM144" s="12"/>
      <c r="BN144" s="12"/>
      <c r="BU144" s="12"/>
      <c r="BV144" s="12"/>
      <c r="BW144" s="12"/>
      <c r="BX144" s="12"/>
      <c r="BY144" s="12"/>
      <c r="BZ144" s="12"/>
      <c r="CA144" s="12"/>
      <c r="CB144" s="12"/>
    </row>
    <row r="145" spans="1:80" x14ac:dyDescent="0.2">
      <c r="A145" s="96">
        <v>1319</v>
      </c>
      <c r="B145" s="96">
        <v>100</v>
      </c>
      <c r="C145" s="96">
        <v>100</v>
      </c>
      <c r="D145" s="96">
        <v>100</v>
      </c>
      <c r="E145" s="96">
        <v>100</v>
      </c>
      <c r="F145" s="96">
        <v>100</v>
      </c>
      <c r="G145" s="96">
        <v>100</v>
      </c>
      <c r="H145" s="96">
        <v>100</v>
      </c>
      <c r="I145" s="96" t="s">
        <v>29</v>
      </c>
      <c r="J145" s="93"/>
      <c r="K145" s="93">
        <v>1418</v>
      </c>
      <c r="L145" s="93">
        <v>100</v>
      </c>
      <c r="M145" s="93">
        <v>100</v>
      </c>
      <c r="N145" s="93">
        <v>100</v>
      </c>
      <c r="O145" s="93">
        <v>100</v>
      </c>
      <c r="P145" s="93">
        <v>100</v>
      </c>
      <c r="Q145" s="93">
        <v>100</v>
      </c>
      <c r="R145" s="93">
        <v>100</v>
      </c>
      <c r="S145" s="93" t="s">
        <v>29</v>
      </c>
      <c r="T145" s="93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I145" s="1"/>
      <c r="BJ145" s="12"/>
      <c r="BK145" s="12"/>
      <c r="BL145" s="12"/>
      <c r="BM145" s="12"/>
      <c r="BN145" s="12"/>
      <c r="BU145" s="12"/>
      <c r="BV145" s="12"/>
      <c r="BW145" s="12"/>
      <c r="BX145" s="12"/>
      <c r="BY145" s="12"/>
      <c r="BZ145" s="12"/>
      <c r="CA145" s="12"/>
      <c r="CB145" s="12"/>
    </row>
    <row r="146" spans="1:80" x14ac:dyDescent="0.2">
      <c r="A146" s="96">
        <v>1320</v>
      </c>
      <c r="B146" s="96">
        <v>100</v>
      </c>
      <c r="C146" s="96">
        <v>100</v>
      </c>
      <c r="D146" s="96">
        <v>100</v>
      </c>
      <c r="E146" s="96">
        <v>100</v>
      </c>
      <c r="F146" s="96">
        <v>100</v>
      </c>
      <c r="G146" s="96">
        <v>100</v>
      </c>
      <c r="H146" s="96">
        <v>100</v>
      </c>
      <c r="I146" s="96" t="s">
        <v>29</v>
      </c>
      <c r="J146" s="93"/>
      <c r="K146" s="93">
        <v>1419</v>
      </c>
      <c r="L146" s="93">
        <v>100</v>
      </c>
      <c r="M146" s="93">
        <v>100</v>
      </c>
      <c r="N146" s="93">
        <v>100</v>
      </c>
      <c r="O146" s="93">
        <v>100</v>
      </c>
      <c r="P146" s="93">
        <v>100</v>
      </c>
      <c r="Q146" s="93">
        <v>100</v>
      </c>
      <c r="R146" s="93">
        <v>100</v>
      </c>
      <c r="S146" s="93" t="s">
        <v>29</v>
      </c>
      <c r="T146" s="93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U146" s="12"/>
      <c r="BV146" s="12"/>
      <c r="BW146" s="12"/>
      <c r="BX146" s="12"/>
      <c r="BY146" s="12"/>
      <c r="BZ146" s="12"/>
      <c r="CA146" s="12"/>
      <c r="CB146" s="12"/>
    </row>
    <row r="147" spans="1:80" x14ac:dyDescent="0.2">
      <c r="A147" s="96">
        <v>1321</v>
      </c>
      <c r="B147" s="96">
        <v>100</v>
      </c>
      <c r="C147" s="96">
        <v>100</v>
      </c>
      <c r="D147" s="96">
        <v>100</v>
      </c>
      <c r="E147" s="96">
        <v>100</v>
      </c>
      <c r="F147" s="96">
        <v>100</v>
      </c>
      <c r="G147" s="96">
        <v>100</v>
      </c>
      <c r="H147" s="96">
        <v>100</v>
      </c>
      <c r="I147" s="96" t="s">
        <v>29</v>
      </c>
      <c r="J147" s="93"/>
      <c r="K147" s="93">
        <v>1420</v>
      </c>
      <c r="L147" s="93">
        <v>100</v>
      </c>
      <c r="M147" s="93">
        <v>100</v>
      </c>
      <c r="N147" s="93">
        <v>100</v>
      </c>
      <c r="O147" s="93">
        <v>100</v>
      </c>
      <c r="P147" s="93">
        <v>100</v>
      </c>
      <c r="Q147" s="93">
        <v>100</v>
      </c>
      <c r="R147" s="93">
        <v>100</v>
      </c>
      <c r="S147" s="93" t="s">
        <v>29</v>
      </c>
      <c r="T147" s="93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U147" s="12"/>
      <c r="BV147" s="12"/>
      <c r="BW147" s="12"/>
      <c r="BX147" s="12"/>
      <c r="BY147" s="12"/>
      <c r="BZ147" s="12"/>
      <c r="CA147" s="12"/>
      <c r="CB147" s="12"/>
    </row>
    <row r="148" spans="1:80" x14ac:dyDescent="0.2">
      <c r="A148" s="96">
        <v>1322</v>
      </c>
      <c r="B148" s="96">
        <v>100</v>
      </c>
      <c r="C148" s="96">
        <v>100</v>
      </c>
      <c r="D148" s="96">
        <v>100</v>
      </c>
      <c r="E148" s="96">
        <v>100</v>
      </c>
      <c r="F148" s="96">
        <v>100</v>
      </c>
      <c r="G148" s="96">
        <v>100</v>
      </c>
      <c r="H148" s="96">
        <v>100</v>
      </c>
      <c r="I148" s="96" t="s">
        <v>29</v>
      </c>
      <c r="J148" s="93"/>
      <c r="K148" s="93">
        <v>1421</v>
      </c>
      <c r="L148" s="93">
        <v>100</v>
      </c>
      <c r="M148" s="93">
        <v>100</v>
      </c>
      <c r="N148" s="93">
        <v>100</v>
      </c>
      <c r="O148" s="93">
        <v>100</v>
      </c>
      <c r="P148" s="93">
        <v>100</v>
      </c>
      <c r="Q148" s="93">
        <v>100</v>
      </c>
      <c r="R148" s="93">
        <v>100</v>
      </c>
      <c r="S148" s="93" t="s">
        <v>29</v>
      </c>
      <c r="T148" s="93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U148" s="12"/>
      <c r="BV148" s="12"/>
      <c r="BW148" s="12"/>
      <c r="BX148" s="12"/>
      <c r="BY148" s="12"/>
      <c r="BZ148" s="12"/>
      <c r="CA148" s="12"/>
      <c r="CB148" s="12"/>
    </row>
    <row r="149" spans="1:80" x14ac:dyDescent="0.2">
      <c r="A149" s="96">
        <v>1323</v>
      </c>
      <c r="B149" s="96">
        <v>100</v>
      </c>
      <c r="C149" s="96">
        <v>100</v>
      </c>
      <c r="D149" s="96">
        <v>100</v>
      </c>
      <c r="E149" s="96">
        <v>100</v>
      </c>
      <c r="F149" s="96">
        <v>100</v>
      </c>
      <c r="G149" s="96">
        <v>100</v>
      </c>
      <c r="H149" s="96">
        <v>100</v>
      </c>
      <c r="I149" s="96" t="s">
        <v>29</v>
      </c>
      <c r="J149" s="93"/>
      <c r="K149" s="93">
        <v>1422</v>
      </c>
      <c r="L149" s="93">
        <v>100</v>
      </c>
      <c r="M149" s="93">
        <v>100</v>
      </c>
      <c r="N149" s="93">
        <v>100</v>
      </c>
      <c r="O149" s="93">
        <v>100</v>
      </c>
      <c r="P149" s="93">
        <v>100</v>
      </c>
      <c r="Q149" s="93">
        <v>100</v>
      </c>
      <c r="R149" s="93">
        <v>100</v>
      </c>
      <c r="S149" s="93" t="s">
        <v>29</v>
      </c>
      <c r="T149" s="93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U149" s="12"/>
      <c r="BV149" s="12"/>
      <c r="BW149" s="12"/>
      <c r="BX149" s="12"/>
      <c r="BY149" s="12"/>
      <c r="BZ149" s="12"/>
      <c r="CA149" s="12"/>
      <c r="CB149" s="12"/>
    </row>
    <row r="150" spans="1:80" x14ac:dyDescent="0.2">
      <c r="A150" s="96">
        <v>1324</v>
      </c>
      <c r="B150" s="96">
        <v>100</v>
      </c>
      <c r="C150" s="96">
        <v>100</v>
      </c>
      <c r="D150" s="96">
        <v>100</v>
      </c>
      <c r="E150" s="96">
        <v>100</v>
      </c>
      <c r="F150" s="96">
        <v>100</v>
      </c>
      <c r="G150" s="96">
        <v>100</v>
      </c>
      <c r="H150" s="96">
        <v>100</v>
      </c>
      <c r="I150" s="96" t="s">
        <v>29</v>
      </c>
      <c r="J150" s="93"/>
      <c r="K150" s="93">
        <v>1423</v>
      </c>
      <c r="L150" s="93">
        <v>100</v>
      </c>
      <c r="M150" s="93">
        <v>100</v>
      </c>
      <c r="N150" s="93">
        <v>100</v>
      </c>
      <c r="O150" s="93">
        <v>100</v>
      </c>
      <c r="P150" s="93">
        <v>100</v>
      </c>
      <c r="Q150" s="93">
        <v>100</v>
      </c>
      <c r="R150" s="93">
        <v>100</v>
      </c>
      <c r="S150" s="93" t="s">
        <v>29</v>
      </c>
      <c r="T150" s="93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CA150" s="12"/>
      <c r="CB150" s="12"/>
    </row>
    <row r="151" spans="1:80" x14ac:dyDescent="0.2">
      <c r="A151" s="96">
        <v>1325</v>
      </c>
      <c r="B151" s="96">
        <v>100</v>
      </c>
      <c r="C151" s="96">
        <v>100</v>
      </c>
      <c r="D151" s="96">
        <v>100</v>
      </c>
      <c r="E151" s="96">
        <v>100</v>
      </c>
      <c r="F151" s="96">
        <v>100</v>
      </c>
      <c r="G151" s="96">
        <v>100</v>
      </c>
      <c r="H151" s="96">
        <v>100</v>
      </c>
      <c r="I151" s="96" t="s">
        <v>29</v>
      </c>
      <c r="J151" s="93"/>
      <c r="K151" s="93">
        <v>1424</v>
      </c>
      <c r="L151" s="93">
        <v>100</v>
      </c>
      <c r="M151" s="93">
        <v>100</v>
      </c>
      <c r="N151" s="93">
        <v>100</v>
      </c>
      <c r="O151" s="93">
        <v>100</v>
      </c>
      <c r="P151" s="93">
        <v>100</v>
      </c>
      <c r="Q151" s="93">
        <v>100</v>
      </c>
      <c r="R151" s="93">
        <v>100</v>
      </c>
      <c r="S151" s="93" t="s">
        <v>29</v>
      </c>
      <c r="T151" s="93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CA151" s="12"/>
      <c r="CB151" s="12"/>
    </row>
    <row r="152" spans="1:80" x14ac:dyDescent="0.2">
      <c r="A152" s="96">
        <v>1326</v>
      </c>
      <c r="B152" s="96">
        <v>100</v>
      </c>
      <c r="C152" s="96">
        <v>100</v>
      </c>
      <c r="D152" s="96">
        <v>100</v>
      </c>
      <c r="E152" s="96">
        <v>100</v>
      </c>
      <c r="F152" s="96">
        <v>100</v>
      </c>
      <c r="G152" s="96">
        <v>100</v>
      </c>
      <c r="H152" s="96">
        <v>100</v>
      </c>
      <c r="I152" s="96" t="s">
        <v>29</v>
      </c>
      <c r="J152" s="93"/>
      <c r="K152" s="93">
        <v>1425</v>
      </c>
      <c r="L152" s="93">
        <v>100</v>
      </c>
      <c r="M152" s="93">
        <v>100</v>
      </c>
      <c r="N152" s="93">
        <v>100</v>
      </c>
      <c r="O152" s="93">
        <v>100</v>
      </c>
      <c r="P152" s="93">
        <v>100</v>
      </c>
      <c r="Q152" s="93">
        <v>100</v>
      </c>
      <c r="R152" s="93">
        <v>100</v>
      </c>
      <c r="S152" s="93" t="s">
        <v>29</v>
      </c>
      <c r="T152" s="93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CA152" s="12"/>
      <c r="CB152" s="12"/>
    </row>
    <row r="153" spans="1:80" x14ac:dyDescent="0.2">
      <c r="A153" s="96">
        <v>1327</v>
      </c>
      <c r="B153" s="96">
        <v>100</v>
      </c>
      <c r="C153" s="96">
        <v>100</v>
      </c>
      <c r="D153" s="96">
        <v>100</v>
      </c>
      <c r="E153" s="96">
        <v>100</v>
      </c>
      <c r="F153" s="96">
        <v>100</v>
      </c>
      <c r="G153" s="96">
        <v>100</v>
      </c>
      <c r="H153" s="96">
        <v>100</v>
      </c>
      <c r="I153" s="96" t="s">
        <v>29</v>
      </c>
      <c r="J153" s="93"/>
      <c r="K153" s="93">
        <v>1426</v>
      </c>
      <c r="L153" s="93">
        <v>100</v>
      </c>
      <c r="M153" s="93">
        <v>100</v>
      </c>
      <c r="N153" s="93">
        <v>100</v>
      </c>
      <c r="O153" s="93">
        <v>100</v>
      </c>
      <c r="P153" s="93">
        <v>100</v>
      </c>
      <c r="Q153" s="93">
        <v>100</v>
      </c>
      <c r="R153" s="93">
        <v>100</v>
      </c>
      <c r="S153" s="93" t="s">
        <v>29</v>
      </c>
      <c r="T153" s="93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CA153" s="12"/>
      <c r="CB153" s="12"/>
    </row>
    <row r="154" spans="1:80" x14ac:dyDescent="0.2">
      <c r="A154" s="96">
        <v>1328</v>
      </c>
      <c r="B154" s="96">
        <v>100</v>
      </c>
      <c r="C154" s="96">
        <v>100</v>
      </c>
      <c r="D154" s="96">
        <v>100</v>
      </c>
      <c r="E154" s="96">
        <v>100</v>
      </c>
      <c r="F154" s="96">
        <v>100</v>
      </c>
      <c r="G154" s="96">
        <v>100</v>
      </c>
      <c r="H154" s="96">
        <v>100</v>
      </c>
      <c r="I154" s="96" t="s">
        <v>29</v>
      </c>
      <c r="J154" s="93"/>
      <c r="K154" s="93">
        <v>1427</v>
      </c>
      <c r="L154" s="93">
        <v>100</v>
      </c>
      <c r="M154" s="93">
        <v>100</v>
      </c>
      <c r="N154" s="93">
        <v>100</v>
      </c>
      <c r="O154" s="93">
        <v>100</v>
      </c>
      <c r="P154" s="93">
        <v>100</v>
      </c>
      <c r="Q154" s="93">
        <v>100</v>
      </c>
      <c r="R154" s="93">
        <v>100</v>
      </c>
      <c r="S154" s="93" t="s">
        <v>29</v>
      </c>
      <c r="T154" s="93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CA154" s="12"/>
      <c r="CB154" s="12"/>
    </row>
    <row r="155" spans="1:80" x14ac:dyDescent="0.2">
      <c r="A155" s="96">
        <v>1329</v>
      </c>
      <c r="B155" s="96">
        <v>100</v>
      </c>
      <c r="C155" s="96">
        <v>100</v>
      </c>
      <c r="D155" s="96">
        <v>100</v>
      </c>
      <c r="E155" s="96">
        <v>100</v>
      </c>
      <c r="F155" s="96">
        <v>100</v>
      </c>
      <c r="G155" s="96">
        <v>100</v>
      </c>
      <c r="H155" s="96">
        <v>100</v>
      </c>
      <c r="I155" s="96" t="s">
        <v>29</v>
      </c>
      <c r="J155" s="93"/>
      <c r="K155" s="93">
        <v>1428</v>
      </c>
      <c r="L155" s="93">
        <v>100</v>
      </c>
      <c r="M155" s="93">
        <v>100</v>
      </c>
      <c r="N155" s="93">
        <v>100</v>
      </c>
      <c r="O155" s="93">
        <v>100</v>
      </c>
      <c r="P155" s="93">
        <v>100</v>
      </c>
      <c r="Q155" s="93">
        <v>100</v>
      </c>
      <c r="R155" s="93">
        <v>100</v>
      </c>
      <c r="S155" s="93" t="s">
        <v>29</v>
      </c>
      <c r="T155" s="93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CA155" s="12"/>
      <c r="CB155" s="12"/>
    </row>
    <row r="156" spans="1:80" x14ac:dyDescent="0.2">
      <c r="A156" s="96">
        <v>1330</v>
      </c>
      <c r="B156" s="96">
        <v>100</v>
      </c>
      <c r="C156" s="96">
        <v>100</v>
      </c>
      <c r="D156" s="96">
        <v>100</v>
      </c>
      <c r="E156" s="96">
        <v>100</v>
      </c>
      <c r="F156" s="96">
        <v>100</v>
      </c>
      <c r="G156" s="96">
        <v>100</v>
      </c>
      <c r="H156" s="96">
        <v>100</v>
      </c>
      <c r="I156" s="96" t="s">
        <v>29</v>
      </c>
      <c r="J156" s="93"/>
      <c r="K156" s="93">
        <v>1429</v>
      </c>
      <c r="L156" s="93">
        <v>100</v>
      </c>
      <c r="M156" s="93">
        <v>100</v>
      </c>
      <c r="N156" s="93">
        <v>100</v>
      </c>
      <c r="O156" s="93">
        <v>100</v>
      </c>
      <c r="P156" s="93">
        <v>100</v>
      </c>
      <c r="Q156" s="93">
        <v>100</v>
      </c>
      <c r="R156" s="93">
        <v>100</v>
      </c>
      <c r="S156" s="93" t="s">
        <v>29</v>
      </c>
      <c r="T156" s="93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CA156" s="12"/>
      <c r="CB156" s="12"/>
    </row>
    <row r="157" spans="1:80" x14ac:dyDescent="0.2">
      <c r="A157" s="96">
        <v>1331</v>
      </c>
      <c r="B157" s="96">
        <v>100</v>
      </c>
      <c r="C157" s="96">
        <v>100</v>
      </c>
      <c r="D157" s="96">
        <v>100</v>
      </c>
      <c r="E157" s="96">
        <v>100</v>
      </c>
      <c r="F157" s="96">
        <v>100</v>
      </c>
      <c r="G157" s="96">
        <v>100</v>
      </c>
      <c r="H157" s="96">
        <v>100</v>
      </c>
      <c r="I157" s="96" t="s">
        <v>29</v>
      </c>
      <c r="J157" s="93"/>
      <c r="K157" s="93">
        <v>1430</v>
      </c>
      <c r="L157" s="93">
        <v>100</v>
      </c>
      <c r="M157" s="93">
        <v>100</v>
      </c>
      <c r="N157" s="93">
        <v>100</v>
      </c>
      <c r="O157" s="93">
        <v>100</v>
      </c>
      <c r="P157" s="93">
        <v>100</v>
      </c>
      <c r="Q157" s="93">
        <v>100</v>
      </c>
      <c r="R157" s="93">
        <v>100</v>
      </c>
      <c r="S157" s="93" t="s">
        <v>29</v>
      </c>
      <c r="T157" s="93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CA157" s="12"/>
      <c r="CB157" s="12"/>
    </row>
    <row r="158" spans="1:80" x14ac:dyDescent="0.2">
      <c r="A158" s="96">
        <v>1332</v>
      </c>
      <c r="B158" s="96">
        <v>100</v>
      </c>
      <c r="C158" s="96">
        <v>100</v>
      </c>
      <c r="D158" s="96">
        <v>100</v>
      </c>
      <c r="E158" s="96">
        <v>100</v>
      </c>
      <c r="F158" s="96">
        <v>100</v>
      </c>
      <c r="G158" s="96">
        <v>100</v>
      </c>
      <c r="H158" s="96">
        <v>100</v>
      </c>
      <c r="I158" s="96" t="s">
        <v>29</v>
      </c>
      <c r="J158" s="93"/>
      <c r="K158" s="93">
        <v>1431</v>
      </c>
      <c r="L158" s="93">
        <v>100</v>
      </c>
      <c r="M158" s="93">
        <v>100</v>
      </c>
      <c r="N158" s="93">
        <v>100</v>
      </c>
      <c r="O158" s="93">
        <v>100</v>
      </c>
      <c r="P158" s="93">
        <v>100</v>
      </c>
      <c r="Q158" s="93">
        <v>100</v>
      </c>
      <c r="R158" s="93">
        <v>100</v>
      </c>
      <c r="S158" s="93" t="s">
        <v>29</v>
      </c>
      <c r="T158" s="93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CA158" s="12"/>
      <c r="CB158" s="12"/>
    </row>
    <row r="159" spans="1:80" x14ac:dyDescent="0.2">
      <c r="A159" s="96">
        <v>1333</v>
      </c>
      <c r="B159" s="96">
        <v>100</v>
      </c>
      <c r="C159" s="96">
        <v>100</v>
      </c>
      <c r="D159" s="96">
        <v>100</v>
      </c>
      <c r="E159" s="96">
        <v>100</v>
      </c>
      <c r="F159" s="96">
        <v>100</v>
      </c>
      <c r="G159" s="96">
        <v>100</v>
      </c>
      <c r="H159" s="96">
        <v>100</v>
      </c>
      <c r="I159" s="96" t="s">
        <v>29</v>
      </c>
      <c r="J159" s="93"/>
      <c r="K159" s="93">
        <v>1432</v>
      </c>
      <c r="L159" s="93">
        <v>100</v>
      </c>
      <c r="M159" s="93">
        <v>100</v>
      </c>
      <c r="N159" s="93">
        <v>100</v>
      </c>
      <c r="O159" s="93">
        <v>100</v>
      </c>
      <c r="P159" s="93">
        <v>100</v>
      </c>
      <c r="Q159" s="93">
        <v>100</v>
      </c>
      <c r="R159" s="93">
        <v>100</v>
      </c>
      <c r="S159" s="93" t="s">
        <v>29</v>
      </c>
      <c r="T159" s="93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CA159" s="12"/>
      <c r="CB159" s="12"/>
    </row>
    <row r="160" spans="1:80" x14ac:dyDescent="0.2">
      <c r="A160" s="96">
        <v>1334</v>
      </c>
      <c r="B160" s="96">
        <v>100</v>
      </c>
      <c r="C160" s="96">
        <v>100</v>
      </c>
      <c r="D160" s="96">
        <v>100</v>
      </c>
      <c r="E160" s="96">
        <v>100</v>
      </c>
      <c r="F160" s="96">
        <v>100</v>
      </c>
      <c r="G160" s="96">
        <v>100</v>
      </c>
      <c r="H160" s="96">
        <v>100</v>
      </c>
      <c r="I160" s="96" t="s">
        <v>29</v>
      </c>
      <c r="J160" s="93"/>
      <c r="K160" s="93">
        <v>1433</v>
      </c>
      <c r="L160" s="93">
        <v>100</v>
      </c>
      <c r="M160" s="93">
        <v>100</v>
      </c>
      <c r="N160" s="93">
        <v>100</v>
      </c>
      <c r="O160" s="93">
        <v>100</v>
      </c>
      <c r="P160" s="93">
        <v>100</v>
      </c>
      <c r="Q160" s="93">
        <v>100</v>
      </c>
      <c r="R160" s="93">
        <v>100</v>
      </c>
      <c r="S160" s="93" t="s">
        <v>29</v>
      </c>
      <c r="T160" s="93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CA160" s="12"/>
      <c r="CB160" s="12"/>
    </row>
    <row r="161" spans="1:80" x14ac:dyDescent="0.2">
      <c r="A161" s="96">
        <v>1335</v>
      </c>
      <c r="B161" s="96">
        <v>100</v>
      </c>
      <c r="C161" s="96">
        <v>100</v>
      </c>
      <c r="D161" s="96">
        <v>100</v>
      </c>
      <c r="E161" s="96">
        <v>100</v>
      </c>
      <c r="F161" s="96">
        <v>100</v>
      </c>
      <c r="G161" s="96">
        <v>100</v>
      </c>
      <c r="H161" s="96">
        <v>100</v>
      </c>
      <c r="I161" s="96" t="s">
        <v>29</v>
      </c>
      <c r="J161" s="93"/>
      <c r="K161" s="93">
        <v>1434</v>
      </c>
      <c r="L161" s="93">
        <v>100</v>
      </c>
      <c r="M161" s="93">
        <v>100</v>
      </c>
      <c r="N161" s="93">
        <v>100</v>
      </c>
      <c r="O161" s="93">
        <v>100</v>
      </c>
      <c r="P161" s="93">
        <v>100</v>
      </c>
      <c r="Q161" s="93">
        <v>100</v>
      </c>
      <c r="R161" s="93">
        <v>100</v>
      </c>
      <c r="S161" s="93" t="s">
        <v>29</v>
      </c>
      <c r="T161" s="93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CA161" s="12"/>
      <c r="CB161" s="12"/>
    </row>
    <row r="162" spans="1:80" x14ac:dyDescent="0.2">
      <c r="A162" s="96">
        <v>1336</v>
      </c>
      <c r="B162" s="96">
        <v>100</v>
      </c>
      <c r="C162" s="96">
        <v>100</v>
      </c>
      <c r="D162" s="96">
        <v>100</v>
      </c>
      <c r="E162" s="96">
        <v>100</v>
      </c>
      <c r="F162" s="96">
        <v>100</v>
      </c>
      <c r="G162" s="96">
        <v>100</v>
      </c>
      <c r="H162" s="96">
        <v>100</v>
      </c>
      <c r="I162" s="96" t="s">
        <v>29</v>
      </c>
      <c r="J162" s="93"/>
      <c r="K162" s="93">
        <v>1435</v>
      </c>
      <c r="L162" s="93">
        <v>100</v>
      </c>
      <c r="M162" s="93">
        <v>100</v>
      </c>
      <c r="N162" s="93">
        <v>100</v>
      </c>
      <c r="O162" s="93">
        <v>100</v>
      </c>
      <c r="P162" s="93">
        <v>100</v>
      </c>
      <c r="Q162" s="93">
        <v>100</v>
      </c>
      <c r="R162" s="93">
        <v>100</v>
      </c>
      <c r="S162" s="93" t="s">
        <v>29</v>
      </c>
      <c r="T162" s="93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CA162" s="12"/>
      <c r="CB162" s="12"/>
    </row>
    <row r="163" spans="1:80" x14ac:dyDescent="0.2">
      <c r="A163" s="96">
        <v>1337</v>
      </c>
      <c r="B163" s="96">
        <v>100</v>
      </c>
      <c r="C163" s="96">
        <v>100</v>
      </c>
      <c r="D163" s="96">
        <v>100</v>
      </c>
      <c r="E163" s="96">
        <v>100</v>
      </c>
      <c r="F163" s="96">
        <v>100</v>
      </c>
      <c r="G163" s="96">
        <v>100</v>
      </c>
      <c r="H163" s="96">
        <v>100</v>
      </c>
      <c r="I163" s="96" t="s">
        <v>29</v>
      </c>
      <c r="J163" s="93"/>
      <c r="K163" s="93">
        <v>1436</v>
      </c>
      <c r="L163" s="93">
        <v>100</v>
      </c>
      <c r="M163" s="93">
        <v>100</v>
      </c>
      <c r="N163" s="93">
        <v>100</v>
      </c>
      <c r="O163" s="93">
        <v>100</v>
      </c>
      <c r="P163" s="93">
        <v>100</v>
      </c>
      <c r="Q163" s="93">
        <v>100</v>
      </c>
      <c r="R163" s="93">
        <v>100</v>
      </c>
      <c r="S163" s="93" t="s">
        <v>29</v>
      </c>
      <c r="T163" s="93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CA163" s="12"/>
      <c r="CB163" s="12"/>
    </row>
    <row r="164" spans="1:80" x14ac:dyDescent="0.2">
      <c r="A164" s="96">
        <v>1338</v>
      </c>
      <c r="B164" s="96">
        <v>100</v>
      </c>
      <c r="C164" s="96">
        <v>100</v>
      </c>
      <c r="D164" s="96">
        <v>100</v>
      </c>
      <c r="E164" s="96">
        <v>100</v>
      </c>
      <c r="F164" s="96">
        <v>100</v>
      </c>
      <c r="G164" s="96">
        <v>100</v>
      </c>
      <c r="H164" s="96">
        <v>100</v>
      </c>
      <c r="I164" s="96" t="s">
        <v>29</v>
      </c>
      <c r="J164" s="93"/>
      <c r="K164" s="93">
        <v>1437</v>
      </c>
      <c r="L164" s="93">
        <v>100</v>
      </c>
      <c r="M164" s="93">
        <v>100</v>
      </c>
      <c r="N164" s="93">
        <v>100</v>
      </c>
      <c r="O164" s="93">
        <v>100</v>
      </c>
      <c r="P164" s="93">
        <v>100</v>
      </c>
      <c r="Q164" s="93">
        <v>100</v>
      </c>
      <c r="R164" s="93">
        <v>100</v>
      </c>
      <c r="S164" s="93" t="s">
        <v>29</v>
      </c>
      <c r="T164" s="93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CA164" s="12"/>
      <c r="CB164" s="12"/>
    </row>
    <row r="165" spans="1:80" x14ac:dyDescent="0.2">
      <c r="A165" s="96">
        <v>1339</v>
      </c>
      <c r="B165" s="96">
        <v>100</v>
      </c>
      <c r="C165" s="96">
        <v>100</v>
      </c>
      <c r="D165" s="96">
        <v>100</v>
      </c>
      <c r="E165" s="96">
        <v>100</v>
      </c>
      <c r="F165" s="96">
        <v>100</v>
      </c>
      <c r="G165" s="96">
        <v>100</v>
      </c>
      <c r="H165" s="96">
        <v>100</v>
      </c>
      <c r="I165" s="96" t="s">
        <v>29</v>
      </c>
      <c r="J165" s="93"/>
      <c r="K165" s="93">
        <v>1438</v>
      </c>
      <c r="L165" s="93">
        <v>100</v>
      </c>
      <c r="M165" s="93">
        <v>100</v>
      </c>
      <c r="N165" s="93">
        <v>100</v>
      </c>
      <c r="O165" s="93">
        <v>100</v>
      </c>
      <c r="P165" s="93">
        <v>100</v>
      </c>
      <c r="Q165" s="93">
        <v>100</v>
      </c>
      <c r="R165" s="93">
        <v>100</v>
      </c>
      <c r="S165" s="93" t="s">
        <v>29</v>
      </c>
      <c r="T165" s="93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CA165" s="12"/>
      <c r="CB165" s="12"/>
    </row>
    <row r="166" spans="1:80" x14ac:dyDescent="0.2">
      <c r="A166" s="96">
        <v>1340</v>
      </c>
      <c r="B166" s="96">
        <v>100</v>
      </c>
      <c r="C166" s="96">
        <v>100</v>
      </c>
      <c r="D166" s="96">
        <v>100</v>
      </c>
      <c r="E166" s="96">
        <v>100</v>
      </c>
      <c r="F166" s="96">
        <v>100</v>
      </c>
      <c r="G166" s="96">
        <v>100</v>
      </c>
      <c r="H166" s="96">
        <v>100</v>
      </c>
      <c r="I166" s="96" t="s">
        <v>29</v>
      </c>
      <c r="J166" s="93"/>
      <c r="K166" s="93">
        <v>1439</v>
      </c>
      <c r="L166" s="93">
        <v>100</v>
      </c>
      <c r="M166" s="93">
        <v>100</v>
      </c>
      <c r="N166" s="93">
        <v>100</v>
      </c>
      <c r="O166" s="93">
        <v>100</v>
      </c>
      <c r="P166" s="93">
        <v>100</v>
      </c>
      <c r="Q166" s="93">
        <v>100</v>
      </c>
      <c r="R166" s="93">
        <v>100</v>
      </c>
      <c r="S166" s="93" t="s">
        <v>29</v>
      </c>
      <c r="T166" s="93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CA166" s="12"/>
      <c r="CB166" s="12"/>
    </row>
    <row r="167" spans="1:80" x14ac:dyDescent="0.2">
      <c r="A167" s="96">
        <v>1341</v>
      </c>
      <c r="B167" s="96">
        <v>95</v>
      </c>
      <c r="C167" s="96">
        <v>100</v>
      </c>
      <c r="D167" s="96">
        <v>100</v>
      </c>
      <c r="E167" s="96">
        <v>100</v>
      </c>
      <c r="F167" s="96">
        <v>100</v>
      </c>
      <c r="G167" s="96">
        <v>100</v>
      </c>
      <c r="H167" s="96">
        <v>100</v>
      </c>
      <c r="I167" s="96" t="s">
        <v>29</v>
      </c>
      <c r="J167" s="93"/>
      <c r="K167" s="93">
        <v>1440</v>
      </c>
      <c r="L167" s="93">
        <v>100</v>
      </c>
      <c r="M167" s="93">
        <v>100</v>
      </c>
      <c r="N167" s="93">
        <v>100</v>
      </c>
      <c r="O167" s="93">
        <v>100</v>
      </c>
      <c r="P167" s="93">
        <v>100</v>
      </c>
      <c r="Q167" s="93">
        <v>100</v>
      </c>
      <c r="R167" s="93">
        <v>100</v>
      </c>
      <c r="S167" s="93" t="s">
        <v>29</v>
      </c>
      <c r="T167" s="93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CA167" s="12"/>
      <c r="CB167" s="12"/>
    </row>
    <row r="168" spans="1:80" x14ac:dyDescent="0.2">
      <c r="A168" s="96">
        <v>1342</v>
      </c>
      <c r="B168" s="96">
        <v>95</v>
      </c>
      <c r="C168" s="96">
        <v>100</v>
      </c>
      <c r="D168" s="96">
        <v>100</v>
      </c>
      <c r="E168" s="96">
        <v>100</v>
      </c>
      <c r="F168" s="96">
        <v>100</v>
      </c>
      <c r="G168" s="96">
        <v>100</v>
      </c>
      <c r="H168" s="96">
        <v>100</v>
      </c>
      <c r="I168" s="96" t="s">
        <v>29</v>
      </c>
      <c r="J168" s="93"/>
      <c r="K168" s="93">
        <v>1441</v>
      </c>
      <c r="L168" s="93">
        <v>100</v>
      </c>
      <c r="M168" s="93">
        <v>100</v>
      </c>
      <c r="N168" s="93">
        <v>100</v>
      </c>
      <c r="O168" s="93">
        <v>100</v>
      </c>
      <c r="P168" s="93">
        <v>100</v>
      </c>
      <c r="Q168" s="93">
        <v>100</v>
      </c>
      <c r="R168" s="93">
        <v>100</v>
      </c>
      <c r="S168" s="93" t="s">
        <v>29</v>
      </c>
      <c r="T168" s="93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CA168" s="12"/>
      <c r="CB168" s="12"/>
    </row>
    <row r="169" spans="1:80" x14ac:dyDescent="0.2">
      <c r="A169" s="96">
        <v>1343</v>
      </c>
      <c r="B169" s="96">
        <v>95</v>
      </c>
      <c r="C169" s="96">
        <v>100</v>
      </c>
      <c r="D169" s="96">
        <v>100</v>
      </c>
      <c r="E169" s="96">
        <v>100</v>
      </c>
      <c r="F169" s="96">
        <v>100</v>
      </c>
      <c r="G169" s="96">
        <v>100</v>
      </c>
      <c r="H169" s="96">
        <v>100</v>
      </c>
      <c r="I169" s="96" t="s">
        <v>29</v>
      </c>
      <c r="J169" s="93"/>
      <c r="K169" s="93">
        <v>1442</v>
      </c>
      <c r="L169" s="93">
        <v>100</v>
      </c>
      <c r="M169" s="93">
        <v>100</v>
      </c>
      <c r="N169" s="93">
        <v>100</v>
      </c>
      <c r="O169" s="93">
        <v>100</v>
      </c>
      <c r="P169" s="93">
        <v>100</v>
      </c>
      <c r="Q169" s="93">
        <v>100</v>
      </c>
      <c r="R169" s="93">
        <v>100</v>
      </c>
      <c r="S169" s="93" t="s">
        <v>29</v>
      </c>
      <c r="T169" s="93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CA169" s="12"/>
      <c r="CB169" s="12"/>
    </row>
    <row r="170" spans="1:80" x14ac:dyDescent="0.2">
      <c r="A170" s="96">
        <v>1344</v>
      </c>
      <c r="B170" s="96">
        <v>95</v>
      </c>
      <c r="C170" s="96">
        <v>100</v>
      </c>
      <c r="D170" s="96">
        <v>100</v>
      </c>
      <c r="E170" s="96">
        <v>100</v>
      </c>
      <c r="F170" s="96">
        <v>100</v>
      </c>
      <c r="G170" s="96">
        <v>100</v>
      </c>
      <c r="H170" s="96">
        <v>100</v>
      </c>
      <c r="I170" s="96" t="s">
        <v>29</v>
      </c>
      <c r="J170" s="93"/>
      <c r="K170" s="93">
        <v>1443</v>
      </c>
      <c r="L170" s="93">
        <v>100</v>
      </c>
      <c r="M170" s="93">
        <v>100</v>
      </c>
      <c r="N170" s="93">
        <v>100</v>
      </c>
      <c r="O170" s="93">
        <v>100</v>
      </c>
      <c r="P170" s="93">
        <v>100</v>
      </c>
      <c r="Q170" s="93">
        <v>100</v>
      </c>
      <c r="R170" s="93">
        <v>100</v>
      </c>
      <c r="S170" s="93" t="s">
        <v>29</v>
      </c>
      <c r="T170" s="93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CA170" s="12"/>
      <c r="CB170" s="12"/>
    </row>
    <row r="171" spans="1:80" x14ac:dyDescent="0.2">
      <c r="A171" s="96">
        <v>1345</v>
      </c>
      <c r="B171" s="96">
        <v>95</v>
      </c>
      <c r="C171" s="96">
        <v>100</v>
      </c>
      <c r="D171" s="96">
        <v>100</v>
      </c>
      <c r="E171" s="96">
        <v>100</v>
      </c>
      <c r="F171" s="96">
        <v>100</v>
      </c>
      <c r="G171" s="96">
        <v>100</v>
      </c>
      <c r="H171" s="96">
        <v>100</v>
      </c>
      <c r="I171" s="96" t="s">
        <v>29</v>
      </c>
      <c r="J171" s="93"/>
      <c r="K171" s="93">
        <v>1444</v>
      </c>
      <c r="L171" s="93">
        <v>100</v>
      </c>
      <c r="M171" s="93">
        <v>100</v>
      </c>
      <c r="N171" s="93">
        <v>100</v>
      </c>
      <c r="O171" s="93">
        <v>100</v>
      </c>
      <c r="P171" s="93">
        <v>100</v>
      </c>
      <c r="Q171" s="93">
        <v>100</v>
      </c>
      <c r="R171" s="93">
        <v>100</v>
      </c>
      <c r="S171" s="93" t="s">
        <v>29</v>
      </c>
      <c r="T171" s="93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CA171" s="12"/>
      <c r="CB171" s="12"/>
    </row>
    <row r="172" spans="1:80" x14ac:dyDescent="0.2">
      <c r="A172" s="96">
        <v>1346</v>
      </c>
      <c r="B172" s="96">
        <v>95</v>
      </c>
      <c r="C172" s="96">
        <v>100</v>
      </c>
      <c r="D172" s="96">
        <v>100</v>
      </c>
      <c r="E172" s="96">
        <v>100</v>
      </c>
      <c r="F172" s="96">
        <v>100</v>
      </c>
      <c r="G172" s="96">
        <v>100</v>
      </c>
      <c r="H172" s="96">
        <v>100</v>
      </c>
      <c r="I172" s="96" t="s">
        <v>29</v>
      </c>
      <c r="J172" s="93"/>
      <c r="K172" s="93">
        <v>1445</v>
      </c>
      <c r="L172" s="93">
        <v>100</v>
      </c>
      <c r="M172" s="93">
        <v>100</v>
      </c>
      <c r="N172" s="93">
        <v>100</v>
      </c>
      <c r="O172" s="93">
        <v>100</v>
      </c>
      <c r="P172" s="93">
        <v>100</v>
      </c>
      <c r="Q172" s="93">
        <v>100</v>
      </c>
      <c r="R172" s="93">
        <v>100</v>
      </c>
      <c r="S172" s="93" t="s">
        <v>29</v>
      </c>
      <c r="T172" s="93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CA172" s="12"/>
      <c r="CB172" s="12"/>
    </row>
    <row r="173" spans="1:80" x14ac:dyDescent="0.2">
      <c r="A173" s="96">
        <v>1347</v>
      </c>
      <c r="B173" s="96">
        <v>95</v>
      </c>
      <c r="C173" s="96">
        <v>100</v>
      </c>
      <c r="D173" s="96">
        <v>100</v>
      </c>
      <c r="E173" s="96">
        <v>100</v>
      </c>
      <c r="F173" s="96">
        <v>100</v>
      </c>
      <c r="G173" s="96">
        <v>100</v>
      </c>
      <c r="H173" s="96">
        <v>100</v>
      </c>
      <c r="I173" s="96" t="s">
        <v>29</v>
      </c>
      <c r="J173" s="93"/>
      <c r="K173" s="93">
        <v>1446</v>
      </c>
      <c r="L173" s="93">
        <v>100</v>
      </c>
      <c r="M173" s="93">
        <v>100</v>
      </c>
      <c r="N173" s="93">
        <v>100</v>
      </c>
      <c r="O173" s="93">
        <v>100</v>
      </c>
      <c r="P173" s="93">
        <v>100</v>
      </c>
      <c r="Q173" s="93">
        <v>100</v>
      </c>
      <c r="R173" s="93">
        <v>100</v>
      </c>
      <c r="S173" s="93" t="s">
        <v>29</v>
      </c>
      <c r="T173" s="93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CA173" s="12"/>
      <c r="CB173" s="12"/>
    </row>
    <row r="174" spans="1:80" x14ac:dyDescent="0.2">
      <c r="A174" s="96">
        <v>1348</v>
      </c>
      <c r="B174" s="96">
        <v>95</v>
      </c>
      <c r="C174" s="96">
        <v>100</v>
      </c>
      <c r="D174" s="96">
        <v>100</v>
      </c>
      <c r="E174" s="96">
        <v>100</v>
      </c>
      <c r="F174" s="96">
        <v>100</v>
      </c>
      <c r="G174" s="96">
        <v>100</v>
      </c>
      <c r="H174" s="96">
        <v>100</v>
      </c>
      <c r="I174" s="96" t="s">
        <v>29</v>
      </c>
      <c r="J174" s="93"/>
      <c r="K174" s="93">
        <v>1447</v>
      </c>
      <c r="L174" s="93">
        <v>100</v>
      </c>
      <c r="M174" s="93">
        <v>100</v>
      </c>
      <c r="N174" s="93">
        <v>100</v>
      </c>
      <c r="O174" s="93">
        <v>100</v>
      </c>
      <c r="P174" s="93">
        <v>100</v>
      </c>
      <c r="Q174" s="93">
        <v>100</v>
      </c>
      <c r="R174" s="93">
        <v>100</v>
      </c>
      <c r="S174" s="93" t="s">
        <v>29</v>
      </c>
      <c r="T174" s="93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CA174" s="12"/>
      <c r="CB174" s="12"/>
    </row>
    <row r="175" spans="1:80" x14ac:dyDescent="0.2">
      <c r="A175" s="96">
        <v>1349</v>
      </c>
      <c r="B175" s="96">
        <v>95</v>
      </c>
      <c r="C175" s="96">
        <v>100</v>
      </c>
      <c r="D175" s="96">
        <v>100</v>
      </c>
      <c r="E175" s="96">
        <v>100</v>
      </c>
      <c r="F175" s="96">
        <v>100</v>
      </c>
      <c r="G175" s="96">
        <v>100</v>
      </c>
      <c r="H175" s="96">
        <v>100</v>
      </c>
      <c r="I175" s="96" t="s">
        <v>29</v>
      </c>
      <c r="J175" s="93"/>
      <c r="K175" s="93">
        <v>1448</v>
      </c>
      <c r="L175" s="93">
        <v>100</v>
      </c>
      <c r="M175" s="93">
        <v>100</v>
      </c>
      <c r="N175" s="93">
        <v>100</v>
      </c>
      <c r="O175" s="93">
        <v>100</v>
      </c>
      <c r="P175" s="93">
        <v>100</v>
      </c>
      <c r="Q175" s="93">
        <v>100</v>
      </c>
      <c r="R175" s="93">
        <v>100</v>
      </c>
      <c r="S175" s="93" t="s">
        <v>29</v>
      </c>
      <c r="T175" s="93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CA175" s="12"/>
      <c r="CB175" s="12"/>
    </row>
    <row r="176" spans="1:80" x14ac:dyDescent="0.2">
      <c r="A176" s="96">
        <v>1350</v>
      </c>
      <c r="B176" s="96">
        <v>95</v>
      </c>
      <c r="C176" s="96">
        <v>100</v>
      </c>
      <c r="D176" s="96">
        <v>100</v>
      </c>
      <c r="E176" s="96">
        <v>100</v>
      </c>
      <c r="F176" s="96">
        <v>100</v>
      </c>
      <c r="G176" s="96">
        <v>100</v>
      </c>
      <c r="H176" s="96">
        <v>100</v>
      </c>
      <c r="I176" s="96" t="s">
        <v>29</v>
      </c>
      <c r="J176" s="93"/>
      <c r="K176" s="93">
        <v>1449</v>
      </c>
      <c r="L176" s="93">
        <v>100</v>
      </c>
      <c r="M176" s="93">
        <v>100</v>
      </c>
      <c r="N176" s="93">
        <v>100</v>
      </c>
      <c r="O176" s="93">
        <v>100</v>
      </c>
      <c r="P176" s="93">
        <v>100</v>
      </c>
      <c r="Q176" s="93">
        <v>100</v>
      </c>
      <c r="R176" s="93">
        <v>100</v>
      </c>
      <c r="S176" s="93" t="s">
        <v>29</v>
      </c>
      <c r="T176" s="93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CA176" s="12"/>
      <c r="CB176" s="12"/>
    </row>
    <row r="177" spans="1:80" x14ac:dyDescent="0.2">
      <c r="A177" s="96">
        <v>1351</v>
      </c>
      <c r="B177" s="96">
        <v>95</v>
      </c>
      <c r="C177" s="96">
        <v>100</v>
      </c>
      <c r="D177" s="96">
        <v>100</v>
      </c>
      <c r="E177" s="96">
        <v>100</v>
      </c>
      <c r="F177" s="96">
        <v>100</v>
      </c>
      <c r="G177" s="96">
        <v>100</v>
      </c>
      <c r="H177" s="96">
        <v>100</v>
      </c>
      <c r="I177" s="96" t="s">
        <v>29</v>
      </c>
      <c r="J177" s="93"/>
      <c r="K177" s="93">
        <v>1450</v>
      </c>
      <c r="L177" s="93">
        <v>100</v>
      </c>
      <c r="M177" s="93">
        <v>100</v>
      </c>
      <c r="N177" s="93">
        <v>100</v>
      </c>
      <c r="O177" s="93">
        <v>100</v>
      </c>
      <c r="P177" s="93">
        <v>100</v>
      </c>
      <c r="Q177" s="93">
        <v>100</v>
      </c>
      <c r="R177" s="93">
        <v>100</v>
      </c>
      <c r="S177" s="93" t="s">
        <v>29</v>
      </c>
      <c r="T177" s="93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CA177" s="12"/>
      <c r="CB177" s="12"/>
    </row>
    <row r="178" spans="1:80" x14ac:dyDescent="0.2">
      <c r="A178" s="96">
        <v>1352</v>
      </c>
      <c r="B178" s="96">
        <v>95</v>
      </c>
      <c r="C178" s="96">
        <v>100</v>
      </c>
      <c r="D178" s="96">
        <v>100</v>
      </c>
      <c r="E178" s="96">
        <v>100</v>
      </c>
      <c r="F178" s="96">
        <v>100</v>
      </c>
      <c r="G178" s="96">
        <v>100</v>
      </c>
      <c r="H178" s="96">
        <v>100</v>
      </c>
      <c r="I178" s="96" t="s">
        <v>29</v>
      </c>
      <c r="J178" s="93"/>
      <c r="K178" s="93">
        <v>1451</v>
      </c>
      <c r="L178" s="93">
        <v>100</v>
      </c>
      <c r="M178" s="93">
        <v>100</v>
      </c>
      <c r="N178" s="93">
        <v>100</v>
      </c>
      <c r="O178" s="93">
        <v>100</v>
      </c>
      <c r="P178" s="93">
        <v>100</v>
      </c>
      <c r="Q178" s="93">
        <v>100</v>
      </c>
      <c r="R178" s="93">
        <v>100</v>
      </c>
      <c r="S178" s="93" t="s">
        <v>29</v>
      </c>
      <c r="T178" s="93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CA178" s="12"/>
      <c r="CB178" s="12"/>
    </row>
    <row r="179" spans="1:80" x14ac:dyDescent="0.2">
      <c r="A179" s="96">
        <v>1353</v>
      </c>
      <c r="B179" s="96">
        <v>95</v>
      </c>
      <c r="C179" s="96">
        <v>100</v>
      </c>
      <c r="D179" s="96">
        <v>100</v>
      </c>
      <c r="E179" s="96">
        <v>100</v>
      </c>
      <c r="F179" s="96">
        <v>100</v>
      </c>
      <c r="G179" s="96">
        <v>100</v>
      </c>
      <c r="H179" s="96">
        <v>100</v>
      </c>
      <c r="I179" s="96" t="s">
        <v>29</v>
      </c>
      <c r="J179" s="93"/>
      <c r="K179" s="93">
        <v>1452</v>
      </c>
      <c r="L179" s="93">
        <v>100</v>
      </c>
      <c r="M179" s="93">
        <v>100</v>
      </c>
      <c r="N179" s="93">
        <v>100</v>
      </c>
      <c r="O179" s="93">
        <v>100</v>
      </c>
      <c r="P179" s="93">
        <v>100</v>
      </c>
      <c r="Q179" s="93">
        <v>100</v>
      </c>
      <c r="R179" s="93">
        <v>100</v>
      </c>
      <c r="S179" s="93" t="s">
        <v>29</v>
      </c>
      <c r="T179" s="93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CA179" s="12"/>
      <c r="CB179" s="12"/>
    </row>
    <row r="180" spans="1:80" x14ac:dyDescent="0.2">
      <c r="A180" s="96">
        <v>1354</v>
      </c>
      <c r="B180" s="96">
        <v>95</v>
      </c>
      <c r="C180" s="96">
        <v>100</v>
      </c>
      <c r="D180" s="96">
        <v>100</v>
      </c>
      <c r="E180" s="96">
        <v>100</v>
      </c>
      <c r="F180" s="96">
        <v>100</v>
      </c>
      <c r="G180" s="96">
        <v>100</v>
      </c>
      <c r="H180" s="96">
        <v>100</v>
      </c>
      <c r="I180" s="96" t="s">
        <v>29</v>
      </c>
      <c r="J180" s="93"/>
      <c r="K180" s="93">
        <v>1453</v>
      </c>
      <c r="L180" s="93">
        <v>100</v>
      </c>
      <c r="M180" s="93">
        <v>100</v>
      </c>
      <c r="N180" s="93">
        <v>100</v>
      </c>
      <c r="O180" s="93">
        <v>100</v>
      </c>
      <c r="P180" s="93">
        <v>100</v>
      </c>
      <c r="Q180" s="93">
        <v>100</v>
      </c>
      <c r="R180" s="93">
        <v>100</v>
      </c>
      <c r="S180" s="93" t="s">
        <v>29</v>
      </c>
      <c r="T180" s="93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CA180" s="12"/>
      <c r="CB180" s="12"/>
    </row>
    <row r="181" spans="1:80" x14ac:dyDescent="0.2">
      <c r="A181" s="96">
        <v>1355</v>
      </c>
      <c r="B181" s="96">
        <v>95</v>
      </c>
      <c r="C181" s="96">
        <v>100</v>
      </c>
      <c r="D181" s="96">
        <v>100</v>
      </c>
      <c r="E181" s="96">
        <v>100</v>
      </c>
      <c r="F181" s="96">
        <v>100</v>
      </c>
      <c r="G181" s="96">
        <v>100</v>
      </c>
      <c r="H181" s="96">
        <v>100</v>
      </c>
      <c r="I181" s="96" t="s">
        <v>29</v>
      </c>
      <c r="J181" s="93"/>
      <c r="K181" s="93">
        <v>1454</v>
      </c>
      <c r="L181" s="93">
        <v>100</v>
      </c>
      <c r="M181" s="93">
        <v>100</v>
      </c>
      <c r="N181" s="93">
        <v>100</v>
      </c>
      <c r="O181" s="93">
        <v>100</v>
      </c>
      <c r="P181" s="93">
        <v>100</v>
      </c>
      <c r="Q181" s="93">
        <v>100</v>
      </c>
      <c r="R181" s="93">
        <v>100</v>
      </c>
      <c r="S181" s="93" t="s">
        <v>29</v>
      </c>
      <c r="T181" s="93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CA181" s="12"/>
      <c r="CB181" s="12"/>
    </row>
    <row r="182" spans="1:80" x14ac:dyDescent="0.2">
      <c r="A182" s="96">
        <v>1356</v>
      </c>
      <c r="B182" s="96">
        <v>95</v>
      </c>
      <c r="C182" s="96">
        <v>100</v>
      </c>
      <c r="D182" s="96">
        <v>100</v>
      </c>
      <c r="E182" s="96">
        <v>100</v>
      </c>
      <c r="F182" s="96">
        <v>100</v>
      </c>
      <c r="G182" s="96">
        <v>100</v>
      </c>
      <c r="H182" s="96">
        <v>100</v>
      </c>
      <c r="I182" s="96" t="s">
        <v>29</v>
      </c>
      <c r="J182" s="93"/>
      <c r="K182" s="93">
        <v>1455</v>
      </c>
      <c r="L182" s="93">
        <v>100</v>
      </c>
      <c r="M182" s="93">
        <v>100</v>
      </c>
      <c r="N182" s="93">
        <v>100</v>
      </c>
      <c r="O182" s="93">
        <v>100</v>
      </c>
      <c r="P182" s="93">
        <v>100</v>
      </c>
      <c r="Q182" s="93">
        <v>100</v>
      </c>
      <c r="R182" s="93">
        <v>100</v>
      </c>
      <c r="S182" s="93" t="s">
        <v>29</v>
      </c>
      <c r="T182" s="93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CA182" s="12"/>
      <c r="CB182" s="12"/>
    </row>
    <row r="183" spans="1:80" x14ac:dyDescent="0.2">
      <c r="A183" s="96">
        <v>1357</v>
      </c>
      <c r="B183" s="96">
        <v>95</v>
      </c>
      <c r="C183" s="96">
        <v>100</v>
      </c>
      <c r="D183" s="96">
        <v>100</v>
      </c>
      <c r="E183" s="96">
        <v>100</v>
      </c>
      <c r="F183" s="96">
        <v>100</v>
      </c>
      <c r="G183" s="96">
        <v>100</v>
      </c>
      <c r="H183" s="96">
        <v>100</v>
      </c>
      <c r="I183" s="96" t="s">
        <v>29</v>
      </c>
      <c r="J183" s="93"/>
      <c r="K183" s="93">
        <v>1456</v>
      </c>
      <c r="L183" s="93">
        <v>100</v>
      </c>
      <c r="M183" s="93">
        <v>100</v>
      </c>
      <c r="N183" s="93">
        <v>100</v>
      </c>
      <c r="O183" s="93">
        <v>100</v>
      </c>
      <c r="P183" s="93">
        <v>100</v>
      </c>
      <c r="Q183" s="93">
        <v>100</v>
      </c>
      <c r="R183" s="93">
        <v>100</v>
      </c>
      <c r="S183" s="93" t="s">
        <v>29</v>
      </c>
      <c r="T183" s="93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CA183" s="12"/>
      <c r="CB183" s="12"/>
    </row>
    <row r="184" spans="1:80" x14ac:dyDescent="0.2">
      <c r="A184" s="96">
        <v>1358</v>
      </c>
      <c r="B184" s="96">
        <v>95</v>
      </c>
      <c r="C184" s="96">
        <v>100</v>
      </c>
      <c r="D184" s="96">
        <v>100</v>
      </c>
      <c r="E184" s="96">
        <v>100</v>
      </c>
      <c r="F184" s="96">
        <v>100</v>
      </c>
      <c r="G184" s="96">
        <v>100</v>
      </c>
      <c r="H184" s="96">
        <v>100</v>
      </c>
      <c r="I184" s="96" t="s">
        <v>29</v>
      </c>
      <c r="J184" s="93"/>
      <c r="K184" s="93">
        <v>1457</v>
      </c>
      <c r="L184" s="93">
        <v>100</v>
      </c>
      <c r="M184" s="93">
        <v>100</v>
      </c>
      <c r="N184" s="93">
        <v>100</v>
      </c>
      <c r="O184" s="93">
        <v>100</v>
      </c>
      <c r="P184" s="93">
        <v>100</v>
      </c>
      <c r="Q184" s="93">
        <v>100</v>
      </c>
      <c r="R184" s="93">
        <v>100</v>
      </c>
      <c r="S184" s="93" t="s">
        <v>29</v>
      </c>
      <c r="T184" s="93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CA184" s="12"/>
      <c r="CB184" s="12"/>
    </row>
    <row r="185" spans="1:80" x14ac:dyDescent="0.2">
      <c r="A185" s="96">
        <v>1359</v>
      </c>
      <c r="B185" s="96">
        <v>95</v>
      </c>
      <c r="C185" s="96">
        <v>100</v>
      </c>
      <c r="D185" s="96">
        <v>100</v>
      </c>
      <c r="E185" s="96">
        <v>100</v>
      </c>
      <c r="F185" s="96">
        <v>100</v>
      </c>
      <c r="G185" s="96">
        <v>100</v>
      </c>
      <c r="H185" s="96">
        <v>100</v>
      </c>
      <c r="I185" s="96" t="s">
        <v>29</v>
      </c>
      <c r="J185" s="93"/>
      <c r="K185" s="93">
        <v>1458</v>
      </c>
      <c r="L185" s="93">
        <v>100</v>
      </c>
      <c r="M185" s="93">
        <v>100</v>
      </c>
      <c r="N185" s="93">
        <v>100</v>
      </c>
      <c r="O185" s="93">
        <v>100</v>
      </c>
      <c r="P185" s="93">
        <v>100</v>
      </c>
      <c r="Q185" s="93">
        <v>100</v>
      </c>
      <c r="R185" s="93">
        <v>100</v>
      </c>
      <c r="S185" s="93" t="s">
        <v>29</v>
      </c>
      <c r="T185" s="93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CA185" s="12"/>
      <c r="CB185" s="12"/>
    </row>
    <row r="186" spans="1:80" x14ac:dyDescent="0.2">
      <c r="A186" s="96">
        <v>1400</v>
      </c>
      <c r="B186" s="96">
        <v>95</v>
      </c>
      <c r="C186" s="96">
        <v>100</v>
      </c>
      <c r="D186" s="96">
        <v>100</v>
      </c>
      <c r="E186" s="96">
        <v>100</v>
      </c>
      <c r="F186" s="96">
        <v>100</v>
      </c>
      <c r="G186" s="96">
        <v>100</v>
      </c>
      <c r="H186" s="96">
        <v>100</v>
      </c>
      <c r="I186" s="96" t="s">
        <v>29</v>
      </c>
      <c r="J186" s="93"/>
      <c r="K186" s="93">
        <v>1459</v>
      </c>
      <c r="L186" s="93">
        <v>100</v>
      </c>
      <c r="M186" s="93">
        <v>100</v>
      </c>
      <c r="N186" s="93">
        <v>100</v>
      </c>
      <c r="O186" s="93">
        <v>100</v>
      </c>
      <c r="P186" s="93">
        <v>100</v>
      </c>
      <c r="Q186" s="93">
        <v>100</v>
      </c>
      <c r="R186" s="93">
        <v>100</v>
      </c>
      <c r="S186" s="93" t="s">
        <v>29</v>
      </c>
      <c r="T186" s="93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CA186" s="12"/>
      <c r="CB186" s="12"/>
    </row>
    <row r="187" spans="1:80" x14ac:dyDescent="0.2">
      <c r="A187" s="96">
        <v>1401</v>
      </c>
      <c r="B187" s="96">
        <v>90</v>
      </c>
      <c r="C187" s="96">
        <v>100</v>
      </c>
      <c r="D187" s="96">
        <v>100</v>
      </c>
      <c r="E187" s="96">
        <v>100</v>
      </c>
      <c r="F187" s="96">
        <v>100</v>
      </c>
      <c r="G187" s="96">
        <v>100</v>
      </c>
      <c r="H187" s="96">
        <v>100</v>
      </c>
      <c r="I187" s="96" t="s">
        <v>29</v>
      </c>
      <c r="J187" s="93"/>
      <c r="K187" s="93">
        <v>1500</v>
      </c>
      <c r="L187" s="93">
        <v>100</v>
      </c>
      <c r="M187" s="93">
        <v>100</v>
      </c>
      <c r="N187" s="93">
        <v>100</v>
      </c>
      <c r="O187" s="93">
        <v>100</v>
      </c>
      <c r="P187" s="93">
        <v>100</v>
      </c>
      <c r="Q187" s="93">
        <v>100</v>
      </c>
      <c r="R187" s="93">
        <v>100</v>
      </c>
      <c r="S187" s="93" t="s">
        <v>29</v>
      </c>
      <c r="T187" s="93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CA187" s="12"/>
      <c r="CB187" s="12"/>
    </row>
    <row r="188" spans="1:80" x14ac:dyDescent="0.2">
      <c r="A188" s="96">
        <v>1402</v>
      </c>
      <c r="B188" s="96">
        <v>90</v>
      </c>
      <c r="C188" s="96">
        <v>100</v>
      </c>
      <c r="D188" s="96">
        <v>100</v>
      </c>
      <c r="E188" s="96">
        <v>100</v>
      </c>
      <c r="F188" s="96">
        <v>100</v>
      </c>
      <c r="G188" s="96">
        <v>100</v>
      </c>
      <c r="H188" s="96">
        <v>100</v>
      </c>
      <c r="I188" s="96" t="s">
        <v>29</v>
      </c>
      <c r="J188" s="93"/>
      <c r="K188" s="93">
        <v>1501</v>
      </c>
      <c r="L188" s="93">
        <v>100</v>
      </c>
      <c r="M188" s="93">
        <v>100</v>
      </c>
      <c r="N188" s="93">
        <v>100</v>
      </c>
      <c r="O188" s="93">
        <v>100</v>
      </c>
      <c r="P188" s="93">
        <v>100</v>
      </c>
      <c r="Q188" s="93">
        <v>100</v>
      </c>
      <c r="R188" s="93">
        <v>100</v>
      </c>
      <c r="S188" s="93" t="s">
        <v>29</v>
      </c>
      <c r="T188" s="93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CA188" s="12"/>
      <c r="CB188" s="12"/>
    </row>
    <row r="189" spans="1:80" x14ac:dyDescent="0.2">
      <c r="A189" s="96">
        <v>1403</v>
      </c>
      <c r="B189" s="96">
        <v>90</v>
      </c>
      <c r="C189" s="96">
        <v>100</v>
      </c>
      <c r="D189" s="96">
        <v>100</v>
      </c>
      <c r="E189" s="96">
        <v>100</v>
      </c>
      <c r="F189" s="96">
        <v>100</v>
      </c>
      <c r="G189" s="96">
        <v>100</v>
      </c>
      <c r="H189" s="96">
        <v>100</v>
      </c>
      <c r="I189" s="96" t="s">
        <v>29</v>
      </c>
      <c r="J189" s="93"/>
      <c r="K189" s="93">
        <v>1502</v>
      </c>
      <c r="L189" s="93">
        <v>100</v>
      </c>
      <c r="M189" s="93">
        <v>100</v>
      </c>
      <c r="N189" s="93">
        <v>100</v>
      </c>
      <c r="O189" s="93">
        <v>100</v>
      </c>
      <c r="P189" s="93">
        <v>100</v>
      </c>
      <c r="Q189" s="93">
        <v>100</v>
      </c>
      <c r="R189" s="93">
        <v>100</v>
      </c>
      <c r="S189" s="93" t="s">
        <v>29</v>
      </c>
      <c r="T189" s="93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CA189" s="12"/>
      <c r="CB189" s="12"/>
    </row>
    <row r="190" spans="1:80" x14ac:dyDescent="0.2">
      <c r="A190" s="96">
        <v>1404</v>
      </c>
      <c r="B190" s="96">
        <v>90</v>
      </c>
      <c r="C190" s="96">
        <v>100</v>
      </c>
      <c r="D190" s="96">
        <v>100</v>
      </c>
      <c r="E190" s="96">
        <v>100</v>
      </c>
      <c r="F190" s="96">
        <v>100</v>
      </c>
      <c r="G190" s="96">
        <v>100</v>
      </c>
      <c r="H190" s="96">
        <v>100</v>
      </c>
      <c r="I190" s="96" t="s">
        <v>29</v>
      </c>
      <c r="J190" s="93"/>
      <c r="K190" s="93">
        <v>1503</v>
      </c>
      <c r="L190" s="93">
        <v>100</v>
      </c>
      <c r="M190" s="93">
        <v>100</v>
      </c>
      <c r="N190" s="93">
        <v>100</v>
      </c>
      <c r="O190" s="93">
        <v>100</v>
      </c>
      <c r="P190" s="93">
        <v>100</v>
      </c>
      <c r="Q190" s="93">
        <v>100</v>
      </c>
      <c r="R190" s="93">
        <v>100</v>
      </c>
      <c r="S190" s="93" t="s">
        <v>29</v>
      </c>
      <c r="T190" s="93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CA190" s="12"/>
      <c r="CB190" s="12"/>
    </row>
    <row r="191" spans="1:80" x14ac:dyDescent="0.2">
      <c r="A191" s="96">
        <v>1405</v>
      </c>
      <c r="B191" s="96">
        <v>90</v>
      </c>
      <c r="C191" s="96">
        <v>100</v>
      </c>
      <c r="D191" s="96">
        <v>100</v>
      </c>
      <c r="E191" s="96">
        <v>100</v>
      </c>
      <c r="F191" s="96">
        <v>100</v>
      </c>
      <c r="G191" s="96">
        <v>100</v>
      </c>
      <c r="H191" s="96">
        <v>100</v>
      </c>
      <c r="I191" s="96" t="s">
        <v>29</v>
      </c>
      <c r="J191" s="93"/>
      <c r="K191" s="93">
        <v>1504</v>
      </c>
      <c r="L191" s="93">
        <v>100</v>
      </c>
      <c r="M191" s="93">
        <v>100</v>
      </c>
      <c r="N191" s="93">
        <v>100</v>
      </c>
      <c r="O191" s="93">
        <v>100</v>
      </c>
      <c r="P191" s="93">
        <v>100</v>
      </c>
      <c r="Q191" s="93">
        <v>100</v>
      </c>
      <c r="R191" s="93">
        <v>100</v>
      </c>
      <c r="S191" s="93" t="s">
        <v>29</v>
      </c>
      <c r="T191" s="93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CA191" s="12"/>
      <c r="CB191" s="12"/>
    </row>
    <row r="192" spans="1:80" x14ac:dyDescent="0.2">
      <c r="A192" s="96">
        <v>1406</v>
      </c>
      <c r="B192" s="96">
        <v>90</v>
      </c>
      <c r="C192" s="96">
        <v>100</v>
      </c>
      <c r="D192" s="96">
        <v>100</v>
      </c>
      <c r="E192" s="96">
        <v>100</v>
      </c>
      <c r="F192" s="96">
        <v>100</v>
      </c>
      <c r="G192" s="96">
        <v>100</v>
      </c>
      <c r="H192" s="96">
        <v>100</v>
      </c>
      <c r="I192" s="96" t="s">
        <v>29</v>
      </c>
      <c r="J192" s="93"/>
      <c r="K192" s="93">
        <v>1505</v>
      </c>
      <c r="L192" s="93">
        <v>100</v>
      </c>
      <c r="M192" s="93">
        <v>100</v>
      </c>
      <c r="N192" s="93">
        <v>100</v>
      </c>
      <c r="O192" s="93">
        <v>100</v>
      </c>
      <c r="P192" s="93">
        <v>100</v>
      </c>
      <c r="Q192" s="93">
        <v>100</v>
      </c>
      <c r="R192" s="93">
        <v>100</v>
      </c>
      <c r="S192" s="93" t="s">
        <v>29</v>
      </c>
      <c r="T192" s="93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CA192" s="12"/>
      <c r="CB192" s="12"/>
    </row>
    <row r="193" spans="1:80" x14ac:dyDescent="0.2">
      <c r="A193" s="96">
        <v>1407</v>
      </c>
      <c r="B193" s="96">
        <v>90</v>
      </c>
      <c r="C193" s="96">
        <v>100</v>
      </c>
      <c r="D193" s="96">
        <v>100</v>
      </c>
      <c r="E193" s="96">
        <v>100</v>
      </c>
      <c r="F193" s="96">
        <v>100</v>
      </c>
      <c r="G193" s="96">
        <v>100</v>
      </c>
      <c r="H193" s="96">
        <v>100</v>
      </c>
      <c r="I193" s="96" t="s">
        <v>29</v>
      </c>
      <c r="J193" s="93"/>
      <c r="K193" s="93">
        <v>1506</v>
      </c>
      <c r="L193" s="93">
        <v>100</v>
      </c>
      <c r="M193" s="93">
        <v>100</v>
      </c>
      <c r="N193" s="93">
        <v>100</v>
      </c>
      <c r="O193" s="93">
        <v>100</v>
      </c>
      <c r="P193" s="93">
        <v>100</v>
      </c>
      <c r="Q193" s="93">
        <v>100</v>
      </c>
      <c r="R193" s="93">
        <v>100</v>
      </c>
      <c r="S193" s="93" t="s">
        <v>29</v>
      </c>
      <c r="T193" s="93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CA193" s="12"/>
      <c r="CB193" s="12"/>
    </row>
    <row r="194" spans="1:80" x14ac:dyDescent="0.2">
      <c r="A194" s="96">
        <v>1408</v>
      </c>
      <c r="B194" s="96">
        <v>90</v>
      </c>
      <c r="C194" s="96">
        <v>100</v>
      </c>
      <c r="D194" s="96">
        <v>100</v>
      </c>
      <c r="E194" s="96">
        <v>100</v>
      </c>
      <c r="F194" s="96">
        <v>100</v>
      </c>
      <c r="G194" s="96">
        <v>100</v>
      </c>
      <c r="H194" s="96">
        <v>100</v>
      </c>
      <c r="I194" s="96" t="s">
        <v>29</v>
      </c>
      <c r="J194" s="93"/>
      <c r="K194" s="93">
        <v>1507</v>
      </c>
      <c r="L194" s="93">
        <v>100</v>
      </c>
      <c r="M194" s="93">
        <v>100</v>
      </c>
      <c r="N194" s="93">
        <v>100</v>
      </c>
      <c r="O194" s="93">
        <v>100</v>
      </c>
      <c r="P194" s="93">
        <v>100</v>
      </c>
      <c r="Q194" s="93">
        <v>100</v>
      </c>
      <c r="R194" s="93">
        <v>100</v>
      </c>
      <c r="S194" s="93" t="s">
        <v>29</v>
      </c>
      <c r="T194" s="93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CA194" s="12"/>
      <c r="CB194" s="12"/>
    </row>
    <row r="195" spans="1:80" x14ac:dyDescent="0.2">
      <c r="A195" s="96">
        <v>1409</v>
      </c>
      <c r="B195" s="96">
        <v>90</v>
      </c>
      <c r="C195" s="96">
        <v>100</v>
      </c>
      <c r="D195" s="96">
        <v>100</v>
      </c>
      <c r="E195" s="96">
        <v>100</v>
      </c>
      <c r="F195" s="96">
        <v>100</v>
      </c>
      <c r="G195" s="96">
        <v>100</v>
      </c>
      <c r="H195" s="96">
        <v>100</v>
      </c>
      <c r="I195" s="96" t="s">
        <v>29</v>
      </c>
      <c r="J195" s="93"/>
      <c r="K195" s="93">
        <v>1508</v>
      </c>
      <c r="L195" s="93">
        <v>100</v>
      </c>
      <c r="M195" s="93">
        <v>100</v>
      </c>
      <c r="N195" s="93">
        <v>100</v>
      </c>
      <c r="O195" s="93">
        <v>100</v>
      </c>
      <c r="P195" s="93">
        <v>100</v>
      </c>
      <c r="Q195" s="93">
        <v>100</v>
      </c>
      <c r="R195" s="93">
        <v>100</v>
      </c>
      <c r="S195" s="93" t="s">
        <v>29</v>
      </c>
      <c r="T195" s="93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CA195" s="12"/>
      <c r="CB195" s="12"/>
    </row>
    <row r="196" spans="1:80" x14ac:dyDescent="0.2">
      <c r="A196" s="96">
        <v>1410</v>
      </c>
      <c r="B196" s="96">
        <v>90</v>
      </c>
      <c r="C196" s="96">
        <v>100</v>
      </c>
      <c r="D196" s="96">
        <v>100</v>
      </c>
      <c r="E196" s="96">
        <v>100</v>
      </c>
      <c r="F196" s="96">
        <v>100</v>
      </c>
      <c r="G196" s="96">
        <v>100</v>
      </c>
      <c r="H196" s="96">
        <v>100</v>
      </c>
      <c r="I196" s="96" t="s">
        <v>29</v>
      </c>
      <c r="J196" s="93"/>
      <c r="K196" s="93">
        <v>1509</v>
      </c>
      <c r="L196" s="93">
        <v>100</v>
      </c>
      <c r="M196" s="93">
        <v>100</v>
      </c>
      <c r="N196" s="93">
        <v>100</v>
      </c>
      <c r="O196" s="93">
        <v>100</v>
      </c>
      <c r="P196" s="93">
        <v>100</v>
      </c>
      <c r="Q196" s="93">
        <v>100</v>
      </c>
      <c r="R196" s="93">
        <v>100</v>
      </c>
      <c r="S196" s="93" t="s">
        <v>29</v>
      </c>
      <c r="T196" s="93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CA196" s="12"/>
      <c r="CB196" s="12"/>
    </row>
    <row r="197" spans="1:80" x14ac:dyDescent="0.2">
      <c r="A197" s="96">
        <v>1411</v>
      </c>
      <c r="B197" s="96">
        <v>90</v>
      </c>
      <c r="C197" s="96">
        <v>100</v>
      </c>
      <c r="D197" s="96">
        <v>100</v>
      </c>
      <c r="E197" s="96">
        <v>100</v>
      </c>
      <c r="F197" s="96">
        <v>100</v>
      </c>
      <c r="G197" s="96">
        <v>100</v>
      </c>
      <c r="H197" s="96">
        <v>100</v>
      </c>
      <c r="I197" s="96" t="s">
        <v>29</v>
      </c>
      <c r="J197" s="93"/>
      <c r="K197" s="93">
        <v>1510</v>
      </c>
      <c r="L197" s="93">
        <v>100</v>
      </c>
      <c r="M197" s="93">
        <v>100</v>
      </c>
      <c r="N197" s="93">
        <v>100</v>
      </c>
      <c r="O197" s="93">
        <v>100</v>
      </c>
      <c r="P197" s="93">
        <v>100</v>
      </c>
      <c r="Q197" s="93">
        <v>100</v>
      </c>
      <c r="R197" s="93">
        <v>100</v>
      </c>
      <c r="S197" s="93" t="s">
        <v>29</v>
      </c>
      <c r="T197" s="93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CA197" s="12"/>
      <c r="CB197" s="12"/>
    </row>
    <row r="198" spans="1:80" x14ac:dyDescent="0.2">
      <c r="A198" s="96">
        <v>1412</v>
      </c>
      <c r="B198" s="96">
        <v>90</v>
      </c>
      <c r="C198" s="96">
        <v>100</v>
      </c>
      <c r="D198" s="96">
        <v>100</v>
      </c>
      <c r="E198" s="96">
        <v>100</v>
      </c>
      <c r="F198" s="96">
        <v>100</v>
      </c>
      <c r="G198" s="96">
        <v>100</v>
      </c>
      <c r="H198" s="96">
        <v>100</v>
      </c>
      <c r="I198" s="96" t="s">
        <v>29</v>
      </c>
      <c r="J198" s="93"/>
      <c r="K198" s="93">
        <v>1511</v>
      </c>
      <c r="L198" s="93">
        <v>100</v>
      </c>
      <c r="M198" s="93">
        <v>100</v>
      </c>
      <c r="N198" s="93">
        <v>100</v>
      </c>
      <c r="O198" s="93">
        <v>100</v>
      </c>
      <c r="P198" s="93">
        <v>100</v>
      </c>
      <c r="Q198" s="93">
        <v>100</v>
      </c>
      <c r="R198" s="93">
        <v>100</v>
      </c>
      <c r="S198" s="93" t="s">
        <v>29</v>
      </c>
      <c r="T198" s="93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CA198" s="12"/>
      <c r="CB198" s="12"/>
    </row>
    <row r="199" spans="1:80" x14ac:dyDescent="0.2">
      <c r="A199" s="96">
        <v>1413</v>
      </c>
      <c r="B199" s="96">
        <v>90</v>
      </c>
      <c r="C199" s="96">
        <v>100</v>
      </c>
      <c r="D199" s="96">
        <v>100</v>
      </c>
      <c r="E199" s="96">
        <v>100</v>
      </c>
      <c r="F199" s="96">
        <v>100</v>
      </c>
      <c r="G199" s="96">
        <v>100</v>
      </c>
      <c r="H199" s="96">
        <v>100</v>
      </c>
      <c r="I199" s="96" t="s">
        <v>29</v>
      </c>
      <c r="J199" s="93"/>
      <c r="K199" s="93">
        <v>1512</v>
      </c>
      <c r="L199" s="93">
        <v>100</v>
      </c>
      <c r="M199" s="93">
        <v>100</v>
      </c>
      <c r="N199" s="93">
        <v>100</v>
      </c>
      <c r="O199" s="93">
        <v>100</v>
      </c>
      <c r="P199" s="93">
        <v>100</v>
      </c>
      <c r="Q199" s="93">
        <v>100</v>
      </c>
      <c r="R199" s="93">
        <v>100</v>
      </c>
      <c r="S199" s="93" t="s">
        <v>29</v>
      </c>
      <c r="T199" s="93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CA199" s="12"/>
      <c r="CB199" s="12"/>
    </row>
    <row r="200" spans="1:80" x14ac:dyDescent="0.2">
      <c r="A200" s="96">
        <v>1414</v>
      </c>
      <c r="B200" s="96">
        <v>90</v>
      </c>
      <c r="C200" s="96">
        <v>100</v>
      </c>
      <c r="D200" s="96">
        <v>100</v>
      </c>
      <c r="E200" s="96">
        <v>100</v>
      </c>
      <c r="F200" s="96">
        <v>100</v>
      </c>
      <c r="G200" s="96">
        <v>100</v>
      </c>
      <c r="H200" s="96">
        <v>100</v>
      </c>
      <c r="I200" s="96" t="s">
        <v>29</v>
      </c>
      <c r="J200" s="93"/>
      <c r="K200" s="93">
        <v>1513</v>
      </c>
      <c r="L200" s="93">
        <v>100</v>
      </c>
      <c r="M200" s="93">
        <v>100</v>
      </c>
      <c r="N200" s="93">
        <v>100</v>
      </c>
      <c r="O200" s="93">
        <v>100</v>
      </c>
      <c r="P200" s="93">
        <v>100</v>
      </c>
      <c r="Q200" s="93">
        <v>100</v>
      </c>
      <c r="R200" s="93">
        <v>100</v>
      </c>
      <c r="S200" s="93" t="s">
        <v>29</v>
      </c>
      <c r="T200" s="93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CA200" s="12"/>
      <c r="CB200" s="12"/>
    </row>
    <row r="201" spans="1:80" x14ac:dyDescent="0.2">
      <c r="A201" s="96">
        <v>1415</v>
      </c>
      <c r="B201" s="96">
        <v>90</v>
      </c>
      <c r="C201" s="96">
        <v>100</v>
      </c>
      <c r="D201" s="96">
        <v>100</v>
      </c>
      <c r="E201" s="96">
        <v>100</v>
      </c>
      <c r="F201" s="96">
        <v>100</v>
      </c>
      <c r="G201" s="96">
        <v>100</v>
      </c>
      <c r="H201" s="96">
        <v>100</v>
      </c>
      <c r="I201" s="96" t="s">
        <v>29</v>
      </c>
      <c r="J201" s="93"/>
      <c r="K201" s="93">
        <v>1514</v>
      </c>
      <c r="L201" s="93">
        <v>100</v>
      </c>
      <c r="M201" s="93">
        <v>100</v>
      </c>
      <c r="N201" s="93">
        <v>100</v>
      </c>
      <c r="O201" s="93">
        <v>100</v>
      </c>
      <c r="P201" s="93">
        <v>100</v>
      </c>
      <c r="Q201" s="93">
        <v>100</v>
      </c>
      <c r="R201" s="93">
        <v>100</v>
      </c>
      <c r="S201" s="93" t="s">
        <v>29</v>
      </c>
      <c r="T201" s="93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CA201" s="12"/>
      <c r="CB201" s="12"/>
    </row>
    <row r="202" spans="1:80" x14ac:dyDescent="0.2">
      <c r="A202" s="96">
        <v>1416</v>
      </c>
      <c r="B202" s="96">
        <v>90</v>
      </c>
      <c r="C202" s="96">
        <v>100</v>
      </c>
      <c r="D202" s="96">
        <v>100</v>
      </c>
      <c r="E202" s="96">
        <v>100</v>
      </c>
      <c r="F202" s="96">
        <v>100</v>
      </c>
      <c r="G202" s="96">
        <v>100</v>
      </c>
      <c r="H202" s="96">
        <v>100</v>
      </c>
      <c r="I202" s="96" t="s">
        <v>29</v>
      </c>
      <c r="J202" s="93"/>
      <c r="K202" s="93">
        <v>1515</v>
      </c>
      <c r="L202" s="93">
        <v>100</v>
      </c>
      <c r="M202" s="93">
        <v>100</v>
      </c>
      <c r="N202" s="93">
        <v>100</v>
      </c>
      <c r="O202" s="93">
        <v>100</v>
      </c>
      <c r="P202" s="93">
        <v>100</v>
      </c>
      <c r="Q202" s="93">
        <v>100</v>
      </c>
      <c r="R202" s="93">
        <v>100</v>
      </c>
      <c r="S202" s="93" t="s">
        <v>29</v>
      </c>
      <c r="T202" s="93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CA202" s="12"/>
      <c r="CB202" s="12"/>
    </row>
    <row r="203" spans="1:80" x14ac:dyDescent="0.2">
      <c r="A203" s="96">
        <v>1417</v>
      </c>
      <c r="B203" s="96">
        <v>90</v>
      </c>
      <c r="C203" s="96">
        <v>100</v>
      </c>
      <c r="D203" s="96">
        <v>100</v>
      </c>
      <c r="E203" s="96">
        <v>100</v>
      </c>
      <c r="F203" s="96">
        <v>100</v>
      </c>
      <c r="G203" s="96">
        <v>100</v>
      </c>
      <c r="H203" s="96">
        <v>100</v>
      </c>
      <c r="I203" s="96" t="s">
        <v>29</v>
      </c>
      <c r="J203" s="93"/>
      <c r="K203" s="93">
        <v>1516</v>
      </c>
      <c r="L203" s="93">
        <v>100</v>
      </c>
      <c r="M203" s="93">
        <v>100</v>
      </c>
      <c r="N203" s="93">
        <v>100</v>
      </c>
      <c r="O203" s="93">
        <v>100</v>
      </c>
      <c r="P203" s="93">
        <v>100</v>
      </c>
      <c r="Q203" s="93">
        <v>100</v>
      </c>
      <c r="R203" s="93">
        <v>100</v>
      </c>
      <c r="S203" s="93" t="s">
        <v>29</v>
      </c>
      <c r="T203" s="93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CA203" s="12"/>
      <c r="CB203" s="12"/>
    </row>
    <row r="204" spans="1:80" x14ac:dyDescent="0.2">
      <c r="A204" s="96">
        <v>1418</v>
      </c>
      <c r="B204" s="96">
        <v>90</v>
      </c>
      <c r="C204" s="96">
        <v>100</v>
      </c>
      <c r="D204" s="96">
        <v>100</v>
      </c>
      <c r="E204" s="96">
        <v>100</v>
      </c>
      <c r="F204" s="96">
        <v>100</v>
      </c>
      <c r="G204" s="96">
        <v>100</v>
      </c>
      <c r="H204" s="96">
        <v>100</v>
      </c>
      <c r="I204" s="96" t="s">
        <v>29</v>
      </c>
      <c r="J204" s="93"/>
      <c r="K204" s="93">
        <v>1517</v>
      </c>
      <c r="L204" s="93">
        <v>100</v>
      </c>
      <c r="M204" s="93">
        <v>100</v>
      </c>
      <c r="N204" s="93">
        <v>100</v>
      </c>
      <c r="O204" s="93">
        <v>100</v>
      </c>
      <c r="P204" s="93">
        <v>100</v>
      </c>
      <c r="Q204" s="93">
        <v>100</v>
      </c>
      <c r="R204" s="93">
        <v>100</v>
      </c>
      <c r="S204" s="93" t="s">
        <v>29</v>
      </c>
      <c r="T204" s="93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CA204" s="12"/>
      <c r="CB204" s="12"/>
    </row>
    <row r="205" spans="1:80" x14ac:dyDescent="0.2">
      <c r="A205" s="96">
        <v>1419</v>
      </c>
      <c r="B205" s="96">
        <v>90</v>
      </c>
      <c r="C205" s="96">
        <v>100</v>
      </c>
      <c r="D205" s="96">
        <v>100</v>
      </c>
      <c r="E205" s="96">
        <v>100</v>
      </c>
      <c r="F205" s="96">
        <v>100</v>
      </c>
      <c r="G205" s="96">
        <v>100</v>
      </c>
      <c r="H205" s="96">
        <v>100</v>
      </c>
      <c r="I205" s="96" t="s">
        <v>29</v>
      </c>
      <c r="J205" s="93"/>
      <c r="K205" s="93">
        <v>1518</v>
      </c>
      <c r="L205" s="93">
        <v>100</v>
      </c>
      <c r="M205" s="93">
        <v>100</v>
      </c>
      <c r="N205" s="93">
        <v>100</v>
      </c>
      <c r="O205" s="93">
        <v>100</v>
      </c>
      <c r="P205" s="93">
        <v>100</v>
      </c>
      <c r="Q205" s="93">
        <v>100</v>
      </c>
      <c r="R205" s="93">
        <v>100</v>
      </c>
      <c r="S205" s="93" t="s">
        <v>29</v>
      </c>
      <c r="T205" s="93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CA205" s="12"/>
      <c r="CB205" s="12"/>
    </row>
    <row r="206" spans="1:80" x14ac:dyDescent="0.2">
      <c r="A206" s="96">
        <v>1420</v>
      </c>
      <c r="B206" s="96">
        <v>90</v>
      </c>
      <c r="C206" s="96">
        <v>100</v>
      </c>
      <c r="D206" s="96">
        <v>100</v>
      </c>
      <c r="E206" s="96">
        <v>100</v>
      </c>
      <c r="F206" s="96">
        <v>100</v>
      </c>
      <c r="G206" s="96">
        <v>100</v>
      </c>
      <c r="H206" s="96">
        <v>100</v>
      </c>
      <c r="I206" s="96" t="s">
        <v>29</v>
      </c>
      <c r="J206" s="93"/>
      <c r="K206" s="93">
        <v>1519</v>
      </c>
      <c r="L206" s="93">
        <v>100</v>
      </c>
      <c r="M206" s="93">
        <v>100</v>
      </c>
      <c r="N206" s="93">
        <v>100</v>
      </c>
      <c r="O206" s="93">
        <v>100</v>
      </c>
      <c r="P206" s="93">
        <v>100</v>
      </c>
      <c r="Q206" s="93">
        <v>100</v>
      </c>
      <c r="R206" s="93">
        <v>100</v>
      </c>
      <c r="S206" s="93" t="s">
        <v>29</v>
      </c>
      <c r="T206" s="93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CA206" s="12"/>
      <c r="CB206" s="12"/>
    </row>
    <row r="207" spans="1:80" x14ac:dyDescent="0.2">
      <c r="A207" s="96">
        <v>1421</v>
      </c>
      <c r="B207" s="96">
        <v>85</v>
      </c>
      <c r="C207" s="96">
        <v>95</v>
      </c>
      <c r="D207" s="96">
        <v>100</v>
      </c>
      <c r="E207" s="96">
        <v>100</v>
      </c>
      <c r="F207" s="96">
        <v>100</v>
      </c>
      <c r="G207" s="96">
        <v>100</v>
      </c>
      <c r="H207" s="96">
        <v>100</v>
      </c>
      <c r="I207" s="96" t="s">
        <v>29</v>
      </c>
      <c r="J207" s="93"/>
      <c r="K207" s="93">
        <v>1520</v>
      </c>
      <c r="L207" s="93">
        <v>100</v>
      </c>
      <c r="M207" s="93">
        <v>100</v>
      </c>
      <c r="N207" s="93">
        <v>100</v>
      </c>
      <c r="O207" s="93">
        <v>100</v>
      </c>
      <c r="P207" s="93">
        <v>100</v>
      </c>
      <c r="Q207" s="93">
        <v>100</v>
      </c>
      <c r="R207" s="93">
        <v>100</v>
      </c>
      <c r="S207" s="93" t="s">
        <v>29</v>
      </c>
      <c r="T207" s="93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CA207" s="12"/>
      <c r="CB207" s="12"/>
    </row>
    <row r="208" spans="1:80" x14ac:dyDescent="0.2">
      <c r="A208" s="96">
        <v>1422</v>
      </c>
      <c r="B208" s="96">
        <v>85</v>
      </c>
      <c r="C208" s="96">
        <v>95</v>
      </c>
      <c r="D208" s="96">
        <v>100</v>
      </c>
      <c r="E208" s="96">
        <v>100</v>
      </c>
      <c r="F208" s="96">
        <v>100</v>
      </c>
      <c r="G208" s="96">
        <v>100</v>
      </c>
      <c r="H208" s="96">
        <v>100</v>
      </c>
      <c r="I208" s="96" t="s">
        <v>29</v>
      </c>
      <c r="J208" s="93"/>
      <c r="K208" s="93">
        <v>1521</v>
      </c>
      <c r="L208" s="93">
        <v>100</v>
      </c>
      <c r="M208" s="93">
        <v>100</v>
      </c>
      <c r="N208" s="93">
        <v>100</v>
      </c>
      <c r="O208" s="93">
        <v>100</v>
      </c>
      <c r="P208" s="93">
        <v>100</v>
      </c>
      <c r="Q208" s="93">
        <v>100</v>
      </c>
      <c r="R208" s="93">
        <v>100</v>
      </c>
      <c r="S208" s="93" t="s">
        <v>29</v>
      </c>
      <c r="T208" s="93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CA208" s="12"/>
      <c r="CB208" s="12"/>
    </row>
    <row r="209" spans="1:80" x14ac:dyDescent="0.2">
      <c r="A209" s="96">
        <v>1423</v>
      </c>
      <c r="B209" s="96">
        <v>85</v>
      </c>
      <c r="C209" s="96">
        <v>95</v>
      </c>
      <c r="D209" s="96">
        <v>100</v>
      </c>
      <c r="E209" s="96">
        <v>100</v>
      </c>
      <c r="F209" s="96">
        <v>100</v>
      </c>
      <c r="G209" s="96">
        <v>100</v>
      </c>
      <c r="H209" s="96">
        <v>100</v>
      </c>
      <c r="I209" s="96" t="s">
        <v>29</v>
      </c>
      <c r="J209" s="93"/>
      <c r="K209" s="93">
        <v>1522</v>
      </c>
      <c r="L209" s="93">
        <v>100</v>
      </c>
      <c r="M209" s="93">
        <v>100</v>
      </c>
      <c r="N209" s="93">
        <v>100</v>
      </c>
      <c r="O209" s="93">
        <v>100</v>
      </c>
      <c r="P209" s="93">
        <v>100</v>
      </c>
      <c r="Q209" s="93">
        <v>100</v>
      </c>
      <c r="R209" s="93">
        <v>100</v>
      </c>
      <c r="S209" s="93" t="s">
        <v>29</v>
      </c>
      <c r="T209" s="93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CA209" s="12"/>
      <c r="CB209" s="12"/>
    </row>
    <row r="210" spans="1:80" x14ac:dyDescent="0.2">
      <c r="A210" s="96">
        <v>1424</v>
      </c>
      <c r="B210" s="96">
        <v>85</v>
      </c>
      <c r="C210" s="96">
        <v>95</v>
      </c>
      <c r="D210" s="96">
        <v>100</v>
      </c>
      <c r="E210" s="96">
        <v>100</v>
      </c>
      <c r="F210" s="96">
        <v>100</v>
      </c>
      <c r="G210" s="96">
        <v>100</v>
      </c>
      <c r="H210" s="96">
        <v>100</v>
      </c>
      <c r="I210" s="96" t="s">
        <v>29</v>
      </c>
      <c r="J210" s="93"/>
      <c r="K210" s="93">
        <v>1523</v>
      </c>
      <c r="L210" s="93">
        <v>100</v>
      </c>
      <c r="M210" s="93">
        <v>100</v>
      </c>
      <c r="N210" s="93">
        <v>100</v>
      </c>
      <c r="O210" s="93">
        <v>100</v>
      </c>
      <c r="P210" s="93">
        <v>100</v>
      </c>
      <c r="Q210" s="93">
        <v>100</v>
      </c>
      <c r="R210" s="93">
        <v>100</v>
      </c>
      <c r="S210" s="93" t="s">
        <v>29</v>
      </c>
      <c r="T210" s="93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CA210" s="12"/>
      <c r="CB210" s="12"/>
    </row>
    <row r="211" spans="1:80" x14ac:dyDescent="0.2">
      <c r="A211" s="96">
        <v>1425</v>
      </c>
      <c r="B211" s="96">
        <v>85</v>
      </c>
      <c r="C211" s="96">
        <v>95</v>
      </c>
      <c r="D211" s="96">
        <v>100</v>
      </c>
      <c r="E211" s="96">
        <v>100</v>
      </c>
      <c r="F211" s="96">
        <v>100</v>
      </c>
      <c r="G211" s="96">
        <v>100</v>
      </c>
      <c r="H211" s="96">
        <v>100</v>
      </c>
      <c r="I211" s="96" t="s">
        <v>29</v>
      </c>
      <c r="J211" s="93"/>
      <c r="K211" s="93">
        <v>1524</v>
      </c>
      <c r="L211" s="93">
        <v>100</v>
      </c>
      <c r="M211" s="93">
        <v>100</v>
      </c>
      <c r="N211" s="93">
        <v>100</v>
      </c>
      <c r="O211" s="93">
        <v>100</v>
      </c>
      <c r="P211" s="93">
        <v>100</v>
      </c>
      <c r="Q211" s="93">
        <v>100</v>
      </c>
      <c r="R211" s="93">
        <v>100</v>
      </c>
      <c r="S211" s="93" t="s">
        <v>29</v>
      </c>
      <c r="T211" s="93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CA211" s="12"/>
      <c r="CB211" s="12"/>
    </row>
    <row r="212" spans="1:80" x14ac:dyDescent="0.2">
      <c r="A212" s="96">
        <v>1426</v>
      </c>
      <c r="B212" s="96">
        <v>85</v>
      </c>
      <c r="C212" s="96">
        <v>95</v>
      </c>
      <c r="D212" s="96">
        <v>100</v>
      </c>
      <c r="E212" s="96">
        <v>100</v>
      </c>
      <c r="F212" s="96">
        <v>100</v>
      </c>
      <c r="G212" s="96">
        <v>100</v>
      </c>
      <c r="H212" s="96">
        <v>100</v>
      </c>
      <c r="I212" s="96" t="s">
        <v>29</v>
      </c>
      <c r="J212" s="93"/>
      <c r="K212" s="93">
        <v>1525</v>
      </c>
      <c r="L212" s="93">
        <v>100</v>
      </c>
      <c r="M212" s="93">
        <v>100</v>
      </c>
      <c r="N212" s="93">
        <v>100</v>
      </c>
      <c r="O212" s="93">
        <v>100</v>
      </c>
      <c r="P212" s="93">
        <v>100</v>
      </c>
      <c r="Q212" s="93">
        <v>100</v>
      </c>
      <c r="R212" s="93">
        <v>100</v>
      </c>
      <c r="S212" s="93" t="s">
        <v>29</v>
      </c>
      <c r="T212" s="93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CA212" s="12"/>
      <c r="CB212" s="12"/>
    </row>
    <row r="213" spans="1:80" x14ac:dyDescent="0.2">
      <c r="A213" s="96">
        <v>1427</v>
      </c>
      <c r="B213" s="96">
        <v>85</v>
      </c>
      <c r="C213" s="96">
        <v>95</v>
      </c>
      <c r="D213" s="96">
        <v>100</v>
      </c>
      <c r="E213" s="96">
        <v>100</v>
      </c>
      <c r="F213" s="96">
        <v>100</v>
      </c>
      <c r="G213" s="96">
        <v>100</v>
      </c>
      <c r="H213" s="96">
        <v>100</v>
      </c>
      <c r="I213" s="96" t="s">
        <v>29</v>
      </c>
      <c r="J213" s="93"/>
      <c r="K213" s="93">
        <v>1526</v>
      </c>
      <c r="L213" s="93">
        <v>100</v>
      </c>
      <c r="M213" s="93">
        <v>100</v>
      </c>
      <c r="N213" s="93">
        <v>100</v>
      </c>
      <c r="O213" s="93">
        <v>100</v>
      </c>
      <c r="P213" s="93">
        <v>100</v>
      </c>
      <c r="Q213" s="93">
        <v>100</v>
      </c>
      <c r="R213" s="93">
        <v>100</v>
      </c>
      <c r="S213" s="93" t="s">
        <v>29</v>
      </c>
      <c r="T213" s="93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CA213" s="12"/>
      <c r="CB213" s="12"/>
    </row>
    <row r="214" spans="1:80" x14ac:dyDescent="0.2">
      <c r="A214" s="96">
        <v>1428</v>
      </c>
      <c r="B214" s="96">
        <v>85</v>
      </c>
      <c r="C214" s="96">
        <v>95</v>
      </c>
      <c r="D214" s="96">
        <v>100</v>
      </c>
      <c r="E214" s="96">
        <v>100</v>
      </c>
      <c r="F214" s="96">
        <v>100</v>
      </c>
      <c r="G214" s="96">
        <v>100</v>
      </c>
      <c r="H214" s="96">
        <v>100</v>
      </c>
      <c r="I214" s="96" t="s">
        <v>29</v>
      </c>
      <c r="J214" s="93"/>
      <c r="K214" s="93">
        <v>1527</v>
      </c>
      <c r="L214" s="93">
        <v>100</v>
      </c>
      <c r="M214" s="93">
        <v>100</v>
      </c>
      <c r="N214" s="93">
        <v>100</v>
      </c>
      <c r="O214" s="93">
        <v>100</v>
      </c>
      <c r="P214" s="93">
        <v>100</v>
      </c>
      <c r="Q214" s="93">
        <v>100</v>
      </c>
      <c r="R214" s="93">
        <v>100</v>
      </c>
      <c r="S214" s="93" t="s">
        <v>29</v>
      </c>
      <c r="T214" s="93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CA214" s="12"/>
      <c r="CB214" s="12"/>
    </row>
    <row r="215" spans="1:80" x14ac:dyDescent="0.2">
      <c r="A215" s="96">
        <v>1429</v>
      </c>
      <c r="B215" s="96">
        <v>85</v>
      </c>
      <c r="C215" s="96">
        <v>95</v>
      </c>
      <c r="D215" s="96">
        <v>100</v>
      </c>
      <c r="E215" s="96">
        <v>100</v>
      </c>
      <c r="F215" s="96">
        <v>100</v>
      </c>
      <c r="G215" s="96">
        <v>100</v>
      </c>
      <c r="H215" s="96">
        <v>100</v>
      </c>
      <c r="I215" s="96" t="s">
        <v>29</v>
      </c>
      <c r="J215" s="93"/>
      <c r="K215" s="93">
        <v>1528</v>
      </c>
      <c r="L215" s="93">
        <v>100</v>
      </c>
      <c r="M215" s="93">
        <v>100</v>
      </c>
      <c r="N215" s="93">
        <v>100</v>
      </c>
      <c r="O215" s="93">
        <v>100</v>
      </c>
      <c r="P215" s="93">
        <v>100</v>
      </c>
      <c r="Q215" s="93">
        <v>100</v>
      </c>
      <c r="R215" s="93">
        <v>100</v>
      </c>
      <c r="S215" s="93" t="s">
        <v>29</v>
      </c>
      <c r="T215" s="93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CA215" s="12"/>
      <c r="CB215" s="12"/>
    </row>
    <row r="216" spans="1:80" x14ac:dyDescent="0.2">
      <c r="A216" s="96">
        <v>1430</v>
      </c>
      <c r="B216" s="96">
        <v>85</v>
      </c>
      <c r="C216" s="96">
        <v>95</v>
      </c>
      <c r="D216" s="96">
        <v>100</v>
      </c>
      <c r="E216" s="96">
        <v>100</v>
      </c>
      <c r="F216" s="96">
        <v>100</v>
      </c>
      <c r="G216" s="96">
        <v>100</v>
      </c>
      <c r="H216" s="96">
        <v>100</v>
      </c>
      <c r="I216" s="96" t="s">
        <v>29</v>
      </c>
      <c r="J216" s="93"/>
      <c r="K216" s="93">
        <v>1529</v>
      </c>
      <c r="L216" s="93">
        <v>100</v>
      </c>
      <c r="M216" s="93">
        <v>100</v>
      </c>
      <c r="N216" s="93">
        <v>100</v>
      </c>
      <c r="O216" s="93">
        <v>100</v>
      </c>
      <c r="P216" s="93">
        <v>100</v>
      </c>
      <c r="Q216" s="93">
        <v>100</v>
      </c>
      <c r="R216" s="93">
        <v>100</v>
      </c>
      <c r="S216" s="93" t="s">
        <v>29</v>
      </c>
      <c r="T216" s="93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CA216" s="12"/>
      <c r="CB216" s="12"/>
    </row>
    <row r="217" spans="1:80" x14ac:dyDescent="0.2">
      <c r="A217" s="96">
        <v>1431</v>
      </c>
      <c r="B217" s="96">
        <v>85</v>
      </c>
      <c r="C217" s="96">
        <v>95</v>
      </c>
      <c r="D217" s="96">
        <v>100</v>
      </c>
      <c r="E217" s="96">
        <v>100</v>
      </c>
      <c r="F217" s="96">
        <v>100</v>
      </c>
      <c r="G217" s="96">
        <v>100</v>
      </c>
      <c r="H217" s="96">
        <v>100</v>
      </c>
      <c r="I217" s="96" t="s">
        <v>29</v>
      </c>
      <c r="J217" s="93"/>
      <c r="K217" s="93">
        <v>1530</v>
      </c>
      <c r="L217" s="93">
        <v>100</v>
      </c>
      <c r="M217" s="93">
        <v>100</v>
      </c>
      <c r="N217" s="93">
        <v>100</v>
      </c>
      <c r="O217" s="93">
        <v>100</v>
      </c>
      <c r="P217" s="93">
        <v>100</v>
      </c>
      <c r="Q217" s="93">
        <v>100</v>
      </c>
      <c r="R217" s="93">
        <v>100</v>
      </c>
      <c r="S217" s="93" t="s">
        <v>29</v>
      </c>
      <c r="T217" s="93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CA217" s="12"/>
      <c r="CB217" s="12"/>
    </row>
    <row r="218" spans="1:80" x14ac:dyDescent="0.2">
      <c r="A218" s="96">
        <v>1432</v>
      </c>
      <c r="B218" s="96">
        <v>85</v>
      </c>
      <c r="C218" s="96">
        <v>95</v>
      </c>
      <c r="D218" s="96">
        <v>100</v>
      </c>
      <c r="E218" s="96">
        <v>100</v>
      </c>
      <c r="F218" s="96">
        <v>100</v>
      </c>
      <c r="G218" s="96">
        <v>100</v>
      </c>
      <c r="H218" s="96">
        <v>100</v>
      </c>
      <c r="I218" s="96" t="s">
        <v>29</v>
      </c>
      <c r="J218" s="93"/>
      <c r="K218" s="93">
        <v>1531</v>
      </c>
      <c r="L218" s="93">
        <v>100</v>
      </c>
      <c r="M218" s="93">
        <v>100</v>
      </c>
      <c r="N218" s="93">
        <v>100</v>
      </c>
      <c r="O218" s="93">
        <v>100</v>
      </c>
      <c r="P218" s="93">
        <v>100</v>
      </c>
      <c r="Q218" s="93">
        <v>100</v>
      </c>
      <c r="R218" s="93">
        <v>100</v>
      </c>
      <c r="S218" s="93" t="s">
        <v>29</v>
      </c>
      <c r="T218" s="93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CA218" s="12"/>
      <c r="CB218" s="12"/>
    </row>
    <row r="219" spans="1:80" x14ac:dyDescent="0.2">
      <c r="A219" s="96">
        <v>1433</v>
      </c>
      <c r="B219" s="96">
        <v>85</v>
      </c>
      <c r="C219" s="96">
        <v>95</v>
      </c>
      <c r="D219" s="96">
        <v>100</v>
      </c>
      <c r="E219" s="96">
        <v>100</v>
      </c>
      <c r="F219" s="96">
        <v>100</v>
      </c>
      <c r="G219" s="96">
        <v>100</v>
      </c>
      <c r="H219" s="96">
        <v>100</v>
      </c>
      <c r="I219" s="96" t="s">
        <v>29</v>
      </c>
      <c r="J219" s="93"/>
      <c r="K219" s="93">
        <v>1532</v>
      </c>
      <c r="L219" s="93">
        <v>100</v>
      </c>
      <c r="M219" s="93">
        <v>100</v>
      </c>
      <c r="N219" s="93">
        <v>100</v>
      </c>
      <c r="O219" s="93">
        <v>100</v>
      </c>
      <c r="P219" s="93">
        <v>100</v>
      </c>
      <c r="Q219" s="93">
        <v>100</v>
      </c>
      <c r="R219" s="93">
        <v>100</v>
      </c>
      <c r="S219" s="93" t="s">
        <v>29</v>
      </c>
      <c r="T219" s="93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CA219" s="12"/>
      <c r="CB219" s="12"/>
    </row>
    <row r="220" spans="1:80" x14ac:dyDescent="0.2">
      <c r="A220" s="96">
        <v>1434</v>
      </c>
      <c r="B220" s="96">
        <v>85</v>
      </c>
      <c r="C220" s="96">
        <v>95</v>
      </c>
      <c r="D220" s="96">
        <v>100</v>
      </c>
      <c r="E220" s="96">
        <v>100</v>
      </c>
      <c r="F220" s="96">
        <v>100</v>
      </c>
      <c r="G220" s="96">
        <v>100</v>
      </c>
      <c r="H220" s="96">
        <v>100</v>
      </c>
      <c r="I220" s="96" t="s">
        <v>29</v>
      </c>
      <c r="J220" s="93"/>
      <c r="K220" s="93">
        <v>1533</v>
      </c>
      <c r="L220" s="93">
        <v>100</v>
      </c>
      <c r="M220" s="93">
        <v>100</v>
      </c>
      <c r="N220" s="93">
        <v>100</v>
      </c>
      <c r="O220" s="93">
        <v>100</v>
      </c>
      <c r="P220" s="93">
        <v>100</v>
      </c>
      <c r="Q220" s="93">
        <v>100</v>
      </c>
      <c r="R220" s="93">
        <v>100</v>
      </c>
      <c r="S220" s="93" t="s">
        <v>29</v>
      </c>
      <c r="T220" s="93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CA220" s="12"/>
      <c r="CB220" s="12"/>
    </row>
    <row r="221" spans="1:80" x14ac:dyDescent="0.2">
      <c r="A221" s="96">
        <v>1435</v>
      </c>
      <c r="B221" s="96">
        <v>85</v>
      </c>
      <c r="C221" s="96">
        <v>95</v>
      </c>
      <c r="D221" s="96">
        <v>100</v>
      </c>
      <c r="E221" s="96">
        <v>100</v>
      </c>
      <c r="F221" s="96">
        <v>100</v>
      </c>
      <c r="G221" s="96">
        <v>100</v>
      </c>
      <c r="H221" s="96">
        <v>100</v>
      </c>
      <c r="I221" s="96" t="s">
        <v>29</v>
      </c>
      <c r="J221" s="93"/>
      <c r="K221" s="93">
        <v>1534</v>
      </c>
      <c r="L221" s="93">
        <v>100</v>
      </c>
      <c r="M221" s="93">
        <v>100</v>
      </c>
      <c r="N221" s="93">
        <v>100</v>
      </c>
      <c r="O221" s="93">
        <v>100</v>
      </c>
      <c r="P221" s="93">
        <v>100</v>
      </c>
      <c r="Q221" s="93">
        <v>100</v>
      </c>
      <c r="R221" s="93">
        <v>100</v>
      </c>
      <c r="S221" s="93" t="s">
        <v>29</v>
      </c>
      <c r="T221" s="93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CA221" s="12"/>
      <c r="CB221" s="12"/>
    </row>
    <row r="222" spans="1:80" x14ac:dyDescent="0.2">
      <c r="A222" s="96">
        <v>1436</v>
      </c>
      <c r="B222" s="96">
        <v>85</v>
      </c>
      <c r="C222" s="96">
        <v>95</v>
      </c>
      <c r="D222" s="96">
        <v>100</v>
      </c>
      <c r="E222" s="96">
        <v>100</v>
      </c>
      <c r="F222" s="96">
        <v>100</v>
      </c>
      <c r="G222" s="96">
        <v>100</v>
      </c>
      <c r="H222" s="96">
        <v>100</v>
      </c>
      <c r="I222" s="96" t="s">
        <v>29</v>
      </c>
      <c r="J222" s="93"/>
      <c r="K222" s="93">
        <v>1535</v>
      </c>
      <c r="L222" s="93">
        <v>100</v>
      </c>
      <c r="M222" s="93">
        <v>100</v>
      </c>
      <c r="N222" s="93">
        <v>100</v>
      </c>
      <c r="O222" s="93">
        <v>100</v>
      </c>
      <c r="P222" s="93">
        <v>100</v>
      </c>
      <c r="Q222" s="93">
        <v>100</v>
      </c>
      <c r="R222" s="93">
        <v>100</v>
      </c>
      <c r="S222" s="93" t="s">
        <v>29</v>
      </c>
      <c r="T222" s="93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CA222" s="12"/>
      <c r="CB222" s="12"/>
    </row>
    <row r="223" spans="1:80" x14ac:dyDescent="0.2">
      <c r="A223" s="96">
        <v>1437</v>
      </c>
      <c r="B223" s="96">
        <v>85</v>
      </c>
      <c r="C223" s="96">
        <v>95</v>
      </c>
      <c r="D223" s="96">
        <v>100</v>
      </c>
      <c r="E223" s="96">
        <v>100</v>
      </c>
      <c r="F223" s="96">
        <v>100</v>
      </c>
      <c r="G223" s="96">
        <v>100</v>
      </c>
      <c r="H223" s="96">
        <v>100</v>
      </c>
      <c r="I223" s="96" t="s">
        <v>29</v>
      </c>
      <c r="J223" s="93"/>
      <c r="K223" s="93">
        <v>1536</v>
      </c>
      <c r="L223" s="93">
        <v>100</v>
      </c>
      <c r="M223" s="93">
        <v>100</v>
      </c>
      <c r="N223" s="93">
        <v>100</v>
      </c>
      <c r="O223" s="93">
        <v>100</v>
      </c>
      <c r="P223" s="93">
        <v>100</v>
      </c>
      <c r="Q223" s="93">
        <v>100</v>
      </c>
      <c r="R223" s="93">
        <v>100</v>
      </c>
      <c r="S223" s="93" t="s">
        <v>29</v>
      </c>
      <c r="T223" s="93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CA223" s="12"/>
      <c r="CB223" s="12"/>
    </row>
    <row r="224" spans="1:80" x14ac:dyDescent="0.2">
      <c r="A224" s="96">
        <v>1438</v>
      </c>
      <c r="B224" s="96">
        <v>85</v>
      </c>
      <c r="C224" s="96">
        <v>95</v>
      </c>
      <c r="D224" s="96">
        <v>100</v>
      </c>
      <c r="E224" s="96">
        <v>100</v>
      </c>
      <c r="F224" s="96">
        <v>100</v>
      </c>
      <c r="G224" s="96">
        <v>100</v>
      </c>
      <c r="H224" s="96">
        <v>100</v>
      </c>
      <c r="I224" s="96" t="s">
        <v>29</v>
      </c>
      <c r="J224" s="93"/>
      <c r="K224" s="93">
        <v>1537</v>
      </c>
      <c r="L224" s="93">
        <v>100</v>
      </c>
      <c r="M224" s="93">
        <v>100</v>
      </c>
      <c r="N224" s="93">
        <v>100</v>
      </c>
      <c r="O224" s="93">
        <v>100</v>
      </c>
      <c r="P224" s="93">
        <v>100</v>
      </c>
      <c r="Q224" s="93">
        <v>100</v>
      </c>
      <c r="R224" s="93">
        <v>100</v>
      </c>
      <c r="S224" s="93" t="s">
        <v>29</v>
      </c>
      <c r="T224" s="93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CA224" s="12"/>
      <c r="CB224" s="12"/>
    </row>
    <row r="225" spans="1:80" x14ac:dyDescent="0.2">
      <c r="A225" s="96">
        <v>1439</v>
      </c>
      <c r="B225" s="96">
        <v>85</v>
      </c>
      <c r="C225" s="96">
        <v>95</v>
      </c>
      <c r="D225" s="96">
        <v>100</v>
      </c>
      <c r="E225" s="96">
        <v>100</v>
      </c>
      <c r="F225" s="96">
        <v>100</v>
      </c>
      <c r="G225" s="96">
        <v>100</v>
      </c>
      <c r="H225" s="96">
        <v>100</v>
      </c>
      <c r="I225" s="96" t="s">
        <v>29</v>
      </c>
      <c r="J225" s="93"/>
      <c r="K225" s="93">
        <v>1538</v>
      </c>
      <c r="L225" s="93">
        <v>100</v>
      </c>
      <c r="M225" s="93">
        <v>100</v>
      </c>
      <c r="N225" s="93">
        <v>100</v>
      </c>
      <c r="O225" s="93">
        <v>100</v>
      </c>
      <c r="P225" s="93">
        <v>100</v>
      </c>
      <c r="Q225" s="93">
        <v>100</v>
      </c>
      <c r="R225" s="93">
        <v>100</v>
      </c>
      <c r="S225" s="93" t="s">
        <v>29</v>
      </c>
      <c r="T225" s="93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CA225" s="12"/>
      <c r="CB225" s="12"/>
    </row>
    <row r="226" spans="1:80" x14ac:dyDescent="0.2">
      <c r="A226" s="96">
        <v>1440</v>
      </c>
      <c r="B226" s="96">
        <v>85</v>
      </c>
      <c r="C226" s="96">
        <v>95</v>
      </c>
      <c r="D226" s="96">
        <v>100</v>
      </c>
      <c r="E226" s="96">
        <v>100</v>
      </c>
      <c r="F226" s="96">
        <v>100</v>
      </c>
      <c r="G226" s="96">
        <v>100</v>
      </c>
      <c r="H226" s="96">
        <v>100</v>
      </c>
      <c r="I226" s="96" t="s">
        <v>29</v>
      </c>
      <c r="J226" s="93"/>
      <c r="K226" s="93">
        <v>1539</v>
      </c>
      <c r="L226" s="93">
        <v>100</v>
      </c>
      <c r="M226" s="93">
        <v>100</v>
      </c>
      <c r="N226" s="93">
        <v>100</v>
      </c>
      <c r="O226" s="93">
        <v>100</v>
      </c>
      <c r="P226" s="93">
        <v>100</v>
      </c>
      <c r="Q226" s="93">
        <v>100</v>
      </c>
      <c r="R226" s="93">
        <v>100</v>
      </c>
      <c r="S226" s="93" t="s">
        <v>29</v>
      </c>
      <c r="T226" s="93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CA226" s="12"/>
      <c r="CB226" s="12"/>
    </row>
    <row r="227" spans="1:80" x14ac:dyDescent="0.2">
      <c r="A227" s="96">
        <v>1441</v>
      </c>
      <c r="B227" s="96">
        <v>80</v>
      </c>
      <c r="C227" s="96">
        <v>90</v>
      </c>
      <c r="D227" s="96">
        <v>100</v>
      </c>
      <c r="E227" s="96">
        <v>100</v>
      </c>
      <c r="F227" s="96">
        <v>100</v>
      </c>
      <c r="G227" s="96">
        <v>100</v>
      </c>
      <c r="H227" s="96">
        <v>100</v>
      </c>
      <c r="I227" s="96" t="s">
        <v>29</v>
      </c>
      <c r="J227" s="93"/>
      <c r="K227" s="93">
        <v>1540</v>
      </c>
      <c r="L227" s="93">
        <v>100</v>
      </c>
      <c r="M227" s="93">
        <v>100</v>
      </c>
      <c r="N227" s="93">
        <v>100</v>
      </c>
      <c r="O227" s="93">
        <v>100</v>
      </c>
      <c r="P227" s="93">
        <v>100</v>
      </c>
      <c r="Q227" s="93">
        <v>100</v>
      </c>
      <c r="R227" s="93">
        <v>100</v>
      </c>
      <c r="S227" s="93" t="s">
        <v>29</v>
      </c>
      <c r="T227" s="93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CA227" s="12"/>
      <c r="CB227" s="12"/>
    </row>
    <row r="228" spans="1:80" x14ac:dyDescent="0.2">
      <c r="A228" s="96">
        <v>1442</v>
      </c>
      <c r="B228" s="96">
        <v>80</v>
      </c>
      <c r="C228" s="96">
        <v>90</v>
      </c>
      <c r="D228" s="96">
        <v>100</v>
      </c>
      <c r="E228" s="96">
        <v>100</v>
      </c>
      <c r="F228" s="96">
        <v>100</v>
      </c>
      <c r="G228" s="96">
        <v>100</v>
      </c>
      <c r="H228" s="96">
        <v>100</v>
      </c>
      <c r="I228" s="96" t="s">
        <v>29</v>
      </c>
      <c r="J228" s="93"/>
      <c r="K228" s="93">
        <v>1541</v>
      </c>
      <c r="L228" s="93">
        <v>100</v>
      </c>
      <c r="M228" s="93">
        <v>100</v>
      </c>
      <c r="N228" s="93">
        <v>100</v>
      </c>
      <c r="O228" s="93">
        <v>100</v>
      </c>
      <c r="P228" s="93">
        <v>100</v>
      </c>
      <c r="Q228" s="93">
        <v>100</v>
      </c>
      <c r="R228" s="93">
        <v>100</v>
      </c>
      <c r="S228" s="93" t="s">
        <v>29</v>
      </c>
      <c r="T228" s="93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CA228" s="12"/>
      <c r="CB228" s="12"/>
    </row>
    <row r="229" spans="1:80" x14ac:dyDescent="0.2">
      <c r="A229" s="96">
        <v>1443</v>
      </c>
      <c r="B229" s="96">
        <v>80</v>
      </c>
      <c r="C229" s="96">
        <v>90</v>
      </c>
      <c r="D229" s="96">
        <v>100</v>
      </c>
      <c r="E229" s="96">
        <v>100</v>
      </c>
      <c r="F229" s="96">
        <v>100</v>
      </c>
      <c r="G229" s="96">
        <v>100</v>
      </c>
      <c r="H229" s="96">
        <v>100</v>
      </c>
      <c r="I229" s="96" t="s">
        <v>29</v>
      </c>
      <c r="J229" s="93"/>
      <c r="K229" s="93">
        <v>1542</v>
      </c>
      <c r="L229" s="93">
        <v>100</v>
      </c>
      <c r="M229" s="93">
        <v>100</v>
      </c>
      <c r="N229" s="93">
        <v>100</v>
      </c>
      <c r="O229" s="93">
        <v>100</v>
      </c>
      <c r="P229" s="93">
        <v>100</v>
      </c>
      <c r="Q229" s="93">
        <v>100</v>
      </c>
      <c r="R229" s="93">
        <v>100</v>
      </c>
      <c r="S229" s="93" t="s">
        <v>29</v>
      </c>
      <c r="T229" s="93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CA229" s="12"/>
      <c r="CB229" s="12"/>
    </row>
    <row r="230" spans="1:80" x14ac:dyDescent="0.2">
      <c r="A230" s="96">
        <v>1444</v>
      </c>
      <c r="B230" s="96">
        <v>80</v>
      </c>
      <c r="C230" s="96">
        <v>90</v>
      </c>
      <c r="D230" s="96">
        <v>100</v>
      </c>
      <c r="E230" s="96">
        <v>100</v>
      </c>
      <c r="F230" s="96">
        <v>100</v>
      </c>
      <c r="G230" s="96">
        <v>100</v>
      </c>
      <c r="H230" s="96">
        <v>100</v>
      </c>
      <c r="I230" s="96" t="s">
        <v>29</v>
      </c>
      <c r="J230" s="93"/>
      <c r="K230" s="93">
        <v>1543</v>
      </c>
      <c r="L230" s="93">
        <v>100</v>
      </c>
      <c r="M230" s="93">
        <v>100</v>
      </c>
      <c r="N230" s="93">
        <v>100</v>
      </c>
      <c r="O230" s="93">
        <v>100</v>
      </c>
      <c r="P230" s="93">
        <v>100</v>
      </c>
      <c r="Q230" s="93">
        <v>100</v>
      </c>
      <c r="R230" s="93">
        <v>100</v>
      </c>
      <c r="S230" s="93" t="s">
        <v>29</v>
      </c>
      <c r="T230" s="93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CA230" s="12"/>
      <c r="CB230" s="12"/>
    </row>
    <row r="231" spans="1:80" x14ac:dyDescent="0.2">
      <c r="A231" s="96">
        <v>1445</v>
      </c>
      <c r="B231" s="96">
        <v>80</v>
      </c>
      <c r="C231" s="96">
        <v>90</v>
      </c>
      <c r="D231" s="96">
        <v>100</v>
      </c>
      <c r="E231" s="96">
        <v>100</v>
      </c>
      <c r="F231" s="96">
        <v>100</v>
      </c>
      <c r="G231" s="96">
        <v>100</v>
      </c>
      <c r="H231" s="96">
        <v>100</v>
      </c>
      <c r="I231" s="96" t="s">
        <v>29</v>
      </c>
      <c r="J231" s="93"/>
      <c r="K231" s="93">
        <v>1544</v>
      </c>
      <c r="L231" s="93">
        <v>100</v>
      </c>
      <c r="M231" s="93">
        <v>100</v>
      </c>
      <c r="N231" s="93">
        <v>100</v>
      </c>
      <c r="O231" s="93">
        <v>100</v>
      </c>
      <c r="P231" s="93">
        <v>100</v>
      </c>
      <c r="Q231" s="93">
        <v>100</v>
      </c>
      <c r="R231" s="93">
        <v>100</v>
      </c>
      <c r="S231" s="93" t="s">
        <v>29</v>
      </c>
      <c r="T231" s="93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CA231" s="12"/>
      <c r="CB231" s="12"/>
    </row>
    <row r="232" spans="1:80" x14ac:dyDescent="0.2">
      <c r="A232" s="96">
        <v>1446</v>
      </c>
      <c r="B232" s="96">
        <v>80</v>
      </c>
      <c r="C232" s="96">
        <v>90</v>
      </c>
      <c r="D232" s="96">
        <v>100</v>
      </c>
      <c r="E232" s="96">
        <v>100</v>
      </c>
      <c r="F232" s="96">
        <v>100</v>
      </c>
      <c r="G232" s="96">
        <v>100</v>
      </c>
      <c r="H232" s="96">
        <v>100</v>
      </c>
      <c r="I232" s="96" t="s">
        <v>29</v>
      </c>
      <c r="J232" s="93"/>
      <c r="K232" s="93">
        <v>1545</v>
      </c>
      <c r="L232" s="93">
        <v>100</v>
      </c>
      <c r="M232" s="93">
        <v>100</v>
      </c>
      <c r="N232" s="93">
        <v>100</v>
      </c>
      <c r="O232" s="93">
        <v>100</v>
      </c>
      <c r="P232" s="93">
        <v>100</v>
      </c>
      <c r="Q232" s="93">
        <v>100</v>
      </c>
      <c r="R232" s="93">
        <v>100</v>
      </c>
      <c r="S232" s="93" t="s">
        <v>29</v>
      </c>
      <c r="T232" s="93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CA232" s="12"/>
      <c r="CB232" s="12"/>
    </row>
    <row r="233" spans="1:80" x14ac:dyDescent="0.2">
      <c r="A233" s="96">
        <v>1447</v>
      </c>
      <c r="B233" s="96">
        <v>80</v>
      </c>
      <c r="C233" s="96">
        <v>90</v>
      </c>
      <c r="D233" s="96">
        <v>100</v>
      </c>
      <c r="E233" s="96">
        <v>100</v>
      </c>
      <c r="F233" s="96">
        <v>100</v>
      </c>
      <c r="G233" s="96">
        <v>100</v>
      </c>
      <c r="H233" s="96">
        <v>100</v>
      </c>
      <c r="I233" s="96" t="s">
        <v>29</v>
      </c>
      <c r="J233" s="93"/>
      <c r="K233" s="93">
        <v>1546</v>
      </c>
      <c r="L233" s="93">
        <v>100</v>
      </c>
      <c r="M233" s="93">
        <v>100</v>
      </c>
      <c r="N233" s="93">
        <v>100</v>
      </c>
      <c r="O233" s="93">
        <v>100</v>
      </c>
      <c r="P233" s="93">
        <v>100</v>
      </c>
      <c r="Q233" s="93">
        <v>100</v>
      </c>
      <c r="R233" s="93">
        <v>100</v>
      </c>
      <c r="S233" s="93" t="s">
        <v>29</v>
      </c>
      <c r="T233" s="93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CA233" s="12"/>
      <c r="CB233" s="12"/>
    </row>
    <row r="234" spans="1:80" x14ac:dyDescent="0.2">
      <c r="A234" s="96">
        <v>1448</v>
      </c>
      <c r="B234" s="96">
        <v>80</v>
      </c>
      <c r="C234" s="96">
        <v>90</v>
      </c>
      <c r="D234" s="96">
        <v>100</v>
      </c>
      <c r="E234" s="96">
        <v>100</v>
      </c>
      <c r="F234" s="96">
        <v>100</v>
      </c>
      <c r="G234" s="96">
        <v>100</v>
      </c>
      <c r="H234" s="96">
        <v>100</v>
      </c>
      <c r="I234" s="96" t="s">
        <v>29</v>
      </c>
      <c r="J234" s="93"/>
      <c r="K234" s="93">
        <v>1547</v>
      </c>
      <c r="L234" s="93">
        <v>100</v>
      </c>
      <c r="M234" s="93">
        <v>100</v>
      </c>
      <c r="N234" s="93">
        <v>100</v>
      </c>
      <c r="O234" s="93">
        <v>100</v>
      </c>
      <c r="P234" s="93">
        <v>100</v>
      </c>
      <c r="Q234" s="93">
        <v>100</v>
      </c>
      <c r="R234" s="93">
        <v>100</v>
      </c>
      <c r="S234" s="93" t="s">
        <v>29</v>
      </c>
      <c r="T234" s="93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CA234" s="12"/>
      <c r="CB234" s="12"/>
    </row>
    <row r="235" spans="1:80" x14ac:dyDescent="0.2">
      <c r="A235" s="96">
        <v>1449</v>
      </c>
      <c r="B235" s="96">
        <v>80</v>
      </c>
      <c r="C235" s="96">
        <v>90</v>
      </c>
      <c r="D235" s="96">
        <v>100</v>
      </c>
      <c r="E235" s="96">
        <v>100</v>
      </c>
      <c r="F235" s="96">
        <v>100</v>
      </c>
      <c r="G235" s="96">
        <v>100</v>
      </c>
      <c r="H235" s="96">
        <v>100</v>
      </c>
      <c r="I235" s="96" t="s">
        <v>29</v>
      </c>
      <c r="J235" s="93"/>
      <c r="K235" s="93">
        <v>1548</v>
      </c>
      <c r="L235" s="93">
        <v>100</v>
      </c>
      <c r="M235" s="93">
        <v>100</v>
      </c>
      <c r="N235" s="93">
        <v>100</v>
      </c>
      <c r="O235" s="93">
        <v>100</v>
      </c>
      <c r="P235" s="93">
        <v>100</v>
      </c>
      <c r="Q235" s="93">
        <v>100</v>
      </c>
      <c r="R235" s="93">
        <v>100</v>
      </c>
      <c r="S235" s="93" t="s">
        <v>29</v>
      </c>
      <c r="T235" s="93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CA235" s="12"/>
      <c r="CB235" s="12"/>
    </row>
    <row r="236" spans="1:80" x14ac:dyDescent="0.2">
      <c r="A236" s="96">
        <v>1450</v>
      </c>
      <c r="B236" s="96">
        <v>80</v>
      </c>
      <c r="C236" s="96">
        <v>90</v>
      </c>
      <c r="D236" s="96">
        <v>100</v>
      </c>
      <c r="E236" s="96">
        <v>100</v>
      </c>
      <c r="F236" s="96">
        <v>100</v>
      </c>
      <c r="G236" s="96">
        <v>100</v>
      </c>
      <c r="H236" s="96">
        <v>100</v>
      </c>
      <c r="I236" s="96" t="s">
        <v>29</v>
      </c>
      <c r="J236" s="93"/>
      <c r="K236" s="93">
        <v>1549</v>
      </c>
      <c r="L236" s="93">
        <v>100</v>
      </c>
      <c r="M236" s="93">
        <v>100</v>
      </c>
      <c r="N236" s="93">
        <v>100</v>
      </c>
      <c r="O236" s="93">
        <v>100</v>
      </c>
      <c r="P236" s="93">
        <v>100</v>
      </c>
      <c r="Q236" s="93">
        <v>100</v>
      </c>
      <c r="R236" s="93">
        <v>100</v>
      </c>
      <c r="S236" s="93" t="s">
        <v>29</v>
      </c>
      <c r="T236" s="93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CA236" s="12"/>
      <c r="CB236" s="12"/>
    </row>
    <row r="237" spans="1:80" x14ac:dyDescent="0.2">
      <c r="A237" s="96">
        <v>1451</v>
      </c>
      <c r="B237" s="96">
        <v>80</v>
      </c>
      <c r="C237" s="96">
        <v>90</v>
      </c>
      <c r="D237" s="96">
        <v>100</v>
      </c>
      <c r="E237" s="96">
        <v>100</v>
      </c>
      <c r="F237" s="96">
        <v>100</v>
      </c>
      <c r="G237" s="96">
        <v>100</v>
      </c>
      <c r="H237" s="96">
        <v>100</v>
      </c>
      <c r="I237" s="96" t="s">
        <v>29</v>
      </c>
      <c r="J237" s="93"/>
      <c r="K237" s="93">
        <v>1550</v>
      </c>
      <c r="L237" s="93">
        <v>100</v>
      </c>
      <c r="M237" s="93">
        <v>100</v>
      </c>
      <c r="N237" s="93">
        <v>100</v>
      </c>
      <c r="O237" s="93">
        <v>100</v>
      </c>
      <c r="P237" s="93">
        <v>100</v>
      </c>
      <c r="Q237" s="93">
        <v>100</v>
      </c>
      <c r="R237" s="93">
        <v>100</v>
      </c>
      <c r="S237" s="93" t="s">
        <v>29</v>
      </c>
      <c r="T237" s="93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CA237" s="12"/>
      <c r="CB237" s="12"/>
    </row>
    <row r="238" spans="1:80" x14ac:dyDescent="0.2">
      <c r="A238" s="96">
        <v>1452</v>
      </c>
      <c r="B238" s="96">
        <v>80</v>
      </c>
      <c r="C238" s="96">
        <v>90</v>
      </c>
      <c r="D238" s="96">
        <v>100</v>
      </c>
      <c r="E238" s="96">
        <v>100</v>
      </c>
      <c r="F238" s="96">
        <v>100</v>
      </c>
      <c r="G238" s="96">
        <v>100</v>
      </c>
      <c r="H238" s="96">
        <v>100</v>
      </c>
      <c r="I238" s="96" t="s">
        <v>29</v>
      </c>
      <c r="J238" s="93"/>
      <c r="K238" s="93">
        <v>1551</v>
      </c>
      <c r="L238" s="93">
        <v>100</v>
      </c>
      <c r="M238" s="93">
        <v>100</v>
      </c>
      <c r="N238" s="93">
        <v>100</v>
      </c>
      <c r="O238" s="93">
        <v>100</v>
      </c>
      <c r="P238" s="93">
        <v>100</v>
      </c>
      <c r="Q238" s="93">
        <v>100</v>
      </c>
      <c r="R238" s="93">
        <v>100</v>
      </c>
      <c r="S238" s="93" t="s">
        <v>29</v>
      </c>
      <c r="T238" s="93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CA238" s="12"/>
      <c r="CB238" s="12"/>
    </row>
    <row r="239" spans="1:80" x14ac:dyDescent="0.2">
      <c r="A239" s="96">
        <v>1453</v>
      </c>
      <c r="B239" s="96">
        <v>80</v>
      </c>
      <c r="C239" s="96">
        <v>90</v>
      </c>
      <c r="D239" s="96">
        <v>100</v>
      </c>
      <c r="E239" s="96">
        <v>100</v>
      </c>
      <c r="F239" s="96">
        <v>100</v>
      </c>
      <c r="G239" s="96">
        <v>100</v>
      </c>
      <c r="H239" s="96">
        <v>100</v>
      </c>
      <c r="I239" s="96" t="s">
        <v>29</v>
      </c>
      <c r="J239" s="93"/>
      <c r="K239" s="93">
        <v>1552</v>
      </c>
      <c r="L239" s="93">
        <v>100</v>
      </c>
      <c r="M239" s="93">
        <v>100</v>
      </c>
      <c r="N239" s="93">
        <v>100</v>
      </c>
      <c r="O239" s="93">
        <v>100</v>
      </c>
      <c r="P239" s="93">
        <v>100</v>
      </c>
      <c r="Q239" s="93">
        <v>100</v>
      </c>
      <c r="R239" s="93">
        <v>100</v>
      </c>
      <c r="S239" s="93" t="s">
        <v>29</v>
      </c>
      <c r="T239" s="93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CA239" s="12"/>
      <c r="CB239" s="12"/>
    </row>
    <row r="240" spans="1:80" x14ac:dyDescent="0.2">
      <c r="A240" s="96">
        <v>1454</v>
      </c>
      <c r="B240" s="96">
        <v>80</v>
      </c>
      <c r="C240" s="96">
        <v>90</v>
      </c>
      <c r="D240" s="96">
        <v>100</v>
      </c>
      <c r="E240" s="96">
        <v>100</v>
      </c>
      <c r="F240" s="96">
        <v>100</v>
      </c>
      <c r="G240" s="96">
        <v>100</v>
      </c>
      <c r="H240" s="96">
        <v>100</v>
      </c>
      <c r="I240" s="96" t="s">
        <v>29</v>
      </c>
      <c r="J240" s="93"/>
      <c r="K240" s="93">
        <v>1553</v>
      </c>
      <c r="L240" s="93">
        <v>100</v>
      </c>
      <c r="M240" s="93">
        <v>100</v>
      </c>
      <c r="N240" s="93">
        <v>100</v>
      </c>
      <c r="O240" s="93">
        <v>100</v>
      </c>
      <c r="P240" s="93">
        <v>100</v>
      </c>
      <c r="Q240" s="93">
        <v>100</v>
      </c>
      <c r="R240" s="93">
        <v>100</v>
      </c>
      <c r="S240" s="93" t="s">
        <v>29</v>
      </c>
      <c r="T240" s="93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CA240" s="12"/>
      <c r="CB240" s="12"/>
    </row>
    <row r="241" spans="1:80" x14ac:dyDescent="0.2">
      <c r="A241" s="96">
        <v>1455</v>
      </c>
      <c r="B241" s="96">
        <v>80</v>
      </c>
      <c r="C241" s="96">
        <v>90</v>
      </c>
      <c r="D241" s="96">
        <v>100</v>
      </c>
      <c r="E241" s="96">
        <v>100</v>
      </c>
      <c r="F241" s="96">
        <v>100</v>
      </c>
      <c r="G241" s="96">
        <v>100</v>
      </c>
      <c r="H241" s="96">
        <v>100</v>
      </c>
      <c r="I241" s="96" t="s">
        <v>29</v>
      </c>
      <c r="J241" s="93"/>
      <c r="K241" s="93">
        <v>1554</v>
      </c>
      <c r="L241" s="93">
        <v>100</v>
      </c>
      <c r="M241" s="93">
        <v>100</v>
      </c>
      <c r="N241" s="93">
        <v>100</v>
      </c>
      <c r="O241" s="93">
        <v>100</v>
      </c>
      <c r="P241" s="93">
        <v>100</v>
      </c>
      <c r="Q241" s="93">
        <v>100</v>
      </c>
      <c r="R241" s="93">
        <v>100</v>
      </c>
      <c r="S241" s="93" t="s">
        <v>29</v>
      </c>
      <c r="T241" s="93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CA241" s="12"/>
      <c r="CB241" s="12"/>
    </row>
    <row r="242" spans="1:80" x14ac:dyDescent="0.2">
      <c r="A242" s="96">
        <v>1456</v>
      </c>
      <c r="B242" s="96">
        <v>80</v>
      </c>
      <c r="C242" s="96">
        <v>90</v>
      </c>
      <c r="D242" s="96">
        <v>100</v>
      </c>
      <c r="E242" s="96">
        <v>100</v>
      </c>
      <c r="F242" s="96">
        <v>100</v>
      </c>
      <c r="G242" s="96">
        <v>100</v>
      </c>
      <c r="H242" s="96">
        <v>100</v>
      </c>
      <c r="I242" s="96" t="s">
        <v>29</v>
      </c>
      <c r="J242" s="93"/>
      <c r="K242" s="93">
        <v>1555</v>
      </c>
      <c r="L242" s="93">
        <v>100</v>
      </c>
      <c r="M242" s="93">
        <v>100</v>
      </c>
      <c r="N242" s="93">
        <v>100</v>
      </c>
      <c r="O242" s="93">
        <v>100</v>
      </c>
      <c r="P242" s="93">
        <v>100</v>
      </c>
      <c r="Q242" s="93">
        <v>100</v>
      </c>
      <c r="R242" s="93">
        <v>100</v>
      </c>
      <c r="S242" s="93" t="s">
        <v>29</v>
      </c>
      <c r="T242" s="93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CA242" s="12"/>
      <c r="CB242" s="12"/>
    </row>
    <row r="243" spans="1:80" x14ac:dyDescent="0.2">
      <c r="A243" s="96">
        <v>1457</v>
      </c>
      <c r="B243" s="96">
        <v>80</v>
      </c>
      <c r="C243" s="96">
        <v>90</v>
      </c>
      <c r="D243" s="96">
        <v>100</v>
      </c>
      <c r="E243" s="96">
        <v>100</v>
      </c>
      <c r="F243" s="96">
        <v>100</v>
      </c>
      <c r="G243" s="96">
        <v>100</v>
      </c>
      <c r="H243" s="96">
        <v>100</v>
      </c>
      <c r="I243" s="96" t="s">
        <v>29</v>
      </c>
      <c r="J243" s="93"/>
      <c r="K243" s="93">
        <v>1556</v>
      </c>
      <c r="L243" s="93">
        <v>100</v>
      </c>
      <c r="M243" s="93">
        <v>100</v>
      </c>
      <c r="N243" s="93">
        <v>100</v>
      </c>
      <c r="O243" s="93">
        <v>100</v>
      </c>
      <c r="P243" s="93">
        <v>100</v>
      </c>
      <c r="Q243" s="93">
        <v>100</v>
      </c>
      <c r="R243" s="93">
        <v>100</v>
      </c>
      <c r="S243" s="93" t="s">
        <v>29</v>
      </c>
      <c r="T243" s="93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CA243" s="12"/>
      <c r="CB243" s="12"/>
    </row>
    <row r="244" spans="1:80" x14ac:dyDescent="0.2">
      <c r="A244" s="96">
        <v>1458</v>
      </c>
      <c r="B244" s="96">
        <v>80</v>
      </c>
      <c r="C244" s="96">
        <v>90</v>
      </c>
      <c r="D244" s="96">
        <v>100</v>
      </c>
      <c r="E244" s="96">
        <v>100</v>
      </c>
      <c r="F244" s="96">
        <v>100</v>
      </c>
      <c r="G244" s="96">
        <v>100</v>
      </c>
      <c r="H244" s="96">
        <v>100</v>
      </c>
      <c r="I244" s="96" t="s">
        <v>29</v>
      </c>
      <c r="J244" s="93"/>
      <c r="K244" s="93">
        <v>1557</v>
      </c>
      <c r="L244" s="93">
        <v>100</v>
      </c>
      <c r="M244" s="93">
        <v>100</v>
      </c>
      <c r="N244" s="93">
        <v>100</v>
      </c>
      <c r="O244" s="93">
        <v>100</v>
      </c>
      <c r="P244" s="93">
        <v>100</v>
      </c>
      <c r="Q244" s="93">
        <v>100</v>
      </c>
      <c r="R244" s="93">
        <v>100</v>
      </c>
      <c r="S244" s="93" t="s">
        <v>29</v>
      </c>
      <c r="T244" s="93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CA244" s="12"/>
      <c r="CB244" s="12"/>
    </row>
    <row r="245" spans="1:80" x14ac:dyDescent="0.2">
      <c r="A245" s="96">
        <v>1459</v>
      </c>
      <c r="B245" s="96">
        <v>80</v>
      </c>
      <c r="C245" s="96">
        <v>90</v>
      </c>
      <c r="D245" s="96">
        <v>100</v>
      </c>
      <c r="E245" s="96">
        <v>100</v>
      </c>
      <c r="F245" s="96">
        <v>100</v>
      </c>
      <c r="G245" s="96">
        <v>100</v>
      </c>
      <c r="H245" s="96">
        <v>100</v>
      </c>
      <c r="I245" s="96" t="s">
        <v>29</v>
      </c>
      <c r="J245" s="93"/>
      <c r="K245" s="93">
        <v>1558</v>
      </c>
      <c r="L245" s="93">
        <v>100</v>
      </c>
      <c r="M245" s="93">
        <v>100</v>
      </c>
      <c r="N245" s="93">
        <v>100</v>
      </c>
      <c r="O245" s="93">
        <v>100</v>
      </c>
      <c r="P245" s="93">
        <v>100</v>
      </c>
      <c r="Q245" s="93">
        <v>100</v>
      </c>
      <c r="R245" s="93">
        <v>100</v>
      </c>
      <c r="S245" s="93" t="s">
        <v>29</v>
      </c>
      <c r="T245" s="93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CA245" s="12"/>
      <c r="CB245" s="12"/>
    </row>
    <row r="246" spans="1:80" x14ac:dyDescent="0.2">
      <c r="A246" s="96">
        <v>1500</v>
      </c>
      <c r="B246" s="96">
        <v>80</v>
      </c>
      <c r="C246" s="96">
        <v>90</v>
      </c>
      <c r="D246" s="96">
        <v>100</v>
      </c>
      <c r="E246" s="96">
        <v>100</v>
      </c>
      <c r="F246" s="96">
        <v>100</v>
      </c>
      <c r="G246" s="96">
        <v>100</v>
      </c>
      <c r="H246" s="96">
        <v>100</v>
      </c>
      <c r="I246" s="96" t="s">
        <v>29</v>
      </c>
      <c r="J246" s="93"/>
      <c r="K246" s="93">
        <v>1559</v>
      </c>
      <c r="L246" s="93">
        <v>100</v>
      </c>
      <c r="M246" s="93">
        <v>100</v>
      </c>
      <c r="N246" s="93">
        <v>100</v>
      </c>
      <c r="O246" s="93">
        <v>100</v>
      </c>
      <c r="P246" s="93">
        <v>100</v>
      </c>
      <c r="Q246" s="93">
        <v>100</v>
      </c>
      <c r="R246" s="93">
        <v>100</v>
      </c>
      <c r="S246" s="93" t="s">
        <v>29</v>
      </c>
      <c r="T246" s="93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CA246" s="12"/>
      <c r="CB246" s="12"/>
    </row>
    <row r="247" spans="1:80" x14ac:dyDescent="0.2">
      <c r="A247" s="96">
        <v>1501</v>
      </c>
      <c r="B247" s="96">
        <v>75</v>
      </c>
      <c r="C247" s="96">
        <v>85</v>
      </c>
      <c r="D247" s="96">
        <v>95</v>
      </c>
      <c r="E247" s="96">
        <v>100</v>
      </c>
      <c r="F247" s="96">
        <v>100</v>
      </c>
      <c r="G247" s="96">
        <v>100</v>
      </c>
      <c r="H247" s="96">
        <v>100</v>
      </c>
      <c r="I247" s="96" t="s">
        <v>29</v>
      </c>
      <c r="J247" s="93"/>
      <c r="K247" s="93">
        <v>1600</v>
      </c>
      <c r="L247" s="93">
        <v>100</v>
      </c>
      <c r="M247" s="93">
        <v>100</v>
      </c>
      <c r="N247" s="93">
        <v>100</v>
      </c>
      <c r="O247" s="93">
        <v>100</v>
      </c>
      <c r="P247" s="93">
        <v>100</v>
      </c>
      <c r="Q247" s="93">
        <v>100</v>
      </c>
      <c r="R247" s="93">
        <v>100</v>
      </c>
      <c r="S247" s="93" t="s">
        <v>29</v>
      </c>
      <c r="T247" s="93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CA247" s="12"/>
      <c r="CB247" s="12"/>
    </row>
    <row r="248" spans="1:80" x14ac:dyDescent="0.2">
      <c r="A248" s="96">
        <v>1502</v>
      </c>
      <c r="B248" s="96">
        <v>75</v>
      </c>
      <c r="C248" s="96">
        <v>85</v>
      </c>
      <c r="D248" s="96">
        <v>95</v>
      </c>
      <c r="E248" s="96">
        <v>100</v>
      </c>
      <c r="F248" s="96">
        <v>100</v>
      </c>
      <c r="G248" s="96">
        <v>100</v>
      </c>
      <c r="H248" s="96">
        <v>100</v>
      </c>
      <c r="I248" s="96" t="s">
        <v>29</v>
      </c>
      <c r="J248" s="93"/>
      <c r="K248" s="93">
        <v>1601</v>
      </c>
      <c r="L248" s="93">
        <v>95</v>
      </c>
      <c r="M248" s="93">
        <v>100</v>
      </c>
      <c r="N248" s="93">
        <v>100</v>
      </c>
      <c r="O248" s="93">
        <v>100</v>
      </c>
      <c r="P248" s="93">
        <v>100</v>
      </c>
      <c r="Q248" s="93">
        <v>100</v>
      </c>
      <c r="R248" s="93">
        <v>100</v>
      </c>
      <c r="S248" s="93" t="s">
        <v>29</v>
      </c>
      <c r="T248" s="93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CA248" s="12"/>
      <c r="CB248" s="12"/>
    </row>
    <row r="249" spans="1:80" x14ac:dyDescent="0.2">
      <c r="A249" s="96">
        <v>1503</v>
      </c>
      <c r="B249" s="96">
        <v>75</v>
      </c>
      <c r="C249" s="96">
        <v>85</v>
      </c>
      <c r="D249" s="96">
        <v>95</v>
      </c>
      <c r="E249" s="96">
        <v>100</v>
      </c>
      <c r="F249" s="96">
        <v>100</v>
      </c>
      <c r="G249" s="96">
        <v>100</v>
      </c>
      <c r="H249" s="96">
        <v>100</v>
      </c>
      <c r="I249" s="96" t="s">
        <v>29</v>
      </c>
      <c r="J249" s="93"/>
      <c r="K249" s="93">
        <v>1602</v>
      </c>
      <c r="L249" s="93">
        <v>95</v>
      </c>
      <c r="M249" s="93">
        <v>100</v>
      </c>
      <c r="N249" s="93">
        <v>100</v>
      </c>
      <c r="O249" s="93">
        <v>100</v>
      </c>
      <c r="P249" s="93">
        <v>100</v>
      </c>
      <c r="Q249" s="93">
        <v>100</v>
      </c>
      <c r="R249" s="93">
        <v>100</v>
      </c>
      <c r="S249" s="93" t="s">
        <v>29</v>
      </c>
      <c r="T249" s="93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CA249" s="12"/>
      <c r="CB249" s="12"/>
    </row>
    <row r="250" spans="1:80" x14ac:dyDescent="0.2">
      <c r="A250" s="96">
        <v>1504</v>
      </c>
      <c r="B250" s="96">
        <v>75</v>
      </c>
      <c r="C250" s="96">
        <v>85</v>
      </c>
      <c r="D250" s="96">
        <v>95</v>
      </c>
      <c r="E250" s="96">
        <v>100</v>
      </c>
      <c r="F250" s="96">
        <v>100</v>
      </c>
      <c r="G250" s="96">
        <v>100</v>
      </c>
      <c r="H250" s="96">
        <v>100</v>
      </c>
      <c r="I250" s="96" t="s">
        <v>29</v>
      </c>
      <c r="J250" s="93"/>
      <c r="K250" s="93">
        <v>1603</v>
      </c>
      <c r="L250" s="93">
        <v>95</v>
      </c>
      <c r="M250" s="93">
        <v>100</v>
      </c>
      <c r="N250" s="93">
        <v>100</v>
      </c>
      <c r="O250" s="93">
        <v>100</v>
      </c>
      <c r="P250" s="93">
        <v>100</v>
      </c>
      <c r="Q250" s="93">
        <v>100</v>
      </c>
      <c r="R250" s="93">
        <v>100</v>
      </c>
      <c r="S250" s="93" t="s">
        <v>29</v>
      </c>
      <c r="T250" s="93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CA250" s="12"/>
      <c r="CB250" s="12"/>
    </row>
    <row r="251" spans="1:80" x14ac:dyDescent="0.2">
      <c r="A251" s="96">
        <v>1505</v>
      </c>
      <c r="B251" s="96">
        <v>75</v>
      </c>
      <c r="C251" s="96">
        <v>85</v>
      </c>
      <c r="D251" s="96">
        <v>95</v>
      </c>
      <c r="E251" s="96">
        <v>100</v>
      </c>
      <c r="F251" s="96">
        <v>100</v>
      </c>
      <c r="G251" s="96">
        <v>100</v>
      </c>
      <c r="H251" s="96">
        <v>100</v>
      </c>
      <c r="I251" s="96" t="s">
        <v>29</v>
      </c>
      <c r="J251" s="93"/>
      <c r="K251" s="93">
        <v>1604</v>
      </c>
      <c r="L251" s="93">
        <v>95</v>
      </c>
      <c r="M251" s="93">
        <v>100</v>
      </c>
      <c r="N251" s="93">
        <v>100</v>
      </c>
      <c r="O251" s="93">
        <v>100</v>
      </c>
      <c r="P251" s="93">
        <v>100</v>
      </c>
      <c r="Q251" s="93">
        <v>100</v>
      </c>
      <c r="R251" s="93">
        <v>100</v>
      </c>
      <c r="S251" s="93" t="s">
        <v>29</v>
      </c>
      <c r="T251" s="93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CA251" s="12"/>
      <c r="CB251" s="12"/>
    </row>
    <row r="252" spans="1:80" x14ac:dyDescent="0.2">
      <c r="A252" s="96">
        <v>1506</v>
      </c>
      <c r="B252" s="96">
        <v>75</v>
      </c>
      <c r="C252" s="96">
        <v>85</v>
      </c>
      <c r="D252" s="96">
        <v>95</v>
      </c>
      <c r="E252" s="96">
        <v>100</v>
      </c>
      <c r="F252" s="96">
        <v>100</v>
      </c>
      <c r="G252" s="96">
        <v>100</v>
      </c>
      <c r="H252" s="96">
        <v>100</v>
      </c>
      <c r="I252" s="96" t="s">
        <v>29</v>
      </c>
      <c r="J252" s="93"/>
      <c r="K252" s="93">
        <v>1605</v>
      </c>
      <c r="L252" s="93">
        <v>95</v>
      </c>
      <c r="M252" s="93">
        <v>100</v>
      </c>
      <c r="N252" s="93">
        <v>100</v>
      </c>
      <c r="O252" s="93">
        <v>100</v>
      </c>
      <c r="P252" s="93">
        <v>100</v>
      </c>
      <c r="Q252" s="93">
        <v>100</v>
      </c>
      <c r="R252" s="93">
        <v>100</v>
      </c>
      <c r="S252" s="93" t="s">
        <v>29</v>
      </c>
      <c r="T252" s="93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CA252" s="12"/>
      <c r="CB252" s="12"/>
    </row>
    <row r="253" spans="1:80" x14ac:dyDescent="0.2">
      <c r="A253" s="96">
        <v>1507</v>
      </c>
      <c r="B253" s="96">
        <v>75</v>
      </c>
      <c r="C253" s="96">
        <v>85</v>
      </c>
      <c r="D253" s="96">
        <v>95</v>
      </c>
      <c r="E253" s="96">
        <v>100</v>
      </c>
      <c r="F253" s="96">
        <v>100</v>
      </c>
      <c r="G253" s="96">
        <v>100</v>
      </c>
      <c r="H253" s="96">
        <v>100</v>
      </c>
      <c r="I253" s="96" t="s">
        <v>29</v>
      </c>
      <c r="J253" s="93"/>
      <c r="K253" s="93">
        <v>1606</v>
      </c>
      <c r="L253" s="93">
        <v>95</v>
      </c>
      <c r="M253" s="93">
        <v>100</v>
      </c>
      <c r="N253" s="93">
        <v>100</v>
      </c>
      <c r="O253" s="93">
        <v>100</v>
      </c>
      <c r="P253" s="93">
        <v>100</v>
      </c>
      <c r="Q253" s="93">
        <v>100</v>
      </c>
      <c r="R253" s="93">
        <v>100</v>
      </c>
      <c r="S253" s="93" t="s">
        <v>29</v>
      </c>
      <c r="T253" s="93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CA253" s="12"/>
      <c r="CB253" s="12"/>
    </row>
    <row r="254" spans="1:80" x14ac:dyDescent="0.2">
      <c r="A254" s="96">
        <v>1508</v>
      </c>
      <c r="B254" s="96">
        <v>75</v>
      </c>
      <c r="C254" s="96">
        <v>85</v>
      </c>
      <c r="D254" s="96">
        <v>95</v>
      </c>
      <c r="E254" s="96">
        <v>100</v>
      </c>
      <c r="F254" s="96">
        <v>100</v>
      </c>
      <c r="G254" s="96">
        <v>100</v>
      </c>
      <c r="H254" s="96">
        <v>100</v>
      </c>
      <c r="I254" s="96" t="s">
        <v>29</v>
      </c>
      <c r="J254" s="93"/>
      <c r="K254" s="93">
        <v>1607</v>
      </c>
      <c r="L254" s="93">
        <v>95</v>
      </c>
      <c r="M254" s="93">
        <v>100</v>
      </c>
      <c r="N254" s="93">
        <v>100</v>
      </c>
      <c r="O254" s="93">
        <v>100</v>
      </c>
      <c r="P254" s="93">
        <v>100</v>
      </c>
      <c r="Q254" s="93">
        <v>100</v>
      </c>
      <c r="R254" s="93">
        <v>100</v>
      </c>
      <c r="S254" s="93" t="s">
        <v>29</v>
      </c>
      <c r="T254" s="93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CA254" s="12"/>
      <c r="CB254" s="12"/>
    </row>
    <row r="255" spans="1:80" x14ac:dyDescent="0.2">
      <c r="A255" s="96">
        <v>1509</v>
      </c>
      <c r="B255" s="96">
        <v>75</v>
      </c>
      <c r="C255" s="96">
        <v>85</v>
      </c>
      <c r="D255" s="96">
        <v>95</v>
      </c>
      <c r="E255" s="96">
        <v>100</v>
      </c>
      <c r="F255" s="96">
        <v>100</v>
      </c>
      <c r="G255" s="96">
        <v>100</v>
      </c>
      <c r="H255" s="96">
        <v>100</v>
      </c>
      <c r="I255" s="96" t="s">
        <v>29</v>
      </c>
      <c r="J255" s="93"/>
      <c r="K255" s="93">
        <v>1608</v>
      </c>
      <c r="L255" s="93">
        <v>95</v>
      </c>
      <c r="M255" s="93">
        <v>100</v>
      </c>
      <c r="N255" s="93">
        <v>100</v>
      </c>
      <c r="O255" s="93">
        <v>100</v>
      </c>
      <c r="P255" s="93">
        <v>100</v>
      </c>
      <c r="Q255" s="93">
        <v>100</v>
      </c>
      <c r="R255" s="93">
        <v>100</v>
      </c>
      <c r="S255" s="93" t="s">
        <v>29</v>
      </c>
      <c r="T255" s="93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CA255" s="12"/>
      <c r="CB255" s="12"/>
    </row>
    <row r="256" spans="1:80" x14ac:dyDescent="0.2">
      <c r="A256" s="96">
        <v>1510</v>
      </c>
      <c r="B256" s="96">
        <v>75</v>
      </c>
      <c r="C256" s="96">
        <v>85</v>
      </c>
      <c r="D256" s="96">
        <v>95</v>
      </c>
      <c r="E256" s="96">
        <v>100</v>
      </c>
      <c r="F256" s="96">
        <v>100</v>
      </c>
      <c r="G256" s="96">
        <v>100</v>
      </c>
      <c r="H256" s="96">
        <v>100</v>
      </c>
      <c r="I256" s="96" t="s">
        <v>29</v>
      </c>
      <c r="J256" s="93"/>
      <c r="K256" s="93">
        <v>1609</v>
      </c>
      <c r="L256" s="93">
        <v>95</v>
      </c>
      <c r="M256" s="93">
        <v>100</v>
      </c>
      <c r="N256" s="93">
        <v>100</v>
      </c>
      <c r="O256" s="93">
        <v>100</v>
      </c>
      <c r="P256" s="93">
        <v>100</v>
      </c>
      <c r="Q256" s="93">
        <v>100</v>
      </c>
      <c r="R256" s="93">
        <v>100</v>
      </c>
      <c r="S256" s="93" t="s">
        <v>29</v>
      </c>
      <c r="T256" s="93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CA256" s="12"/>
      <c r="CB256" s="12"/>
    </row>
    <row r="257" spans="1:80" x14ac:dyDescent="0.2">
      <c r="A257" s="96">
        <v>1511</v>
      </c>
      <c r="B257" s="96">
        <v>75</v>
      </c>
      <c r="C257" s="96">
        <v>85</v>
      </c>
      <c r="D257" s="96">
        <v>95</v>
      </c>
      <c r="E257" s="96">
        <v>100</v>
      </c>
      <c r="F257" s="96">
        <v>100</v>
      </c>
      <c r="G257" s="96">
        <v>100</v>
      </c>
      <c r="H257" s="96">
        <v>100</v>
      </c>
      <c r="I257" s="96" t="s">
        <v>29</v>
      </c>
      <c r="J257" s="93"/>
      <c r="K257" s="93">
        <v>1610</v>
      </c>
      <c r="L257" s="93">
        <v>95</v>
      </c>
      <c r="M257" s="93">
        <v>100</v>
      </c>
      <c r="N257" s="93">
        <v>100</v>
      </c>
      <c r="O257" s="93">
        <v>100</v>
      </c>
      <c r="P257" s="93">
        <v>100</v>
      </c>
      <c r="Q257" s="93">
        <v>100</v>
      </c>
      <c r="R257" s="93">
        <v>100</v>
      </c>
      <c r="S257" s="93" t="s">
        <v>29</v>
      </c>
      <c r="T257" s="93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CA257" s="12"/>
      <c r="CB257" s="12"/>
    </row>
    <row r="258" spans="1:80" x14ac:dyDescent="0.2">
      <c r="A258" s="96">
        <v>1512</v>
      </c>
      <c r="B258" s="96">
        <v>75</v>
      </c>
      <c r="C258" s="96">
        <v>85</v>
      </c>
      <c r="D258" s="96">
        <v>95</v>
      </c>
      <c r="E258" s="96">
        <v>100</v>
      </c>
      <c r="F258" s="96">
        <v>100</v>
      </c>
      <c r="G258" s="96">
        <v>100</v>
      </c>
      <c r="H258" s="96">
        <v>100</v>
      </c>
      <c r="I258" s="96" t="s">
        <v>29</v>
      </c>
      <c r="J258" s="93"/>
      <c r="K258" s="93">
        <v>1611</v>
      </c>
      <c r="L258" s="93">
        <v>95</v>
      </c>
      <c r="M258" s="93">
        <v>100</v>
      </c>
      <c r="N258" s="93">
        <v>100</v>
      </c>
      <c r="O258" s="93">
        <v>100</v>
      </c>
      <c r="P258" s="93">
        <v>100</v>
      </c>
      <c r="Q258" s="93">
        <v>100</v>
      </c>
      <c r="R258" s="93">
        <v>100</v>
      </c>
      <c r="S258" s="93" t="s">
        <v>29</v>
      </c>
      <c r="T258" s="93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CA258" s="12"/>
      <c r="CB258" s="12"/>
    </row>
    <row r="259" spans="1:80" x14ac:dyDescent="0.2">
      <c r="A259" s="96">
        <v>1513</v>
      </c>
      <c r="B259" s="96">
        <v>75</v>
      </c>
      <c r="C259" s="96">
        <v>85</v>
      </c>
      <c r="D259" s="96">
        <v>95</v>
      </c>
      <c r="E259" s="96">
        <v>100</v>
      </c>
      <c r="F259" s="96">
        <v>100</v>
      </c>
      <c r="G259" s="96">
        <v>100</v>
      </c>
      <c r="H259" s="96">
        <v>100</v>
      </c>
      <c r="I259" s="96" t="s">
        <v>29</v>
      </c>
      <c r="J259" s="93"/>
      <c r="K259" s="93">
        <v>1612</v>
      </c>
      <c r="L259" s="93">
        <v>95</v>
      </c>
      <c r="M259" s="93">
        <v>100</v>
      </c>
      <c r="N259" s="93">
        <v>100</v>
      </c>
      <c r="O259" s="93">
        <v>100</v>
      </c>
      <c r="P259" s="93">
        <v>100</v>
      </c>
      <c r="Q259" s="93">
        <v>100</v>
      </c>
      <c r="R259" s="93">
        <v>100</v>
      </c>
      <c r="S259" s="93" t="s">
        <v>29</v>
      </c>
      <c r="T259" s="93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CA259" s="12"/>
      <c r="CB259" s="12"/>
    </row>
    <row r="260" spans="1:80" x14ac:dyDescent="0.2">
      <c r="A260" s="96">
        <v>1514</v>
      </c>
      <c r="B260" s="96">
        <v>75</v>
      </c>
      <c r="C260" s="96">
        <v>85</v>
      </c>
      <c r="D260" s="96">
        <v>95</v>
      </c>
      <c r="E260" s="96">
        <v>100</v>
      </c>
      <c r="F260" s="96">
        <v>100</v>
      </c>
      <c r="G260" s="96">
        <v>100</v>
      </c>
      <c r="H260" s="96">
        <v>100</v>
      </c>
      <c r="I260" s="96" t="s">
        <v>29</v>
      </c>
      <c r="J260" s="93"/>
      <c r="K260" s="93">
        <v>1613</v>
      </c>
      <c r="L260" s="93">
        <v>95</v>
      </c>
      <c r="M260" s="93">
        <v>100</v>
      </c>
      <c r="N260" s="93">
        <v>100</v>
      </c>
      <c r="O260" s="93">
        <v>100</v>
      </c>
      <c r="P260" s="93">
        <v>100</v>
      </c>
      <c r="Q260" s="93">
        <v>100</v>
      </c>
      <c r="R260" s="93">
        <v>100</v>
      </c>
      <c r="S260" s="93" t="s">
        <v>29</v>
      </c>
      <c r="T260" s="93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CA260" s="12"/>
      <c r="CB260" s="12"/>
    </row>
    <row r="261" spans="1:80" x14ac:dyDescent="0.2">
      <c r="A261" s="96">
        <v>1515</v>
      </c>
      <c r="B261" s="96">
        <v>75</v>
      </c>
      <c r="C261" s="96">
        <v>85</v>
      </c>
      <c r="D261" s="96">
        <v>95</v>
      </c>
      <c r="E261" s="96">
        <v>100</v>
      </c>
      <c r="F261" s="96">
        <v>100</v>
      </c>
      <c r="G261" s="96">
        <v>100</v>
      </c>
      <c r="H261" s="96">
        <v>100</v>
      </c>
      <c r="I261" s="96" t="s">
        <v>29</v>
      </c>
      <c r="J261" s="93"/>
      <c r="K261" s="93">
        <v>1614</v>
      </c>
      <c r="L261" s="93">
        <v>95</v>
      </c>
      <c r="M261" s="93">
        <v>100</v>
      </c>
      <c r="N261" s="93">
        <v>100</v>
      </c>
      <c r="O261" s="93">
        <v>100</v>
      </c>
      <c r="P261" s="93">
        <v>100</v>
      </c>
      <c r="Q261" s="93">
        <v>100</v>
      </c>
      <c r="R261" s="93">
        <v>100</v>
      </c>
      <c r="S261" s="93" t="s">
        <v>29</v>
      </c>
      <c r="T261" s="93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CA261" s="12"/>
      <c r="CB261" s="12"/>
    </row>
    <row r="262" spans="1:80" x14ac:dyDescent="0.2">
      <c r="A262" s="96">
        <v>1516</v>
      </c>
      <c r="B262" s="96">
        <v>75</v>
      </c>
      <c r="C262" s="96">
        <v>85</v>
      </c>
      <c r="D262" s="96">
        <v>95</v>
      </c>
      <c r="E262" s="96">
        <v>100</v>
      </c>
      <c r="F262" s="96">
        <v>100</v>
      </c>
      <c r="G262" s="96">
        <v>100</v>
      </c>
      <c r="H262" s="96">
        <v>100</v>
      </c>
      <c r="I262" s="96" t="s">
        <v>29</v>
      </c>
      <c r="J262" s="93"/>
      <c r="K262" s="93">
        <v>1615</v>
      </c>
      <c r="L262" s="93">
        <v>95</v>
      </c>
      <c r="M262" s="93">
        <v>100</v>
      </c>
      <c r="N262" s="93">
        <v>100</v>
      </c>
      <c r="O262" s="93">
        <v>100</v>
      </c>
      <c r="P262" s="93">
        <v>100</v>
      </c>
      <c r="Q262" s="93">
        <v>100</v>
      </c>
      <c r="R262" s="93">
        <v>100</v>
      </c>
      <c r="S262" s="93" t="s">
        <v>29</v>
      </c>
      <c r="T262" s="93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CA262" s="12"/>
      <c r="CB262" s="12"/>
    </row>
    <row r="263" spans="1:80" x14ac:dyDescent="0.2">
      <c r="A263" s="96">
        <v>1517</v>
      </c>
      <c r="B263" s="96">
        <v>75</v>
      </c>
      <c r="C263" s="96">
        <v>85</v>
      </c>
      <c r="D263" s="96">
        <v>95</v>
      </c>
      <c r="E263" s="96">
        <v>100</v>
      </c>
      <c r="F263" s="96">
        <v>100</v>
      </c>
      <c r="G263" s="96">
        <v>100</v>
      </c>
      <c r="H263" s="96">
        <v>100</v>
      </c>
      <c r="I263" s="96" t="s">
        <v>29</v>
      </c>
      <c r="J263" s="93"/>
      <c r="K263" s="93">
        <v>1616</v>
      </c>
      <c r="L263" s="93">
        <v>95</v>
      </c>
      <c r="M263" s="93">
        <v>100</v>
      </c>
      <c r="N263" s="93">
        <v>100</v>
      </c>
      <c r="O263" s="93">
        <v>100</v>
      </c>
      <c r="P263" s="93">
        <v>100</v>
      </c>
      <c r="Q263" s="93">
        <v>100</v>
      </c>
      <c r="R263" s="93">
        <v>100</v>
      </c>
      <c r="S263" s="93" t="s">
        <v>29</v>
      </c>
      <c r="T263" s="93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CA263" s="12"/>
      <c r="CB263" s="12"/>
    </row>
    <row r="264" spans="1:80" x14ac:dyDescent="0.2">
      <c r="A264" s="96">
        <v>1518</v>
      </c>
      <c r="B264" s="96">
        <v>75</v>
      </c>
      <c r="C264" s="96">
        <v>85</v>
      </c>
      <c r="D264" s="96">
        <v>95</v>
      </c>
      <c r="E264" s="96">
        <v>100</v>
      </c>
      <c r="F264" s="96">
        <v>100</v>
      </c>
      <c r="G264" s="96">
        <v>100</v>
      </c>
      <c r="H264" s="96">
        <v>100</v>
      </c>
      <c r="I264" s="96" t="s">
        <v>29</v>
      </c>
      <c r="J264" s="93"/>
      <c r="K264" s="93">
        <v>1617</v>
      </c>
      <c r="L264" s="93">
        <v>95</v>
      </c>
      <c r="M264" s="93">
        <v>100</v>
      </c>
      <c r="N264" s="93">
        <v>100</v>
      </c>
      <c r="O264" s="93">
        <v>100</v>
      </c>
      <c r="P264" s="93">
        <v>100</v>
      </c>
      <c r="Q264" s="93">
        <v>100</v>
      </c>
      <c r="R264" s="93">
        <v>100</v>
      </c>
      <c r="S264" s="93" t="s">
        <v>29</v>
      </c>
      <c r="T264" s="93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CA264" s="12"/>
      <c r="CB264" s="12"/>
    </row>
    <row r="265" spans="1:80" x14ac:dyDescent="0.2">
      <c r="A265" s="96">
        <v>1519</v>
      </c>
      <c r="B265" s="96">
        <v>75</v>
      </c>
      <c r="C265" s="96">
        <v>85</v>
      </c>
      <c r="D265" s="96">
        <v>95</v>
      </c>
      <c r="E265" s="96">
        <v>100</v>
      </c>
      <c r="F265" s="96">
        <v>100</v>
      </c>
      <c r="G265" s="96">
        <v>100</v>
      </c>
      <c r="H265" s="96">
        <v>100</v>
      </c>
      <c r="I265" s="96" t="s">
        <v>29</v>
      </c>
      <c r="J265" s="93"/>
      <c r="K265" s="93">
        <v>1618</v>
      </c>
      <c r="L265" s="93">
        <v>95</v>
      </c>
      <c r="M265" s="93">
        <v>100</v>
      </c>
      <c r="N265" s="93">
        <v>100</v>
      </c>
      <c r="O265" s="93">
        <v>100</v>
      </c>
      <c r="P265" s="93">
        <v>100</v>
      </c>
      <c r="Q265" s="93">
        <v>100</v>
      </c>
      <c r="R265" s="93">
        <v>100</v>
      </c>
      <c r="S265" s="93" t="s">
        <v>29</v>
      </c>
      <c r="T265" s="93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CA265" s="12"/>
      <c r="CB265" s="12"/>
    </row>
    <row r="266" spans="1:80" x14ac:dyDescent="0.2">
      <c r="A266" s="96">
        <v>1520</v>
      </c>
      <c r="B266" s="96">
        <v>75</v>
      </c>
      <c r="C266" s="96">
        <v>85</v>
      </c>
      <c r="D266" s="96">
        <v>95</v>
      </c>
      <c r="E266" s="96">
        <v>100</v>
      </c>
      <c r="F266" s="96">
        <v>100</v>
      </c>
      <c r="G266" s="96">
        <v>100</v>
      </c>
      <c r="H266" s="96">
        <v>100</v>
      </c>
      <c r="I266" s="96" t="s">
        <v>29</v>
      </c>
      <c r="J266" s="93"/>
      <c r="K266" s="93">
        <v>1619</v>
      </c>
      <c r="L266" s="93">
        <v>95</v>
      </c>
      <c r="M266" s="93">
        <v>100</v>
      </c>
      <c r="N266" s="93">
        <v>100</v>
      </c>
      <c r="O266" s="93">
        <v>100</v>
      </c>
      <c r="P266" s="93">
        <v>100</v>
      </c>
      <c r="Q266" s="93">
        <v>100</v>
      </c>
      <c r="R266" s="93">
        <v>100</v>
      </c>
      <c r="S266" s="93" t="s">
        <v>29</v>
      </c>
      <c r="T266" s="93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CA266" s="12"/>
      <c r="CB266" s="12"/>
    </row>
    <row r="267" spans="1:80" x14ac:dyDescent="0.2">
      <c r="A267" s="96">
        <v>1521</v>
      </c>
      <c r="B267" s="96">
        <v>70</v>
      </c>
      <c r="C267" s="96">
        <v>80</v>
      </c>
      <c r="D267" s="96">
        <v>90</v>
      </c>
      <c r="E267" s="96">
        <v>100</v>
      </c>
      <c r="F267" s="96">
        <v>100</v>
      </c>
      <c r="G267" s="96">
        <v>100</v>
      </c>
      <c r="H267" s="96">
        <v>100</v>
      </c>
      <c r="I267" s="96" t="s">
        <v>29</v>
      </c>
      <c r="J267" s="93"/>
      <c r="K267" s="93">
        <v>1620</v>
      </c>
      <c r="L267" s="93">
        <v>95</v>
      </c>
      <c r="M267" s="93">
        <v>100</v>
      </c>
      <c r="N267" s="93">
        <v>100</v>
      </c>
      <c r="O267" s="93">
        <v>100</v>
      </c>
      <c r="P267" s="93">
        <v>100</v>
      </c>
      <c r="Q267" s="93">
        <v>100</v>
      </c>
      <c r="R267" s="93">
        <v>100</v>
      </c>
      <c r="S267" s="93" t="s">
        <v>29</v>
      </c>
      <c r="T267" s="93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CA267" s="12"/>
      <c r="CB267" s="12"/>
    </row>
    <row r="268" spans="1:80" x14ac:dyDescent="0.2">
      <c r="A268" s="96">
        <v>1522</v>
      </c>
      <c r="B268" s="96">
        <v>70</v>
      </c>
      <c r="C268" s="96">
        <v>80</v>
      </c>
      <c r="D268" s="96">
        <v>90</v>
      </c>
      <c r="E268" s="96">
        <v>100</v>
      </c>
      <c r="F268" s="96">
        <v>100</v>
      </c>
      <c r="G268" s="96">
        <v>100</v>
      </c>
      <c r="H268" s="96">
        <v>100</v>
      </c>
      <c r="I268" s="96" t="s">
        <v>29</v>
      </c>
      <c r="J268" s="93"/>
      <c r="K268" s="93">
        <v>1621</v>
      </c>
      <c r="L268" s="93">
        <v>90</v>
      </c>
      <c r="M268" s="93">
        <v>100</v>
      </c>
      <c r="N268" s="93">
        <v>100</v>
      </c>
      <c r="O268" s="93">
        <v>100</v>
      </c>
      <c r="P268" s="93">
        <v>100</v>
      </c>
      <c r="Q268" s="93">
        <v>100</v>
      </c>
      <c r="R268" s="93">
        <v>100</v>
      </c>
      <c r="S268" s="93" t="s">
        <v>29</v>
      </c>
      <c r="T268" s="93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CA268" s="12"/>
      <c r="CB268" s="12"/>
    </row>
    <row r="269" spans="1:80" x14ac:dyDescent="0.2">
      <c r="A269" s="96">
        <v>1523</v>
      </c>
      <c r="B269" s="96">
        <v>70</v>
      </c>
      <c r="C269" s="96">
        <v>80</v>
      </c>
      <c r="D269" s="96">
        <v>90</v>
      </c>
      <c r="E269" s="96">
        <v>100</v>
      </c>
      <c r="F269" s="96">
        <v>100</v>
      </c>
      <c r="G269" s="96">
        <v>100</v>
      </c>
      <c r="H269" s="96">
        <v>100</v>
      </c>
      <c r="I269" s="96" t="s">
        <v>29</v>
      </c>
      <c r="J269" s="93"/>
      <c r="K269" s="93">
        <v>1622</v>
      </c>
      <c r="L269" s="93">
        <v>90</v>
      </c>
      <c r="M269" s="93">
        <v>100</v>
      </c>
      <c r="N269" s="93">
        <v>100</v>
      </c>
      <c r="O269" s="93">
        <v>100</v>
      </c>
      <c r="P269" s="93">
        <v>100</v>
      </c>
      <c r="Q269" s="93">
        <v>100</v>
      </c>
      <c r="R269" s="93">
        <v>100</v>
      </c>
      <c r="S269" s="93" t="s">
        <v>29</v>
      </c>
      <c r="T269" s="93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CA269" s="12"/>
      <c r="CB269" s="12"/>
    </row>
    <row r="270" spans="1:80" x14ac:dyDescent="0.2">
      <c r="A270" s="96">
        <v>1524</v>
      </c>
      <c r="B270" s="96">
        <v>70</v>
      </c>
      <c r="C270" s="96">
        <v>80</v>
      </c>
      <c r="D270" s="96">
        <v>90</v>
      </c>
      <c r="E270" s="96">
        <v>100</v>
      </c>
      <c r="F270" s="96">
        <v>100</v>
      </c>
      <c r="G270" s="96">
        <v>100</v>
      </c>
      <c r="H270" s="96">
        <v>100</v>
      </c>
      <c r="I270" s="96" t="s">
        <v>29</v>
      </c>
      <c r="J270" s="93"/>
      <c r="K270" s="93">
        <v>1623</v>
      </c>
      <c r="L270" s="93">
        <v>90</v>
      </c>
      <c r="M270" s="93">
        <v>100</v>
      </c>
      <c r="N270" s="93">
        <v>100</v>
      </c>
      <c r="O270" s="93">
        <v>100</v>
      </c>
      <c r="P270" s="93">
        <v>100</v>
      </c>
      <c r="Q270" s="93">
        <v>100</v>
      </c>
      <c r="R270" s="93">
        <v>100</v>
      </c>
      <c r="S270" s="93" t="s">
        <v>29</v>
      </c>
      <c r="T270" s="93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CA270" s="12"/>
      <c r="CB270" s="12"/>
    </row>
    <row r="271" spans="1:80" x14ac:dyDescent="0.2">
      <c r="A271" s="96">
        <v>1525</v>
      </c>
      <c r="B271" s="96">
        <v>70</v>
      </c>
      <c r="C271" s="96">
        <v>80</v>
      </c>
      <c r="D271" s="96">
        <v>90</v>
      </c>
      <c r="E271" s="96">
        <v>100</v>
      </c>
      <c r="F271" s="96">
        <v>100</v>
      </c>
      <c r="G271" s="96">
        <v>100</v>
      </c>
      <c r="H271" s="96">
        <v>100</v>
      </c>
      <c r="I271" s="96" t="s">
        <v>29</v>
      </c>
      <c r="J271" s="93"/>
      <c r="K271" s="93">
        <v>1624</v>
      </c>
      <c r="L271" s="93">
        <v>90</v>
      </c>
      <c r="M271" s="93">
        <v>100</v>
      </c>
      <c r="N271" s="93">
        <v>100</v>
      </c>
      <c r="O271" s="93">
        <v>100</v>
      </c>
      <c r="P271" s="93">
        <v>100</v>
      </c>
      <c r="Q271" s="93">
        <v>100</v>
      </c>
      <c r="R271" s="93">
        <v>100</v>
      </c>
      <c r="S271" s="93" t="s">
        <v>29</v>
      </c>
      <c r="T271" s="93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CA271" s="12"/>
      <c r="CB271" s="12"/>
    </row>
    <row r="272" spans="1:80" x14ac:dyDescent="0.2">
      <c r="A272" s="96">
        <v>1526</v>
      </c>
      <c r="B272" s="96">
        <v>70</v>
      </c>
      <c r="C272" s="96">
        <v>80</v>
      </c>
      <c r="D272" s="96">
        <v>90</v>
      </c>
      <c r="E272" s="96">
        <v>100</v>
      </c>
      <c r="F272" s="96">
        <v>100</v>
      </c>
      <c r="G272" s="96">
        <v>100</v>
      </c>
      <c r="H272" s="96">
        <v>100</v>
      </c>
      <c r="I272" s="96" t="s">
        <v>29</v>
      </c>
      <c r="J272" s="93"/>
      <c r="K272" s="93">
        <v>1625</v>
      </c>
      <c r="L272" s="93">
        <v>90</v>
      </c>
      <c r="M272" s="93">
        <v>100</v>
      </c>
      <c r="N272" s="93">
        <v>100</v>
      </c>
      <c r="O272" s="93">
        <v>100</v>
      </c>
      <c r="P272" s="93">
        <v>100</v>
      </c>
      <c r="Q272" s="93">
        <v>100</v>
      </c>
      <c r="R272" s="93">
        <v>100</v>
      </c>
      <c r="S272" s="93" t="s">
        <v>29</v>
      </c>
      <c r="T272" s="93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CA272" s="12"/>
      <c r="CB272" s="12"/>
    </row>
    <row r="273" spans="1:80" x14ac:dyDescent="0.2">
      <c r="A273" s="96">
        <v>1527</v>
      </c>
      <c r="B273" s="96">
        <v>70</v>
      </c>
      <c r="C273" s="96">
        <v>80</v>
      </c>
      <c r="D273" s="96">
        <v>90</v>
      </c>
      <c r="E273" s="96">
        <v>100</v>
      </c>
      <c r="F273" s="96">
        <v>100</v>
      </c>
      <c r="G273" s="96">
        <v>100</v>
      </c>
      <c r="H273" s="96">
        <v>100</v>
      </c>
      <c r="I273" s="96" t="s">
        <v>29</v>
      </c>
      <c r="J273" s="93"/>
      <c r="K273" s="93">
        <v>1626</v>
      </c>
      <c r="L273" s="93">
        <v>90</v>
      </c>
      <c r="M273" s="93">
        <v>100</v>
      </c>
      <c r="N273" s="93">
        <v>100</v>
      </c>
      <c r="O273" s="93">
        <v>100</v>
      </c>
      <c r="P273" s="93">
        <v>100</v>
      </c>
      <c r="Q273" s="93">
        <v>100</v>
      </c>
      <c r="R273" s="93">
        <v>100</v>
      </c>
      <c r="S273" s="93" t="s">
        <v>29</v>
      </c>
      <c r="T273" s="93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CA273" s="12"/>
      <c r="CB273" s="12"/>
    </row>
    <row r="274" spans="1:80" x14ac:dyDescent="0.2">
      <c r="A274" s="96">
        <v>1528</v>
      </c>
      <c r="B274" s="96">
        <v>70</v>
      </c>
      <c r="C274" s="96">
        <v>80</v>
      </c>
      <c r="D274" s="96">
        <v>90</v>
      </c>
      <c r="E274" s="96">
        <v>100</v>
      </c>
      <c r="F274" s="96">
        <v>100</v>
      </c>
      <c r="G274" s="96">
        <v>100</v>
      </c>
      <c r="H274" s="96">
        <v>100</v>
      </c>
      <c r="I274" s="96" t="s">
        <v>29</v>
      </c>
      <c r="J274" s="93"/>
      <c r="K274" s="93">
        <v>1627</v>
      </c>
      <c r="L274" s="93">
        <v>90</v>
      </c>
      <c r="M274" s="93">
        <v>100</v>
      </c>
      <c r="N274" s="93">
        <v>100</v>
      </c>
      <c r="O274" s="93">
        <v>100</v>
      </c>
      <c r="P274" s="93">
        <v>100</v>
      </c>
      <c r="Q274" s="93">
        <v>100</v>
      </c>
      <c r="R274" s="93">
        <v>100</v>
      </c>
      <c r="S274" s="93" t="s">
        <v>29</v>
      </c>
      <c r="T274" s="93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CA274" s="12"/>
      <c r="CB274" s="12"/>
    </row>
    <row r="275" spans="1:80" x14ac:dyDescent="0.2">
      <c r="A275" s="96">
        <v>1529</v>
      </c>
      <c r="B275" s="96">
        <v>70</v>
      </c>
      <c r="C275" s="96">
        <v>80</v>
      </c>
      <c r="D275" s="96">
        <v>90</v>
      </c>
      <c r="E275" s="96">
        <v>100</v>
      </c>
      <c r="F275" s="96">
        <v>100</v>
      </c>
      <c r="G275" s="96">
        <v>100</v>
      </c>
      <c r="H275" s="96">
        <v>100</v>
      </c>
      <c r="I275" s="96" t="s">
        <v>29</v>
      </c>
      <c r="J275" s="93"/>
      <c r="K275" s="93">
        <v>1628</v>
      </c>
      <c r="L275" s="93">
        <v>90</v>
      </c>
      <c r="M275" s="93">
        <v>100</v>
      </c>
      <c r="N275" s="93">
        <v>100</v>
      </c>
      <c r="O275" s="93">
        <v>100</v>
      </c>
      <c r="P275" s="93">
        <v>100</v>
      </c>
      <c r="Q275" s="93">
        <v>100</v>
      </c>
      <c r="R275" s="93">
        <v>100</v>
      </c>
      <c r="S275" s="93" t="s">
        <v>29</v>
      </c>
      <c r="T275" s="93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CA275" s="12"/>
      <c r="CB275" s="12"/>
    </row>
    <row r="276" spans="1:80" x14ac:dyDescent="0.2">
      <c r="A276" s="96">
        <v>1530</v>
      </c>
      <c r="B276" s="96">
        <v>70</v>
      </c>
      <c r="C276" s="96">
        <v>80</v>
      </c>
      <c r="D276" s="96">
        <v>90</v>
      </c>
      <c r="E276" s="96">
        <v>100</v>
      </c>
      <c r="F276" s="96">
        <v>100</v>
      </c>
      <c r="G276" s="96">
        <v>100</v>
      </c>
      <c r="H276" s="96">
        <v>100</v>
      </c>
      <c r="I276" s="96" t="s">
        <v>29</v>
      </c>
      <c r="J276" s="93"/>
      <c r="K276" s="93">
        <v>1629</v>
      </c>
      <c r="L276" s="93">
        <v>90</v>
      </c>
      <c r="M276" s="93">
        <v>100</v>
      </c>
      <c r="N276" s="93">
        <v>100</v>
      </c>
      <c r="O276" s="93">
        <v>100</v>
      </c>
      <c r="P276" s="93">
        <v>100</v>
      </c>
      <c r="Q276" s="93">
        <v>100</v>
      </c>
      <c r="R276" s="93">
        <v>100</v>
      </c>
      <c r="S276" s="93" t="s">
        <v>29</v>
      </c>
      <c r="T276" s="93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CA276" s="12"/>
      <c r="CB276" s="12"/>
    </row>
    <row r="277" spans="1:80" x14ac:dyDescent="0.2">
      <c r="A277" s="96">
        <v>1531</v>
      </c>
      <c r="B277" s="96">
        <v>70</v>
      </c>
      <c r="C277" s="96">
        <v>80</v>
      </c>
      <c r="D277" s="96">
        <v>90</v>
      </c>
      <c r="E277" s="96">
        <v>100</v>
      </c>
      <c r="F277" s="96">
        <v>100</v>
      </c>
      <c r="G277" s="96">
        <v>100</v>
      </c>
      <c r="H277" s="96">
        <v>100</v>
      </c>
      <c r="I277" s="96" t="s">
        <v>29</v>
      </c>
      <c r="J277" s="93"/>
      <c r="K277" s="93">
        <v>1630</v>
      </c>
      <c r="L277" s="93">
        <v>90</v>
      </c>
      <c r="M277" s="93">
        <v>100</v>
      </c>
      <c r="N277" s="93">
        <v>100</v>
      </c>
      <c r="O277" s="93">
        <v>100</v>
      </c>
      <c r="P277" s="93">
        <v>100</v>
      </c>
      <c r="Q277" s="93">
        <v>100</v>
      </c>
      <c r="R277" s="93">
        <v>100</v>
      </c>
      <c r="S277" s="93" t="s">
        <v>29</v>
      </c>
      <c r="T277" s="93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CA277" s="12"/>
      <c r="CB277" s="12"/>
    </row>
    <row r="278" spans="1:80" x14ac:dyDescent="0.2">
      <c r="A278" s="96">
        <v>1532</v>
      </c>
      <c r="B278" s="96">
        <v>70</v>
      </c>
      <c r="C278" s="96">
        <v>80</v>
      </c>
      <c r="D278" s="96">
        <v>90</v>
      </c>
      <c r="E278" s="96">
        <v>100</v>
      </c>
      <c r="F278" s="96">
        <v>100</v>
      </c>
      <c r="G278" s="96">
        <v>100</v>
      </c>
      <c r="H278" s="96">
        <v>100</v>
      </c>
      <c r="I278" s="96" t="s">
        <v>29</v>
      </c>
      <c r="J278" s="93"/>
      <c r="K278" s="93">
        <v>1631</v>
      </c>
      <c r="L278" s="93">
        <v>90</v>
      </c>
      <c r="M278" s="93">
        <v>100</v>
      </c>
      <c r="N278" s="93">
        <v>100</v>
      </c>
      <c r="O278" s="93">
        <v>100</v>
      </c>
      <c r="P278" s="93">
        <v>100</v>
      </c>
      <c r="Q278" s="93">
        <v>100</v>
      </c>
      <c r="R278" s="93">
        <v>100</v>
      </c>
      <c r="S278" s="93" t="s">
        <v>29</v>
      </c>
      <c r="T278" s="93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CA278" s="12"/>
      <c r="CB278" s="12"/>
    </row>
    <row r="279" spans="1:80" x14ac:dyDescent="0.2">
      <c r="A279" s="96">
        <v>1533</v>
      </c>
      <c r="B279" s="96">
        <v>70</v>
      </c>
      <c r="C279" s="96">
        <v>80</v>
      </c>
      <c r="D279" s="96">
        <v>90</v>
      </c>
      <c r="E279" s="96">
        <v>100</v>
      </c>
      <c r="F279" s="96">
        <v>100</v>
      </c>
      <c r="G279" s="96">
        <v>100</v>
      </c>
      <c r="H279" s="96">
        <v>100</v>
      </c>
      <c r="I279" s="96" t="s">
        <v>29</v>
      </c>
      <c r="J279" s="93"/>
      <c r="K279" s="93">
        <v>1632</v>
      </c>
      <c r="L279" s="93">
        <v>90</v>
      </c>
      <c r="M279" s="93">
        <v>100</v>
      </c>
      <c r="N279" s="93">
        <v>100</v>
      </c>
      <c r="O279" s="93">
        <v>100</v>
      </c>
      <c r="P279" s="93">
        <v>100</v>
      </c>
      <c r="Q279" s="93">
        <v>100</v>
      </c>
      <c r="R279" s="93">
        <v>100</v>
      </c>
      <c r="S279" s="93" t="s">
        <v>29</v>
      </c>
      <c r="T279" s="93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CA279" s="12"/>
      <c r="CB279" s="12"/>
    </row>
    <row r="280" spans="1:80" x14ac:dyDescent="0.2">
      <c r="A280" s="96">
        <v>1534</v>
      </c>
      <c r="B280" s="96">
        <v>70</v>
      </c>
      <c r="C280" s="96">
        <v>80</v>
      </c>
      <c r="D280" s="96">
        <v>90</v>
      </c>
      <c r="E280" s="96">
        <v>100</v>
      </c>
      <c r="F280" s="96">
        <v>100</v>
      </c>
      <c r="G280" s="96">
        <v>100</v>
      </c>
      <c r="H280" s="96">
        <v>100</v>
      </c>
      <c r="I280" s="96" t="s">
        <v>29</v>
      </c>
      <c r="J280" s="93"/>
      <c r="K280" s="93">
        <v>1633</v>
      </c>
      <c r="L280" s="93">
        <v>90</v>
      </c>
      <c r="M280" s="93">
        <v>100</v>
      </c>
      <c r="N280" s="93">
        <v>100</v>
      </c>
      <c r="O280" s="93">
        <v>100</v>
      </c>
      <c r="P280" s="93">
        <v>100</v>
      </c>
      <c r="Q280" s="93">
        <v>100</v>
      </c>
      <c r="R280" s="93">
        <v>100</v>
      </c>
      <c r="S280" s="93" t="s">
        <v>29</v>
      </c>
      <c r="T280" s="93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CA280" s="12"/>
      <c r="CB280" s="12"/>
    </row>
    <row r="281" spans="1:80" x14ac:dyDescent="0.2">
      <c r="A281" s="96">
        <v>1535</v>
      </c>
      <c r="B281" s="96">
        <v>70</v>
      </c>
      <c r="C281" s="96">
        <v>80</v>
      </c>
      <c r="D281" s="96">
        <v>90</v>
      </c>
      <c r="E281" s="96">
        <v>100</v>
      </c>
      <c r="F281" s="96">
        <v>100</v>
      </c>
      <c r="G281" s="96">
        <v>100</v>
      </c>
      <c r="H281" s="96">
        <v>100</v>
      </c>
      <c r="I281" s="96" t="s">
        <v>29</v>
      </c>
      <c r="J281" s="93"/>
      <c r="K281" s="93">
        <v>1634</v>
      </c>
      <c r="L281" s="93">
        <v>90</v>
      </c>
      <c r="M281" s="93">
        <v>100</v>
      </c>
      <c r="N281" s="93">
        <v>100</v>
      </c>
      <c r="O281" s="93">
        <v>100</v>
      </c>
      <c r="P281" s="93">
        <v>100</v>
      </c>
      <c r="Q281" s="93">
        <v>100</v>
      </c>
      <c r="R281" s="93">
        <v>100</v>
      </c>
      <c r="S281" s="93" t="s">
        <v>29</v>
      </c>
      <c r="T281" s="93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CA281" s="12"/>
      <c r="CB281" s="12"/>
    </row>
    <row r="282" spans="1:80" x14ac:dyDescent="0.2">
      <c r="A282" s="96">
        <v>1536</v>
      </c>
      <c r="B282" s="96">
        <v>70</v>
      </c>
      <c r="C282" s="96">
        <v>80</v>
      </c>
      <c r="D282" s="96">
        <v>90</v>
      </c>
      <c r="E282" s="96">
        <v>100</v>
      </c>
      <c r="F282" s="96">
        <v>100</v>
      </c>
      <c r="G282" s="96">
        <v>100</v>
      </c>
      <c r="H282" s="96">
        <v>100</v>
      </c>
      <c r="I282" s="96" t="s">
        <v>29</v>
      </c>
      <c r="J282" s="93"/>
      <c r="K282" s="93">
        <v>1635</v>
      </c>
      <c r="L282" s="93">
        <v>90</v>
      </c>
      <c r="M282" s="93">
        <v>100</v>
      </c>
      <c r="N282" s="93">
        <v>100</v>
      </c>
      <c r="O282" s="93">
        <v>100</v>
      </c>
      <c r="P282" s="93">
        <v>100</v>
      </c>
      <c r="Q282" s="93">
        <v>100</v>
      </c>
      <c r="R282" s="93">
        <v>100</v>
      </c>
      <c r="S282" s="93" t="s">
        <v>29</v>
      </c>
      <c r="T282" s="93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CA282" s="12"/>
      <c r="CB282" s="12"/>
    </row>
    <row r="283" spans="1:80" x14ac:dyDescent="0.2">
      <c r="A283" s="96">
        <v>1537</v>
      </c>
      <c r="B283" s="96">
        <v>70</v>
      </c>
      <c r="C283" s="96">
        <v>80</v>
      </c>
      <c r="D283" s="96">
        <v>90</v>
      </c>
      <c r="E283" s="96">
        <v>100</v>
      </c>
      <c r="F283" s="96">
        <v>100</v>
      </c>
      <c r="G283" s="96">
        <v>100</v>
      </c>
      <c r="H283" s="96">
        <v>100</v>
      </c>
      <c r="I283" s="96" t="s">
        <v>29</v>
      </c>
      <c r="J283" s="93"/>
      <c r="K283" s="93">
        <v>1636</v>
      </c>
      <c r="L283" s="93">
        <v>90</v>
      </c>
      <c r="M283" s="93">
        <v>100</v>
      </c>
      <c r="N283" s="93">
        <v>100</v>
      </c>
      <c r="O283" s="93">
        <v>100</v>
      </c>
      <c r="P283" s="93">
        <v>100</v>
      </c>
      <c r="Q283" s="93">
        <v>100</v>
      </c>
      <c r="R283" s="93">
        <v>100</v>
      </c>
      <c r="S283" s="93" t="s">
        <v>29</v>
      </c>
      <c r="T283" s="93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CA283" s="12"/>
      <c r="CB283" s="12"/>
    </row>
    <row r="284" spans="1:80" x14ac:dyDescent="0.2">
      <c r="A284" s="96">
        <v>1538</v>
      </c>
      <c r="B284" s="96">
        <v>70</v>
      </c>
      <c r="C284" s="96">
        <v>80</v>
      </c>
      <c r="D284" s="96">
        <v>90</v>
      </c>
      <c r="E284" s="96">
        <v>100</v>
      </c>
      <c r="F284" s="96">
        <v>100</v>
      </c>
      <c r="G284" s="96">
        <v>100</v>
      </c>
      <c r="H284" s="96">
        <v>100</v>
      </c>
      <c r="I284" s="96" t="s">
        <v>29</v>
      </c>
      <c r="J284" s="93"/>
      <c r="K284" s="93">
        <v>1637</v>
      </c>
      <c r="L284" s="93">
        <v>90</v>
      </c>
      <c r="M284" s="93">
        <v>100</v>
      </c>
      <c r="N284" s="93">
        <v>100</v>
      </c>
      <c r="O284" s="93">
        <v>100</v>
      </c>
      <c r="P284" s="93">
        <v>100</v>
      </c>
      <c r="Q284" s="93">
        <v>100</v>
      </c>
      <c r="R284" s="93">
        <v>100</v>
      </c>
      <c r="S284" s="93" t="s">
        <v>29</v>
      </c>
      <c r="T284" s="93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CA284" s="12"/>
      <c r="CB284" s="12"/>
    </row>
    <row r="285" spans="1:80" x14ac:dyDescent="0.2">
      <c r="A285" s="96">
        <v>1539</v>
      </c>
      <c r="B285" s="96">
        <v>70</v>
      </c>
      <c r="C285" s="96">
        <v>80</v>
      </c>
      <c r="D285" s="96">
        <v>90</v>
      </c>
      <c r="E285" s="96">
        <v>100</v>
      </c>
      <c r="F285" s="96">
        <v>100</v>
      </c>
      <c r="G285" s="96">
        <v>100</v>
      </c>
      <c r="H285" s="96">
        <v>100</v>
      </c>
      <c r="I285" s="96" t="s">
        <v>29</v>
      </c>
      <c r="J285" s="93"/>
      <c r="K285" s="93">
        <v>1638</v>
      </c>
      <c r="L285" s="93">
        <v>90</v>
      </c>
      <c r="M285" s="93">
        <v>100</v>
      </c>
      <c r="N285" s="93">
        <v>100</v>
      </c>
      <c r="O285" s="93">
        <v>100</v>
      </c>
      <c r="P285" s="93">
        <v>100</v>
      </c>
      <c r="Q285" s="93">
        <v>100</v>
      </c>
      <c r="R285" s="93">
        <v>100</v>
      </c>
      <c r="S285" s="93" t="s">
        <v>29</v>
      </c>
      <c r="T285" s="93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CA285" s="12"/>
      <c r="CB285" s="12"/>
    </row>
    <row r="286" spans="1:80" x14ac:dyDescent="0.2">
      <c r="A286" s="96">
        <v>1540</v>
      </c>
      <c r="B286" s="96">
        <v>70</v>
      </c>
      <c r="C286" s="96">
        <v>80</v>
      </c>
      <c r="D286" s="96">
        <v>90</v>
      </c>
      <c r="E286" s="96">
        <v>100</v>
      </c>
      <c r="F286" s="96">
        <v>100</v>
      </c>
      <c r="G286" s="96">
        <v>100</v>
      </c>
      <c r="H286" s="96">
        <v>100</v>
      </c>
      <c r="I286" s="96" t="s">
        <v>29</v>
      </c>
      <c r="J286" s="93"/>
      <c r="K286" s="93">
        <v>1639</v>
      </c>
      <c r="L286" s="93">
        <v>90</v>
      </c>
      <c r="M286" s="93">
        <v>100</v>
      </c>
      <c r="N286" s="93">
        <v>100</v>
      </c>
      <c r="O286" s="93">
        <v>100</v>
      </c>
      <c r="P286" s="93">
        <v>100</v>
      </c>
      <c r="Q286" s="93">
        <v>100</v>
      </c>
      <c r="R286" s="93">
        <v>100</v>
      </c>
      <c r="S286" s="93" t="s">
        <v>29</v>
      </c>
      <c r="T286" s="93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CA286" s="12"/>
      <c r="CB286" s="12"/>
    </row>
    <row r="287" spans="1:80" x14ac:dyDescent="0.2">
      <c r="A287" s="96">
        <v>1541</v>
      </c>
      <c r="B287" s="96">
        <v>65</v>
      </c>
      <c r="C287" s="96">
        <v>75</v>
      </c>
      <c r="D287" s="96">
        <v>85</v>
      </c>
      <c r="E287" s="96">
        <v>95</v>
      </c>
      <c r="F287" s="96">
        <v>100</v>
      </c>
      <c r="G287" s="96">
        <v>100</v>
      </c>
      <c r="H287" s="96">
        <v>100</v>
      </c>
      <c r="I287" s="96" t="s">
        <v>29</v>
      </c>
      <c r="J287" s="93"/>
      <c r="K287" s="93">
        <v>1640</v>
      </c>
      <c r="L287" s="93">
        <v>90</v>
      </c>
      <c r="M287" s="93">
        <v>100</v>
      </c>
      <c r="N287" s="93">
        <v>100</v>
      </c>
      <c r="O287" s="93">
        <v>100</v>
      </c>
      <c r="P287" s="93">
        <v>100</v>
      </c>
      <c r="Q287" s="93">
        <v>100</v>
      </c>
      <c r="R287" s="93">
        <v>100</v>
      </c>
      <c r="S287" s="93" t="s">
        <v>29</v>
      </c>
      <c r="T287" s="93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CA287" s="12"/>
      <c r="CB287" s="12"/>
    </row>
    <row r="288" spans="1:80" x14ac:dyDescent="0.2">
      <c r="A288" s="96">
        <v>1542</v>
      </c>
      <c r="B288" s="96">
        <v>65</v>
      </c>
      <c r="C288" s="96">
        <v>75</v>
      </c>
      <c r="D288" s="96">
        <v>85</v>
      </c>
      <c r="E288" s="96">
        <v>95</v>
      </c>
      <c r="F288" s="96">
        <v>100</v>
      </c>
      <c r="G288" s="96">
        <v>100</v>
      </c>
      <c r="H288" s="96">
        <v>100</v>
      </c>
      <c r="I288" s="96" t="s">
        <v>29</v>
      </c>
      <c r="J288" s="93"/>
      <c r="K288" s="93">
        <v>1641</v>
      </c>
      <c r="L288" s="93">
        <v>85</v>
      </c>
      <c r="M288" s="93">
        <v>95</v>
      </c>
      <c r="N288" s="93">
        <v>100</v>
      </c>
      <c r="O288" s="93">
        <v>100</v>
      </c>
      <c r="P288" s="93">
        <v>100</v>
      </c>
      <c r="Q288" s="93">
        <v>100</v>
      </c>
      <c r="R288" s="93">
        <v>100</v>
      </c>
      <c r="S288" s="93" t="s">
        <v>29</v>
      </c>
      <c r="T288" s="93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CA288" s="12"/>
      <c r="CB288" s="12"/>
    </row>
    <row r="289" spans="1:80" x14ac:dyDescent="0.2">
      <c r="A289" s="96">
        <v>1543</v>
      </c>
      <c r="B289" s="96">
        <v>65</v>
      </c>
      <c r="C289" s="96">
        <v>75</v>
      </c>
      <c r="D289" s="96">
        <v>85</v>
      </c>
      <c r="E289" s="96">
        <v>95</v>
      </c>
      <c r="F289" s="96">
        <v>100</v>
      </c>
      <c r="G289" s="96">
        <v>100</v>
      </c>
      <c r="H289" s="96">
        <v>100</v>
      </c>
      <c r="I289" s="96" t="s">
        <v>29</v>
      </c>
      <c r="J289" s="93"/>
      <c r="K289" s="93">
        <v>1642</v>
      </c>
      <c r="L289" s="93">
        <v>85</v>
      </c>
      <c r="M289" s="93">
        <v>95</v>
      </c>
      <c r="N289" s="93">
        <v>100</v>
      </c>
      <c r="O289" s="93">
        <v>100</v>
      </c>
      <c r="P289" s="93">
        <v>100</v>
      </c>
      <c r="Q289" s="93">
        <v>100</v>
      </c>
      <c r="R289" s="93">
        <v>100</v>
      </c>
      <c r="S289" s="93" t="s">
        <v>29</v>
      </c>
      <c r="T289" s="93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CA289" s="12"/>
      <c r="CB289" s="12"/>
    </row>
    <row r="290" spans="1:80" x14ac:dyDescent="0.2">
      <c r="A290" s="96">
        <v>1544</v>
      </c>
      <c r="B290" s="96">
        <v>65</v>
      </c>
      <c r="C290" s="96">
        <v>75</v>
      </c>
      <c r="D290" s="96">
        <v>85</v>
      </c>
      <c r="E290" s="96">
        <v>95</v>
      </c>
      <c r="F290" s="96">
        <v>100</v>
      </c>
      <c r="G290" s="96">
        <v>100</v>
      </c>
      <c r="H290" s="96">
        <v>100</v>
      </c>
      <c r="I290" s="96" t="s">
        <v>29</v>
      </c>
      <c r="J290" s="93"/>
      <c r="K290" s="93">
        <v>1643</v>
      </c>
      <c r="L290" s="93">
        <v>85</v>
      </c>
      <c r="M290" s="93">
        <v>95</v>
      </c>
      <c r="N290" s="93">
        <v>100</v>
      </c>
      <c r="O290" s="93">
        <v>100</v>
      </c>
      <c r="P290" s="93">
        <v>100</v>
      </c>
      <c r="Q290" s="93">
        <v>100</v>
      </c>
      <c r="R290" s="93">
        <v>100</v>
      </c>
      <c r="S290" s="93" t="s">
        <v>29</v>
      </c>
      <c r="T290" s="93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CA290" s="12"/>
      <c r="CB290" s="12"/>
    </row>
    <row r="291" spans="1:80" x14ac:dyDescent="0.2">
      <c r="A291" s="96">
        <v>1545</v>
      </c>
      <c r="B291" s="96">
        <v>65</v>
      </c>
      <c r="C291" s="96">
        <v>75</v>
      </c>
      <c r="D291" s="96">
        <v>85</v>
      </c>
      <c r="E291" s="96">
        <v>95</v>
      </c>
      <c r="F291" s="96">
        <v>100</v>
      </c>
      <c r="G291" s="96">
        <v>100</v>
      </c>
      <c r="H291" s="96">
        <v>100</v>
      </c>
      <c r="I291" s="96" t="s">
        <v>29</v>
      </c>
      <c r="J291" s="93"/>
      <c r="K291" s="93">
        <v>1644</v>
      </c>
      <c r="L291" s="93">
        <v>85</v>
      </c>
      <c r="M291" s="93">
        <v>95</v>
      </c>
      <c r="N291" s="93">
        <v>100</v>
      </c>
      <c r="O291" s="93">
        <v>100</v>
      </c>
      <c r="P291" s="93">
        <v>100</v>
      </c>
      <c r="Q291" s="93">
        <v>100</v>
      </c>
      <c r="R291" s="93">
        <v>100</v>
      </c>
      <c r="S291" s="93" t="s">
        <v>29</v>
      </c>
      <c r="T291" s="93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CA291" s="12"/>
      <c r="CB291" s="12"/>
    </row>
    <row r="292" spans="1:80" x14ac:dyDescent="0.2">
      <c r="A292" s="96">
        <v>1546</v>
      </c>
      <c r="B292" s="96">
        <v>65</v>
      </c>
      <c r="C292" s="96">
        <v>75</v>
      </c>
      <c r="D292" s="96">
        <v>85</v>
      </c>
      <c r="E292" s="96">
        <v>95</v>
      </c>
      <c r="F292" s="96">
        <v>100</v>
      </c>
      <c r="G292" s="96">
        <v>100</v>
      </c>
      <c r="H292" s="96">
        <v>100</v>
      </c>
      <c r="I292" s="96" t="s">
        <v>29</v>
      </c>
      <c r="J292" s="93"/>
      <c r="K292" s="93">
        <v>1645</v>
      </c>
      <c r="L292" s="93">
        <v>85</v>
      </c>
      <c r="M292" s="93">
        <v>95</v>
      </c>
      <c r="N292" s="93">
        <v>100</v>
      </c>
      <c r="O292" s="93">
        <v>100</v>
      </c>
      <c r="P292" s="93">
        <v>100</v>
      </c>
      <c r="Q292" s="93">
        <v>100</v>
      </c>
      <c r="R292" s="93">
        <v>100</v>
      </c>
      <c r="S292" s="93" t="s">
        <v>29</v>
      </c>
      <c r="T292" s="93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CA292" s="12"/>
      <c r="CB292" s="12"/>
    </row>
    <row r="293" spans="1:80" x14ac:dyDescent="0.2">
      <c r="A293" s="96">
        <v>1547</v>
      </c>
      <c r="B293" s="96">
        <v>65</v>
      </c>
      <c r="C293" s="96">
        <v>75</v>
      </c>
      <c r="D293" s="96">
        <v>85</v>
      </c>
      <c r="E293" s="96">
        <v>95</v>
      </c>
      <c r="F293" s="96">
        <v>100</v>
      </c>
      <c r="G293" s="96">
        <v>100</v>
      </c>
      <c r="H293" s="96">
        <v>100</v>
      </c>
      <c r="I293" s="96" t="s">
        <v>29</v>
      </c>
      <c r="J293" s="93"/>
      <c r="K293" s="93">
        <v>1646</v>
      </c>
      <c r="L293" s="93">
        <v>85</v>
      </c>
      <c r="M293" s="93">
        <v>95</v>
      </c>
      <c r="N293" s="93">
        <v>100</v>
      </c>
      <c r="O293" s="93">
        <v>100</v>
      </c>
      <c r="P293" s="93">
        <v>100</v>
      </c>
      <c r="Q293" s="93">
        <v>100</v>
      </c>
      <c r="R293" s="93">
        <v>100</v>
      </c>
      <c r="S293" s="93" t="s">
        <v>29</v>
      </c>
      <c r="T293" s="93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CA293" s="12"/>
      <c r="CB293" s="12"/>
    </row>
    <row r="294" spans="1:80" x14ac:dyDescent="0.2">
      <c r="A294" s="96">
        <v>1548</v>
      </c>
      <c r="B294" s="96">
        <v>65</v>
      </c>
      <c r="C294" s="96">
        <v>75</v>
      </c>
      <c r="D294" s="96">
        <v>85</v>
      </c>
      <c r="E294" s="96">
        <v>95</v>
      </c>
      <c r="F294" s="96">
        <v>100</v>
      </c>
      <c r="G294" s="96">
        <v>100</v>
      </c>
      <c r="H294" s="96">
        <v>100</v>
      </c>
      <c r="I294" s="96" t="s">
        <v>29</v>
      </c>
      <c r="J294" s="93"/>
      <c r="K294" s="93">
        <v>1647</v>
      </c>
      <c r="L294" s="93">
        <v>85</v>
      </c>
      <c r="M294" s="93">
        <v>95</v>
      </c>
      <c r="N294" s="93">
        <v>100</v>
      </c>
      <c r="O294" s="93">
        <v>100</v>
      </c>
      <c r="P294" s="93">
        <v>100</v>
      </c>
      <c r="Q294" s="93">
        <v>100</v>
      </c>
      <c r="R294" s="93">
        <v>100</v>
      </c>
      <c r="S294" s="93" t="s">
        <v>29</v>
      </c>
      <c r="T294" s="93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CA294" s="12"/>
      <c r="CB294" s="12"/>
    </row>
    <row r="295" spans="1:80" x14ac:dyDescent="0.2">
      <c r="A295" s="96">
        <v>1549</v>
      </c>
      <c r="B295" s="96">
        <v>65</v>
      </c>
      <c r="C295" s="96">
        <v>75</v>
      </c>
      <c r="D295" s="96">
        <v>85</v>
      </c>
      <c r="E295" s="96">
        <v>95</v>
      </c>
      <c r="F295" s="96">
        <v>100</v>
      </c>
      <c r="G295" s="96">
        <v>100</v>
      </c>
      <c r="H295" s="96">
        <v>100</v>
      </c>
      <c r="I295" s="96" t="s">
        <v>29</v>
      </c>
      <c r="J295" s="93"/>
      <c r="K295" s="93">
        <v>1648</v>
      </c>
      <c r="L295" s="93">
        <v>85</v>
      </c>
      <c r="M295" s="93">
        <v>95</v>
      </c>
      <c r="N295" s="93">
        <v>100</v>
      </c>
      <c r="O295" s="93">
        <v>100</v>
      </c>
      <c r="P295" s="93">
        <v>100</v>
      </c>
      <c r="Q295" s="93">
        <v>100</v>
      </c>
      <c r="R295" s="93">
        <v>100</v>
      </c>
      <c r="S295" s="93" t="s">
        <v>29</v>
      </c>
      <c r="T295" s="93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CA295" s="12"/>
      <c r="CB295" s="12"/>
    </row>
    <row r="296" spans="1:80" x14ac:dyDescent="0.2">
      <c r="A296" s="96">
        <v>1550</v>
      </c>
      <c r="B296" s="96">
        <v>65</v>
      </c>
      <c r="C296" s="96">
        <v>75</v>
      </c>
      <c r="D296" s="96">
        <v>85</v>
      </c>
      <c r="E296" s="96">
        <v>95</v>
      </c>
      <c r="F296" s="96">
        <v>100</v>
      </c>
      <c r="G296" s="96">
        <v>100</v>
      </c>
      <c r="H296" s="96">
        <v>100</v>
      </c>
      <c r="I296" s="96" t="s">
        <v>29</v>
      </c>
      <c r="J296" s="93"/>
      <c r="K296" s="93">
        <v>1649</v>
      </c>
      <c r="L296" s="93">
        <v>85</v>
      </c>
      <c r="M296" s="93">
        <v>95</v>
      </c>
      <c r="N296" s="93">
        <v>100</v>
      </c>
      <c r="O296" s="93">
        <v>100</v>
      </c>
      <c r="P296" s="93">
        <v>100</v>
      </c>
      <c r="Q296" s="93">
        <v>100</v>
      </c>
      <c r="R296" s="93">
        <v>100</v>
      </c>
      <c r="S296" s="93" t="s">
        <v>29</v>
      </c>
      <c r="T296" s="93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CA296" s="12"/>
      <c r="CB296" s="12"/>
    </row>
    <row r="297" spans="1:80" x14ac:dyDescent="0.2">
      <c r="A297" s="96">
        <v>1551</v>
      </c>
      <c r="B297" s="96">
        <v>65</v>
      </c>
      <c r="C297" s="96">
        <v>75</v>
      </c>
      <c r="D297" s="96">
        <v>85</v>
      </c>
      <c r="E297" s="96">
        <v>95</v>
      </c>
      <c r="F297" s="96">
        <v>100</v>
      </c>
      <c r="G297" s="96">
        <v>100</v>
      </c>
      <c r="H297" s="96">
        <v>100</v>
      </c>
      <c r="I297" s="96" t="s">
        <v>29</v>
      </c>
      <c r="J297" s="93"/>
      <c r="K297" s="93">
        <v>1650</v>
      </c>
      <c r="L297" s="93">
        <v>85</v>
      </c>
      <c r="M297" s="93">
        <v>95</v>
      </c>
      <c r="N297" s="93">
        <v>100</v>
      </c>
      <c r="O297" s="93">
        <v>100</v>
      </c>
      <c r="P297" s="93">
        <v>100</v>
      </c>
      <c r="Q297" s="93">
        <v>100</v>
      </c>
      <c r="R297" s="93">
        <v>100</v>
      </c>
      <c r="S297" s="93" t="s">
        <v>29</v>
      </c>
      <c r="T297" s="93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CA297" s="12"/>
      <c r="CB297" s="12"/>
    </row>
    <row r="298" spans="1:80" x14ac:dyDescent="0.2">
      <c r="A298" s="96">
        <v>1552</v>
      </c>
      <c r="B298" s="96">
        <v>65</v>
      </c>
      <c r="C298" s="96">
        <v>75</v>
      </c>
      <c r="D298" s="96">
        <v>85</v>
      </c>
      <c r="E298" s="96">
        <v>95</v>
      </c>
      <c r="F298" s="96">
        <v>100</v>
      </c>
      <c r="G298" s="96">
        <v>100</v>
      </c>
      <c r="H298" s="96">
        <v>100</v>
      </c>
      <c r="I298" s="96" t="s">
        <v>29</v>
      </c>
      <c r="J298" s="93"/>
      <c r="K298" s="93">
        <v>1651</v>
      </c>
      <c r="L298" s="93">
        <v>85</v>
      </c>
      <c r="M298" s="93">
        <v>95</v>
      </c>
      <c r="N298" s="93">
        <v>100</v>
      </c>
      <c r="O298" s="93">
        <v>100</v>
      </c>
      <c r="P298" s="93">
        <v>100</v>
      </c>
      <c r="Q298" s="93">
        <v>100</v>
      </c>
      <c r="R298" s="93">
        <v>100</v>
      </c>
      <c r="S298" s="93" t="s">
        <v>29</v>
      </c>
      <c r="T298" s="93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CA298" s="12"/>
      <c r="CB298" s="12"/>
    </row>
    <row r="299" spans="1:80" x14ac:dyDescent="0.2">
      <c r="A299" s="96">
        <v>1553</v>
      </c>
      <c r="B299" s="96">
        <v>65</v>
      </c>
      <c r="C299" s="96">
        <v>75</v>
      </c>
      <c r="D299" s="96">
        <v>85</v>
      </c>
      <c r="E299" s="96">
        <v>95</v>
      </c>
      <c r="F299" s="96">
        <v>100</v>
      </c>
      <c r="G299" s="96">
        <v>100</v>
      </c>
      <c r="H299" s="96">
        <v>100</v>
      </c>
      <c r="I299" s="96" t="s">
        <v>29</v>
      </c>
      <c r="J299" s="93"/>
      <c r="K299" s="93">
        <v>1652</v>
      </c>
      <c r="L299" s="93">
        <v>85</v>
      </c>
      <c r="M299" s="93">
        <v>95</v>
      </c>
      <c r="N299" s="93">
        <v>100</v>
      </c>
      <c r="O299" s="93">
        <v>100</v>
      </c>
      <c r="P299" s="93">
        <v>100</v>
      </c>
      <c r="Q299" s="93">
        <v>100</v>
      </c>
      <c r="R299" s="93">
        <v>100</v>
      </c>
      <c r="S299" s="93" t="s">
        <v>29</v>
      </c>
      <c r="T299" s="93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CA299" s="12"/>
      <c r="CB299" s="12"/>
    </row>
    <row r="300" spans="1:80" x14ac:dyDescent="0.2">
      <c r="A300" s="96">
        <v>1554</v>
      </c>
      <c r="B300" s="96">
        <v>65</v>
      </c>
      <c r="C300" s="96">
        <v>75</v>
      </c>
      <c r="D300" s="96">
        <v>85</v>
      </c>
      <c r="E300" s="96">
        <v>95</v>
      </c>
      <c r="F300" s="96">
        <v>100</v>
      </c>
      <c r="G300" s="96">
        <v>100</v>
      </c>
      <c r="H300" s="96">
        <v>100</v>
      </c>
      <c r="I300" s="96" t="s">
        <v>29</v>
      </c>
      <c r="J300" s="93"/>
      <c r="K300" s="93">
        <v>1653</v>
      </c>
      <c r="L300" s="93">
        <v>85</v>
      </c>
      <c r="M300" s="93">
        <v>95</v>
      </c>
      <c r="N300" s="93">
        <v>100</v>
      </c>
      <c r="O300" s="93">
        <v>100</v>
      </c>
      <c r="P300" s="93">
        <v>100</v>
      </c>
      <c r="Q300" s="93">
        <v>100</v>
      </c>
      <c r="R300" s="93">
        <v>100</v>
      </c>
      <c r="S300" s="93" t="s">
        <v>29</v>
      </c>
      <c r="T300" s="93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CA300" s="12"/>
      <c r="CB300" s="12"/>
    </row>
    <row r="301" spans="1:80" x14ac:dyDescent="0.2">
      <c r="A301" s="96">
        <v>1555</v>
      </c>
      <c r="B301" s="96">
        <v>65</v>
      </c>
      <c r="C301" s="96">
        <v>75</v>
      </c>
      <c r="D301" s="96">
        <v>85</v>
      </c>
      <c r="E301" s="96">
        <v>95</v>
      </c>
      <c r="F301" s="96">
        <v>100</v>
      </c>
      <c r="G301" s="96">
        <v>100</v>
      </c>
      <c r="H301" s="96">
        <v>100</v>
      </c>
      <c r="I301" s="96" t="s">
        <v>29</v>
      </c>
      <c r="J301" s="93"/>
      <c r="K301" s="93">
        <v>1654</v>
      </c>
      <c r="L301" s="93">
        <v>85</v>
      </c>
      <c r="M301" s="93">
        <v>95</v>
      </c>
      <c r="N301" s="93">
        <v>100</v>
      </c>
      <c r="O301" s="93">
        <v>100</v>
      </c>
      <c r="P301" s="93">
        <v>100</v>
      </c>
      <c r="Q301" s="93">
        <v>100</v>
      </c>
      <c r="R301" s="93">
        <v>100</v>
      </c>
      <c r="S301" s="93" t="s">
        <v>29</v>
      </c>
      <c r="T301" s="93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CA301" s="12"/>
      <c r="CB301" s="12"/>
    </row>
    <row r="302" spans="1:80" x14ac:dyDescent="0.2">
      <c r="A302" s="96">
        <v>1556</v>
      </c>
      <c r="B302" s="96">
        <v>65</v>
      </c>
      <c r="C302" s="96">
        <v>75</v>
      </c>
      <c r="D302" s="96">
        <v>85</v>
      </c>
      <c r="E302" s="96">
        <v>95</v>
      </c>
      <c r="F302" s="96">
        <v>100</v>
      </c>
      <c r="G302" s="96">
        <v>100</v>
      </c>
      <c r="H302" s="96">
        <v>100</v>
      </c>
      <c r="I302" s="96" t="s">
        <v>29</v>
      </c>
      <c r="J302" s="93"/>
      <c r="K302" s="93">
        <v>1655</v>
      </c>
      <c r="L302" s="93">
        <v>85</v>
      </c>
      <c r="M302" s="93">
        <v>95</v>
      </c>
      <c r="N302" s="93">
        <v>100</v>
      </c>
      <c r="O302" s="93">
        <v>100</v>
      </c>
      <c r="P302" s="93">
        <v>100</v>
      </c>
      <c r="Q302" s="93">
        <v>100</v>
      </c>
      <c r="R302" s="93">
        <v>100</v>
      </c>
      <c r="S302" s="93" t="s">
        <v>29</v>
      </c>
      <c r="T302" s="93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CA302" s="12"/>
      <c r="CB302" s="12"/>
    </row>
    <row r="303" spans="1:80" x14ac:dyDescent="0.2">
      <c r="A303" s="96">
        <v>1557</v>
      </c>
      <c r="B303" s="96">
        <v>65</v>
      </c>
      <c r="C303" s="96">
        <v>75</v>
      </c>
      <c r="D303" s="96">
        <v>85</v>
      </c>
      <c r="E303" s="96">
        <v>95</v>
      </c>
      <c r="F303" s="96">
        <v>100</v>
      </c>
      <c r="G303" s="96">
        <v>100</v>
      </c>
      <c r="H303" s="96">
        <v>100</v>
      </c>
      <c r="I303" s="96" t="s">
        <v>29</v>
      </c>
      <c r="J303" s="93"/>
      <c r="K303" s="93">
        <v>1656</v>
      </c>
      <c r="L303" s="93">
        <v>85</v>
      </c>
      <c r="M303" s="93">
        <v>95</v>
      </c>
      <c r="N303" s="93">
        <v>100</v>
      </c>
      <c r="O303" s="93">
        <v>100</v>
      </c>
      <c r="P303" s="93">
        <v>100</v>
      </c>
      <c r="Q303" s="93">
        <v>100</v>
      </c>
      <c r="R303" s="93">
        <v>100</v>
      </c>
      <c r="S303" s="93" t="s">
        <v>29</v>
      </c>
      <c r="T303" s="93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CA303" s="12"/>
      <c r="CB303" s="12"/>
    </row>
    <row r="304" spans="1:80" x14ac:dyDescent="0.2">
      <c r="A304" s="96">
        <v>1558</v>
      </c>
      <c r="B304" s="96">
        <v>65</v>
      </c>
      <c r="C304" s="96">
        <v>75</v>
      </c>
      <c r="D304" s="96">
        <v>85</v>
      </c>
      <c r="E304" s="96">
        <v>95</v>
      </c>
      <c r="F304" s="96">
        <v>100</v>
      </c>
      <c r="G304" s="96">
        <v>100</v>
      </c>
      <c r="H304" s="96">
        <v>100</v>
      </c>
      <c r="I304" s="96" t="s">
        <v>29</v>
      </c>
      <c r="J304" s="93"/>
      <c r="K304" s="93">
        <v>1657</v>
      </c>
      <c r="L304" s="93">
        <v>85</v>
      </c>
      <c r="M304" s="93">
        <v>95</v>
      </c>
      <c r="N304" s="93">
        <v>100</v>
      </c>
      <c r="O304" s="93">
        <v>100</v>
      </c>
      <c r="P304" s="93">
        <v>100</v>
      </c>
      <c r="Q304" s="93">
        <v>100</v>
      </c>
      <c r="R304" s="93">
        <v>100</v>
      </c>
      <c r="S304" s="93" t="s">
        <v>29</v>
      </c>
      <c r="T304" s="93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CA304" s="12"/>
      <c r="CB304" s="12"/>
    </row>
    <row r="305" spans="1:80" x14ac:dyDescent="0.2">
      <c r="A305" s="96">
        <v>1559</v>
      </c>
      <c r="B305" s="96">
        <v>65</v>
      </c>
      <c r="C305" s="96">
        <v>75</v>
      </c>
      <c r="D305" s="96">
        <v>85</v>
      </c>
      <c r="E305" s="96">
        <v>95</v>
      </c>
      <c r="F305" s="96">
        <v>100</v>
      </c>
      <c r="G305" s="96">
        <v>100</v>
      </c>
      <c r="H305" s="96">
        <v>100</v>
      </c>
      <c r="I305" s="96" t="s">
        <v>29</v>
      </c>
      <c r="J305" s="93"/>
      <c r="K305" s="93">
        <v>1658</v>
      </c>
      <c r="L305" s="93">
        <v>85</v>
      </c>
      <c r="M305" s="93">
        <v>95</v>
      </c>
      <c r="N305" s="93">
        <v>100</v>
      </c>
      <c r="O305" s="93">
        <v>100</v>
      </c>
      <c r="P305" s="93">
        <v>100</v>
      </c>
      <c r="Q305" s="93">
        <v>100</v>
      </c>
      <c r="R305" s="93">
        <v>100</v>
      </c>
      <c r="S305" s="93" t="s">
        <v>29</v>
      </c>
      <c r="T305" s="93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CA305" s="12"/>
      <c r="CB305" s="12"/>
    </row>
    <row r="306" spans="1:80" x14ac:dyDescent="0.2">
      <c r="A306" s="96">
        <v>1600</v>
      </c>
      <c r="B306" s="96">
        <v>65</v>
      </c>
      <c r="C306" s="96">
        <v>75</v>
      </c>
      <c r="D306" s="96">
        <v>85</v>
      </c>
      <c r="E306" s="96">
        <v>95</v>
      </c>
      <c r="F306" s="96">
        <v>100</v>
      </c>
      <c r="G306" s="96">
        <v>100</v>
      </c>
      <c r="H306" s="96">
        <v>100</v>
      </c>
      <c r="I306" s="96" t="s">
        <v>29</v>
      </c>
      <c r="J306" s="93"/>
      <c r="K306" s="93">
        <v>1659</v>
      </c>
      <c r="L306" s="93">
        <v>85</v>
      </c>
      <c r="M306" s="93">
        <v>95</v>
      </c>
      <c r="N306" s="93">
        <v>100</v>
      </c>
      <c r="O306" s="93">
        <v>100</v>
      </c>
      <c r="P306" s="93">
        <v>100</v>
      </c>
      <c r="Q306" s="93">
        <v>100</v>
      </c>
      <c r="R306" s="93">
        <v>100</v>
      </c>
      <c r="S306" s="93" t="s">
        <v>29</v>
      </c>
      <c r="T306" s="93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CA306" s="12"/>
      <c r="CB306" s="12"/>
    </row>
    <row r="307" spans="1:80" x14ac:dyDescent="0.2">
      <c r="A307" s="96">
        <v>1601</v>
      </c>
      <c r="B307" s="96">
        <v>60</v>
      </c>
      <c r="C307" s="96">
        <v>70</v>
      </c>
      <c r="D307" s="96">
        <v>80</v>
      </c>
      <c r="E307" s="96">
        <v>90</v>
      </c>
      <c r="F307" s="96">
        <v>100</v>
      </c>
      <c r="G307" s="96">
        <v>100</v>
      </c>
      <c r="H307" s="96">
        <v>100</v>
      </c>
      <c r="I307" s="96" t="s">
        <v>29</v>
      </c>
      <c r="J307" s="93"/>
      <c r="K307" s="93">
        <v>1700</v>
      </c>
      <c r="L307" s="93">
        <v>85</v>
      </c>
      <c r="M307" s="93">
        <v>95</v>
      </c>
      <c r="N307" s="93">
        <v>100</v>
      </c>
      <c r="O307" s="93">
        <v>100</v>
      </c>
      <c r="P307" s="93">
        <v>100</v>
      </c>
      <c r="Q307" s="93">
        <v>100</v>
      </c>
      <c r="R307" s="93">
        <v>100</v>
      </c>
      <c r="S307" s="93" t="s">
        <v>29</v>
      </c>
      <c r="T307" s="93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CA307" s="12"/>
      <c r="CB307" s="12"/>
    </row>
    <row r="308" spans="1:80" x14ac:dyDescent="0.2">
      <c r="A308" s="96">
        <v>1602</v>
      </c>
      <c r="B308" s="96">
        <v>60</v>
      </c>
      <c r="C308" s="96">
        <v>70</v>
      </c>
      <c r="D308" s="96">
        <v>80</v>
      </c>
      <c r="E308" s="96">
        <v>90</v>
      </c>
      <c r="F308" s="96">
        <v>100</v>
      </c>
      <c r="G308" s="96">
        <v>100</v>
      </c>
      <c r="H308" s="96">
        <v>100</v>
      </c>
      <c r="I308" s="96" t="s">
        <v>29</v>
      </c>
      <c r="J308" s="93"/>
      <c r="K308" s="93">
        <v>1701</v>
      </c>
      <c r="L308" s="93">
        <v>80</v>
      </c>
      <c r="M308" s="93">
        <v>90</v>
      </c>
      <c r="N308" s="93">
        <v>100</v>
      </c>
      <c r="O308" s="93">
        <v>100</v>
      </c>
      <c r="P308" s="93">
        <v>100</v>
      </c>
      <c r="Q308" s="93">
        <v>100</v>
      </c>
      <c r="R308" s="93">
        <v>100</v>
      </c>
      <c r="S308" s="93" t="s">
        <v>29</v>
      </c>
      <c r="T308" s="93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CA308" s="12"/>
      <c r="CB308" s="12"/>
    </row>
    <row r="309" spans="1:80" x14ac:dyDescent="0.2">
      <c r="A309" s="96">
        <v>1603</v>
      </c>
      <c r="B309" s="96">
        <v>60</v>
      </c>
      <c r="C309" s="96">
        <v>70</v>
      </c>
      <c r="D309" s="96">
        <v>80</v>
      </c>
      <c r="E309" s="96">
        <v>90</v>
      </c>
      <c r="F309" s="96">
        <v>100</v>
      </c>
      <c r="G309" s="96">
        <v>100</v>
      </c>
      <c r="H309" s="96">
        <v>100</v>
      </c>
      <c r="I309" s="96" t="s">
        <v>29</v>
      </c>
      <c r="J309" s="93"/>
      <c r="K309" s="93">
        <v>1702</v>
      </c>
      <c r="L309" s="93">
        <v>80</v>
      </c>
      <c r="M309" s="93">
        <v>90</v>
      </c>
      <c r="N309" s="93">
        <v>100</v>
      </c>
      <c r="O309" s="93">
        <v>100</v>
      </c>
      <c r="P309" s="93">
        <v>100</v>
      </c>
      <c r="Q309" s="93">
        <v>100</v>
      </c>
      <c r="R309" s="93">
        <v>100</v>
      </c>
      <c r="S309" s="93" t="s">
        <v>29</v>
      </c>
      <c r="T309" s="93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CA309" s="12"/>
      <c r="CB309" s="12"/>
    </row>
    <row r="310" spans="1:80" x14ac:dyDescent="0.2">
      <c r="A310" s="96">
        <v>1604</v>
      </c>
      <c r="B310" s="96">
        <v>60</v>
      </c>
      <c r="C310" s="96">
        <v>70</v>
      </c>
      <c r="D310" s="96">
        <v>80</v>
      </c>
      <c r="E310" s="96">
        <v>90</v>
      </c>
      <c r="F310" s="96">
        <v>100</v>
      </c>
      <c r="G310" s="96">
        <v>100</v>
      </c>
      <c r="H310" s="96">
        <v>100</v>
      </c>
      <c r="I310" s="96" t="s">
        <v>29</v>
      </c>
      <c r="J310" s="93"/>
      <c r="K310" s="93">
        <v>1703</v>
      </c>
      <c r="L310" s="93">
        <v>80</v>
      </c>
      <c r="M310" s="93">
        <v>90</v>
      </c>
      <c r="N310" s="93">
        <v>100</v>
      </c>
      <c r="O310" s="93">
        <v>100</v>
      </c>
      <c r="P310" s="93">
        <v>100</v>
      </c>
      <c r="Q310" s="93">
        <v>100</v>
      </c>
      <c r="R310" s="93">
        <v>100</v>
      </c>
      <c r="S310" s="93" t="s">
        <v>29</v>
      </c>
      <c r="T310" s="93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CA310" s="12"/>
      <c r="CB310" s="12"/>
    </row>
    <row r="311" spans="1:80" x14ac:dyDescent="0.2">
      <c r="A311" s="96">
        <v>1605</v>
      </c>
      <c r="B311" s="96">
        <v>60</v>
      </c>
      <c r="C311" s="96">
        <v>70</v>
      </c>
      <c r="D311" s="96">
        <v>80</v>
      </c>
      <c r="E311" s="96">
        <v>90</v>
      </c>
      <c r="F311" s="96">
        <v>100</v>
      </c>
      <c r="G311" s="96">
        <v>100</v>
      </c>
      <c r="H311" s="96">
        <v>100</v>
      </c>
      <c r="I311" s="96" t="s">
        <v>29</v>
      </c>
      <c r="J311" s="93"/>
      <c r="K311" s="93">
        <v>1704</v>
      </c>
      <c r="L311" s="93">
        <v>80</v>
      </c>
      <c r="M311" s="93">
        <v>90</v>
      </c>
      <c r="N311" s="93">
        <v>100</v>
      </c>
      <c r="O311" s="93">
        <v>100</v>
      </c>
      <c r="P311" s="93">
        <v>100</v>
      </c>
      <c r="Q311" s="93">
        <v>100</v>
      </c>
      <c r="R311" s="93">
        <v>100</v>
      </c>
      <c r="S311" s="93" t="s">
        <v>29</v>
      </c>
      <c r="T311" s="93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CA311" s="12"/>
      <c r="CB311" s="12"/>
    </row>
    <row r="312" spans="1:80" x14ac:dyDescent="0.2">
      <c r="A312" s="96">
        <v>1606</v>
      </c>
      <c r="B312" s="96">
        <v>60</v>
      </c>
      <c r="C312" s="96">
        <v>70</v>
      </c>
      <c r="D312" s="96">
        <v>80</v>
      </c>
      <c r="E312" s="96">
        <v>90</v>
      </c>
      <c r="F312" s="96">
        <v>100</v>
      </c>
      <c r="G312" s="96">
        <v>100</v>
      </c>
      <c r="H312" s="96">
        <v>100</v>
      </c>
      <c r="I312" s="96" t="s">
        <v>29</v>
      </c>
      <c r="J312" s="93"/>
      <c r="K312" s="93">
        <v>1705</v>
      </c>
      <c r="L312" s="93">
        <v>80</v>
      </c>
      <c r="M312" s="93">
        <v>90</v>
      </c>
      <c r="N312" s="93">
        <v>100</v>
      </c>
      <c r="O312" s="93">
        <v>100</v>
      </c>
      <c r="P312" s="93">
        <v>100</v>
      </c>
      <c r="Q312" s="93">
        <v>100</v>
      </c>
      <c r="R312" s="93">
        <v>100</v>
      </c>
      <c r="S312" s="93" t="s">
        <v>29</v>
      </c>
      <c r="T312" s="93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CA312" s="12"/>
      <c r="CB312" s="12"/>
    </row>
    <row r="313" spans="1:80" x14ac:dyDescent="0.2">
      <c r="A313" s="96">
        <v>1607</v>
      </c>
      <c r="B313" s="96">
        <v>60</v>
      </c>
      <c r="C313" s="96">
        <v>70</v>
      </c>
      <c r="D313" s="96">
        <v>80</v>
      </c>
      <c r="E313" s="96">
        <v>90</v>
      </c>
      <c r="F313" s="96">
        <v>100</v>
      </c>
      <c r="G313" s="96">
        <v>100</v>
      </c>
      <c r="H313" s="96">
        <v>100</v>
      </c>
      <c r="I313" s="96" t="s">
        <v>29</v>
      </c>
      <c r="J313" s="93"/>
      <c r="K313" s="93">
        <v>1706</v>
      </c>
      <c r="L313" s="93">
        <v>80</v>
      </c>
      <c r="M313" s="93">
        <v>90</v>
      </c>
      <c r="N313" s="93">
        <v>100</v>
      </c>
      <c r="O313" s="93">
        <v>100</v>
      </c>
      <c r="P313" s="93">
        <v>100</v>
      </c>
      <c r="Q313" s="93">
        <v>100</v>
      </c>
      <c r="R313" s="93">
        <v>100</v>
      </c>
      <c r="S313" s="93" t="s">
        <v>29</v>
      </c>
      <c r="T313" s="93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CA313" s="12"/>
      <c r="CB313" s="12"/>
    </row>
    <row r="314" spans="1:80" x14ac:dyDescent="0.2">
      <c r="A314" s="96">
        <v>1608</v>
      </c>
      <c r="B314" s="96">
        <v>60</v>
      </c>
      <c r="C314" s="96">
        <v>70</v>
      </c>
      <c r="D314" s="96">
        <v>80</v>
      </c>
      <c r="E314" s="96">
        <v>90</v>
      </c>
      <c r="F314" s="96">
        <v>100</v>
      </c>
      <c r="G314" s="96">
        <v>100</v>
      </c>
      <c r="H314" s="96">
        <v>100</v>
      </c>
      <c r="I314" s="96" t="s">
        <v>29</v>
      </c>
      <c r="J314" s="93"/>
      <c r="K314" s="93">
        <v>1707</v>
      </c>
      <c r="L314" s="93">
        <v>80</v>
      </c>
      <c r="M314" s="93">
        <v>90</v>
      </c>
      <c r="N314" s="93">
        <v>100</v>
      </c>
      <c r="O314" s="93">
        <v>100</v>
      </c>
      <c r="P314" s="93">
        <v>100</v>
      </c>
      <c r="Q314" s="93">
        <v>100</v>
      </c>
      <c r="R314" s="93">
        <v>100</v>
      </c>
      <c r="S314" s="93" t="s">
        <v>29</v>
      </c>
      <c r="T314" s="93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CA314" s="12"/>
      <c r="CB314" s="12"/>
    </row>
    <row r="315" spans="1:80" x14ac:dyDescent="0.2">
      <c r="A315" s="96">
        <v>1609</v>
      </c>
      <c r="B315" s="96">
        <v>60</v>
      </c>
      <c r="C315" s="96">
        <v>70</v>
      </c>
      <c r="D315" s="96">
        <v>80</v>
      </c>
      <c r="E315" s="96">
        <v>90</v>
      </c>
      <c r="F315" s="96">
        <v>100</v>
      </c>
      <c r="G315" s="96">
        <v>100</v>
      </c>
      <c r="H315" s="96">
        <v>100</v>
      </c>
      <c r="I315" s="96" t="s">
        <v>29</v>
      </c>
      <c r="J315" s="93"/>
      <c r="K315" s="93">
        <v>1708</v>
      </c>
      <c r="L315" s="93">
        <v>80</v>
      </c>
      <c r="M315" s="93">
        <v>90</v>
      </c>
      <c r="N315" s="93">
        <v>100</v>
      </c>
      <c r="O315" s="93">
        <v>100</v>
      </c>
      <c r="P315" s="93">
        <v>100</v>
      </c>
      <c r="Q315" s="93">
        <v>100</v>
      </c>
      <c r="R315" s="93">
        <v>100</v>
      </c>
      <c r="S315" s="93" t="s">
        <v>29</v>
      </c>
      <c r="T315" s="93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CA315" s="12"/>
      <c r="CB315" s="12"/>
    </row>
    <row r="316" spans="1:80" x14ac:dyDescent="0.2">
      <c r="A316" s="96">
        <v>1610</v>
      </c>
      <c r="B316" s="96">
        <v>60</v>
      </c>
      <c r="C316" s="96">
        <v>70</v>
      </c>
      <c r="D316" s="96">
        <v>80</v>
      </c>
      <c r="E316" s="96">
        <v>90</v>
      </c>
      <c r="F316" s="96">
        <v>100</v>
      </c>
      <c r="G316" s="96">
        <v>100</v>
      </c>
      <c r="H316" s="96">
        <v>100</v>
      </c>
      <c r="I316" s="96" t="s">
        <v>29</v>
      </c>
      <c r="J316" s="93"/>
      <c r="K316" s="93">
        <v>1709</v>
      </c>
      <c r="L316" s="93">
        <v>80</v>
      </c>
      <c r="M316" s="93">
        <v>90</v>
      </c>
      <c r="N316" s="93">
        <v>100</v>
      </c>
      <c r="O316" s="93">
        <v>100</v>
      </c>
      <c r="P316" s="93">
        <v>100</v>
      </c>
      <c r="Q316" s="93">
        <v>100</v>
      </c>
      <c r="R316" s="93">
        <v>100</v>
      </c>
      <c r="S316" s="93" t="s">
        <v>29</v>
      </c>
      <c r="T316" s="93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CA316" s="12"/>
      <c r="CB316" s="12"/>
    </row>
    <row r="317" spans="1:80" x14ac:dyDescent="0.2">
      <c r="A317" s="96">
        <v>1611</v>
      </c>
      <c r="B317" s="96">
        <v>60</v>
      </c>
      <c r="C317" s="96">
        <v>70</v>
      </c>
      <c r="D317" s="96">
        <v>80</v>
      </c>
      <c r="E317" s="96">
        <v>90</v>
      </c>
      <c r="F317" s="96">
        <v>95</v>
      </c>
      <c r="G317" s="96">
        <v>100</v>
      </c>
      <c r="H317" s="96">
        <v>100</v>
      </c>
      <c r="I317" s="96" t="s">
        <v>29</v>
      </c>
      <c r="J317" s="93"/>
      <c r="K317" s="93">
        <v>1710</v>
      </c>
      <c r="L317" s="93">
        <v>80</v>
      </c>
      <c r="M317" s="93">
        <v>90</v>
      </c>
      <c r="N317" s="93">
        <v>100</v>
      </c>
      <c r="O317" s="93">
        <v>100</v>
      </c>
      <c r="P317" s="93">
        <v>100</v>
      </c>
      <c r="Q317" s="93">
        <v>100</v>
      </c>
      <c r="R317" s="93">
        <v>100</v>
      </c>
      <c r="S317" s="93" t="s">
        <v>29</v>
      </c>
      <c r="T317" s="93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CA317" s="12"/>
      <c r="CB317" s="12"/>
    </row>
    <row r="318" spans="1:80" x14ac:dyDescent="0.2">
      <c r="A318" s="96">
        <v>1612</v>
      </c>
      <c r="B318" s="96">
        <v>60</v>
      </c>
      <c r="C318" s="96">
        <v>70</v>
      </c>
      <c r="D318" s="96">
        <v>80</v>
      </c>
      <c r="E318" s="96">
        <v>90</v>
      </c>
      <c r="F318" s="96">
        <v>95</v>
      </c>
      <c r="G318" s="96">
        <v>100</v>
      </c>
      <c r="H318" s="96">
        <v>100</v>
      </c>
      <c r="I318" s="96" t="s">
        <v>29</v>
      </c>
      <c r="J318" s="93"/>
      <c r="K318" s="93">
        <v>1711</v>
      </c>
      <c r="L318" s="93">
        <v>80</v>
      </c>
      <c r="M318" s="93">
        <v>90</v>
      </c>
      <c r="N318" s="93">
        <v>100</v>
      </c>
      <c r="O318" s="93">
        <v>100</v>
      </c>
      <c r="P318" s="93">
        <v>100</v>
      </c>
      <c r="Q318" s="93">
        <v>100</v>
      </c>
      <c r="R318" s="93">
        <v>100</v>
      </c>
      <c r="S318" s="93" t="s">
        <v>29</v>
      </c>
      <c r="T318" s="93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CA318" s="12"/>
      <c r="CB318" s="12"/>
    </row>
    <row r="319" spans="1:80" x14ac:dyDescent="0.2">
      <c r="A319" s="96">
        <v>1613</v>
      </c>
      <c r="B319" s="96">
        <v>60</v>
      </c>
      <c r="C319" s="96">
        <v>70</v>
      </c>
      <c r="D319" s="96">
        <v>80</v>
      </c>
      <c r="E319" s="96">
        <v>90</v>
      </c>
      <c r="F319" s="96">
        <v>95</v>
      </c>
      <c r="G319" s="96">
        <v>100</v>
      </c>
      <c r="H319" s="96">
        <v>100</v>
      </c>
      <c r="I319" s="96" t="s">
        <v>29</v>
      </c>
      <c r="J319" s="93"/>
      <c r="K319" s="93">
        <v>1712</v>
      </c>
      <c r="L319" s="93">
        <v>80</v>
      </c>
      <c r="M319" s="93">
        <v>90</v>
      </c>
      <c r="N319" s="93">
        <v>100</v>
      </c>
      <c r="O319" s="93">
        <v>100</v>
      </c>
      <c r="P319" s="93">
        <v>100</v>
      </c>
      <c r="Q319" s="93">
        <v>100</v>
      </c>
      <c r="R319" s="93">
        <v>100</v>
      </c>
      <c r="S319" s="93" t="s">
        <v>29</v>
      </c>
      <c r="T319" s="93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CA319" s="12"/>
      <c r="CB319" s="12"/>
    </row>
    <row r="320" spans="1:80" x14ac:dyDescent="0.2">
      <c r="A320" s="96">
        <v>1614</v>
      </c>
      <c r="B320" s="96">
        <v>60</v>
      </c>
      <c r="C320" s="96">
        <v>70</v>
      </c>
      <c r="D320" s="96">
        <v>80</v>
      </c>
      <c r="E320" s="96">
        <v>90</v>
      </c>
      <c r="F320" s="96">
        <v>95</v>
      </c>
      <c r="G320" s="96">
        <v>100</v>
      </c>
      <c r="H320" s="96">
        <v>100</v>
      </c>
      <c r="I320" s="96" t="s">
        <v>29</v>
      </c>
      <c r="J320" s="93"/>
      <c r="K320" s="93">
        <v>1713</v>
      </c>
      <c r="L320" s="93">
        <v>80</v>
      </c>
      <c r="M320" s="93">
        <v>90</v>
      </c>
      <c r="N320" s="93">
        <v>100</v>
      </c>
      <c r="O320" s="93">
        <v>100</v>
      </c>
      <c r="P320" s="93">
        <v>100</v>
      </c>
      <c r="Q320" s="93">
        <v>100</v>
      </c>
      <c r="R320" s="93">
        <v>100</v>
      </c>
      <c r="S320" s="93" t="s">
        <v>29</v>
      </c>
      <c r="T320" s="93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CA320" s="12"/>
      <c r="CB320" s="12"/>
    </row>
    <row r="321" spans="1:80" x14ac:dyDescent="0.2">
      <c r="A321" s="96">
        <v>1615</v>
      </c>
      <c r="B321" s="96">
        <v>60</v>
      </c>
      <c r="C321" s="96">
        <v>70</v>
      </c>
      <c r="D321" s="96">
        <v>80</v>
      </c>
      <c r="E321" s="96">
        <v>90</v>
      </c>
      <c r="F321" s="96">
        <v>95</v>
      </c>
      <c r="G321" s="96">
        <v>100</v>
      </c>
      <c r="H321" s="96">
        <v>100</v>
      </c>
      <c r="I321" s="96" t="s">
        <v>29</v>
      </c>
      <c r="J321" s="93"/>
      <c r="K321" s="93">
        <v>1714</v>
      </c>
      <c r="L321" s="93">
        <v>80</v>
      </c>
      <c r="M321" s="93">
        <v>90</v>
      </c>
      <c r="N321" s="93">
        <v>100</v>
      </c>
      <c r="O321" s="93">
        <v>100</v>
      </c>
      <c r="P321" s="93">
        <v>100</v>
      </c>
      <c r="Q321" s="93">
        <v>100</v>
      </c>
      <c r="R321" s="93">
        <v>100</v>
      </c>
      <c r="S321" s="93" t="s">
        <v>29</v>
      </c>
      <c r="T321" s="93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CA321" s="12"/>
      <c r="CB321" s="12"/>
    </row>
    <row r="322" spans="1:80" x14ac:dyDescent="0.2">
      <c r="A322" s="96">
        <v>1616</v>
      </c>
      <c r="B322" s="96">
        <v>60</v>
      </c>
      <c r="C322" s="96">
        <v>70</v>
      </c>
      <c r="D322" s="96">
        <v>80</v>
      </c>
      <c r="E322" s="96">
        <v>90</v>
      </c>
      <c r="F322" s="96">
        <v>95</v>
      </c>
      <c r="G322" s="96">
        <v>100</v>
      </c>
      <c r="H322" s="96">
        <v>100</v>
      </c>
      <c r="I322" s="96" t="s">
        <v>29</v>
      </c>
      <c r="J322" s="93"/>
      <c r="K322" s="93">
        <v>1715</v>
      </c>
      <c r="L322" s="93">
        <v>80</v>
      </c>
      <c r="M322" s="93">
        <v>90</v>
      </c>
      <c r="N322" s="93">
        <v>100</v>
      </c>
      <c r="O322" s="93">
        <v>100</v>
      </c>
      <c r="P322" s="93">
        <v>100</v>
      </c>
      <c r="Q322" s="93">
        <v>100</v>
      </c>
      <c r="R322" s="93">
        <v>100</v>
      </c>
      <c r="S322" s="93" t="s">
        <v>29</v>
      </c>
      <c r="T322" s="93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CA322" s="12"/>
      <c r="CB322" s="12"/>
    </row>
    <row r="323" spans="1:80" x14ac:dyDescent="0.2">
      <c r="A323" s="96">
        <v>1617</v>
      </c>
      <c r="B323" s="96">
        <v>60</v>
      </c>
      <c r="C323" s="96">
        <v>70</v>
      </c>
      <c r="D323" s="96">
        <v>80</v>
      </c>
      <c r="E323" s="96">
        <v>90</v>
      </c>
      <c r="F323" s="96">
        <v>95</v>
      </c>
      <c r="G323" s="96">
        <v>100</v>
      </c>
      <c r="H323" s="96">
        <v>100</v>
      </c>
      <c r="I323" s="96" t="s">
        <v>29</v>
      </c>
      <c r="J323" s="93"/>
      <c r="K323" s="93">
        <v>1716</v>
      </c>
      <c r="L323" s="93">
        <v>80</v>
      </c>
      <c r="M323" s="93">
        <v>90</v>
      </c>
      <c r="N323" s="93">
        <v>100</v>
      </c>
      <c r="O323" s="93">
        <v>100</v>
      </c>
      <c r="P323" s="93">
        <v>100</v>
      </c>
      <c r="Q323" s="93">
        <v>100</v>
      </c>
      <c r="R323" s="93">
        <v>100</v>
      </c>
      <c r="S323" s="93" t="s">
        <v>29</v>
      </c>
      <c r="T323" s="93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CA323" s="12"/>
      <c r="CB323" s="12"/>
    </row>
    <row r="324" spans="1:80" x14ac:dyDescent="0.2">
      <c r="A324" s="96">
        <v>1618</v>
      </c>
      <c r="B324" s="96">
        <v>60</v>
      </c>
      <c r="C324" s="96">
        <v>70</v>
      </c>
      <c r="D324" s="96">
        <v>80</v>
      </c>
      <c r="E324" s="96">
        <v>90</v>
      </c>
      <c r="F324" s="96">
        <v>95</v>
      </c>
      <c r="G324" s="96">
        <v>100</v>
      </c>
      <c r="H324" s="96">
        <v>100</v>
      </c>
      <c r="I324" s="96" t="s">
        <v>29</v>
      </c>
      <c r="J324" s="93"/>
      <c r="K324" s="93">
        <v>1717</v>
      </c>
      <c r="L324" s="93">
        <v>80</v>
      </c>
      <c r="M324" s="93">
        <v>90</v>
      </c>
      <c r="N324" s="93">
        <v>100</v>
      </c>
      <c r="O324" s="93">
        <v>100</v>
      </c>
      <c r="P324" s="93">
        <v>100</v>
      </c>
      <c r="Q324" s="93">
        <v>100</v>
      </c>
      <c r="R324" s="93">
        <v>100</v>
      </c>
      <c r="S324" s="93" t="s">
        <v>29</v>
      </c>
      <c r="T324" s="93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CA324" s="12"/>
      <c r="CB324" s="12"/>
    </row>
    <row r="325" spans="1:80" x14ac:dyDescent="0.2">
      <c r="A325" s="96">
        <v>1616</v>
      </c>
      <c r="B325" s="96">
        <v>60</v>
      </c>
      <c r="C325" s="96">
        <v>70</v>
      </c>
      <c r="D325" s="96">
        <v>80</v>
      </c>
      <c r="E325" s="96">
        <v>90</v>
      </c>
      <c r="F325" s="96">
        <v>95</v>
      </c>
      <c r="G325" s="96">
        <v>100</v>
      </c>
      <c r="H325" s="96">
        <v>100</v>
      </c>
      <c r="I325" s="96" t="s">
        <v>29</v>
      </c>
      <c r="J325" s="93"/>
      <c r="K325" s="93">
        <v>1718</v>
      </c>
      <c r="L325" s="93">
        <v>80</v>
      </c>
      <c r="M325" s="93">
        <v>90</v>
      </c>
      <c r="N325" s="93">
        <v>100</v>
      </c>
      <c r="O325" s="93">
        <v>100</v>
      </c>
      <c r="P325" s="93">
        <v>100</v>
      </c>
      <c r="Q325" s="93">
        <v>100</v>
      </c>
      <c r="R325" s="93">
        <v>100</v>
      </c>
      <c r="S325" s="93" t="s">
        <v>29</v>
      </c>
      <c r="T325" s="93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CA325" s="12"/>
      <c r="CB325" s="12"/>
    </row>
    <row r="326" spans="1:80" x14ac:dyDescent="0.2">
      <c r="A326" s="96">
        <v>1620</v>
      </c>
      <c r="B326" s="96">
        <v>60</v>
      </c>
      <c r="C326" s="96">
        <v>70</v>
      </c>
      <c r="D326" s="96">
        <v>80</v>
      </c>
      <c r="E326" s="96">
        <v>90</v>
      </c>
      <c r="F326" s="96">
        <v>95</v>
      </c>
      <c r="G326" s="96">
        <v>100</v>
      </c>
      <c r="H326" s="96">
        <v>100</v>
      </c>
      <c r="I326" s="96" t="s">
        <v>29</v>
      </c>
      <c r="J326" s="93"/>
      <c r="K326" s="93">
        <v>1719</v>
      </c>
      <c r="L326" s="93">
        <v>80</v>
      </c>
      <c r="M326" s="93">
        <v>90</v>
      </c>
      <c r="N326" s="93">
        <v>100</v>
      </c>
      <c r="O326" s="93">
        <v>100</v>
      </c>
      <c r="P326" s="93">
        <v>100</v>
      </c>
      <c r="Q326" s="93">
        <v>100</v>
      </c>
      <c r="R326" s="93">
        <v>100</v>
      </c>
      <c r="S326" s="93" t="s">
        <v>29</v>
      </c>
      <c r="T326" s="93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CA326" s="12"/>
      <c r="CB326" s="12"/>
    </row>
    <row r="327" spans="1:80" x14ac:dyDescent="0.2">
      <c r="A327" s="96">
        <v>1621</v>
      </c>
      <c r="B327" s="96">
        <v>55</v>
      </c>
      <c r="C327" s="96">
        <v>65</v>
      </c>
      <c r="D327" s="96">
        <v>75</v>
      </c>
      <c r="E327" s="96">
        <v>85</v>
      </c>
      <c r="F327" s="96">
        <v>95</v>
      </c>
      <c r="G327" s="96">
        <v>100</v>
      </c>
      <c r="H327" s="96">
        <v>100</v>
      </c>
      <c r="I327" s="96" t="s">
        <v>29</v>
      </c>
      <c r="J327" s="93"/>
      <c r="K327" s="93">
        <v>1720</v>
      </c>
      <c r="L327" s="93">
        <v>80</v>
      </c>
      <c r="M327" s="93">
        <v>90</v>
      </c>
      <c r="N327" s="93">
        <v>100</v>
      </c>
      <c r="O327" s="93">
        <v>100</v>
      </c>
      <c r="P327" s="93">
        <v>100</v>
      </c>
      <c r="Q327" s="93">
        <v>100</v>
      </c>
      <c r="R327" s="93">
        <v>100</v>
      </c>
      <c r="S327" s="93" t="s">
        <v>29</v>
      </c>
      <c r="T327" s="93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CA327" s="12"/>
      <c r="CB327" s="12"/>
    </row>
    <row r="328" spans="1:80" x14ac:dyDescent="0.2">
      <c r="A328" s="96">
        <v>1622</v>
      </c>
      <c r="B328" s="96">
        <v>55</v>
      </c>
      <c r="C328" s="96">
        <v>65</v>
      </c>
      <c r="D328" s="96">
        <v>75</v>
      </c>
      <c r="E328" s="96">
        <v>85</v>
      </c>
      <c r="F328" s="96">
        <v>95</v>
      </c>
      <c r="G328" s="96">
        <v>100</v>
      </c>
      <c r="H328" s="96">
        <v>100</v>
      </c>
      <c r="I328" s="96" t="s">
        <v>29</v>
      </c>
      <c r="J328" s="93"/>
      <c r="K328" s="93">
        <v>1721</v>
      </c>
      <c r="L328" s="93">
        <v>75</v>
      </c>
      <c r="M328" s="93">
        <v>85</v>
      </c>
      <c r="N328" s="93">
        <v>95</v>
      </c>
      <c r="O328" s="93">
        <v>100</v>
      </c>
      <c r="P328" s="93">
        <v>100</v>
      </c>
      <c r="Q328" s="93">
        <v>100</v>
      </c>
      <c r="R328" s="93">
        <v>100</v>
      </c>
      <c r="S328" s="93" t="s">
        <v>29</v>
      </c>
      <c r="T328" s="93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CA328" s="12"/>
      <c r="CB328" s="12"/>
    </row>
    <row r="329" spans="1:80" x14ac:dyDescent="0.2">
      <c r="A329" s="96">
        <v>1623</v>
      </c>
      <c r="B329" s="96">
        <v>55</v>
      </c>
      <c r="C329" s="96">
        <v>65</v>
      </c>
      <c r="D329" s="96">
        <v>75</v>
      </c>
      <c r="E329" s="96">
        <v>85</v>
      </c>
      <c r="F329" s="96">
        <v>95</v>
      </c>
      <c r="G329" s="96">
        <v>100</v>
      </c>
      <c r="H329" s="96">
        <v>100</v>
      </c>
      <c r="I329" s="96" t="s">
        <v>29</v>
      </c>
      <c r="J329" s="93"/>
      <c r="K329" s="93">
        <v>1722</v>
      </c>
      <c r="L329" s="93">
        <v>75</v>
      </c>
      <c r="M329" s="93">
        <v>85</v>
      </c>
      <c r="N329" s="93">
        <v>95</v>
      </c>
      <c r="O329" s="93">
        <v>100</v>
      </c>
      <c r="P329" s="93">
        <v>100</v>
      </c>
      <c r="Q329" s="93">
        <v>100</v>
      </c>
      <c r="R329" s="93">
        <v>100</v>
      </c>
      <c r="S329" s="93" t="s">
        <v>29</v>
      </c>
      <c r="T329" s="93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CA329" s="12"/>
      <c r="CB329" s="12"/>
    </row>
    <row r="330" spans="1:80" x14ac:dyDescent="0.2">
      <c r="A330" s="96">
        <v>1624</v>
      </c>
      <c r="B330" s="96">
        <v>55</v>
      </c>
      <c r="C330" s="96">
        <v>65</v>
      </c>
      <c r="D330" s="96">
        <v>75</v>
      </c>
      <c r="E330" s="96">
        <v>85</v>
      </c>
      <c r="F330" s="96">
        <v>95</v>
      </c>
      <c r="G330" s="96">
        <v>100</v>
      </c>
      <c r="H330" s="96">
        <v>100</v>
      </c>
      <c r="I330" s="96" t="s">
        <v>29</v>
      </c>
      <c r="J330" s="93"/>
      <c r="K330" s="93">
        <v>1723</v>
      </c>
      <c r="L330" s="93">
        <v>75</v>
      </c>
      <c r="M330" s="93">
        <v>85</v>
      </c>
      <c r="N330" s="93">
        <v>95</v>
      </c>
      <c r="O330" s="93">
        <v>100</v>
      </c>
      <c r="P330" s="93">
        <v>100</v>
      </c>
      <c r="Q330" s="93">
        <v>100</v>
      </c>
      <c r="R330" s="93">
        <v>100</v>
      </c>
      <c r="S330" s="93" t="s">
        <v>29</v>
      </c>
      <c r="T330" s="93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CA330" s="12"/>
      <c r="CB330" s="12"/>
    </row>
    <row r="331" spans="1:80" x14ac:dyDescent="0.2">
      <c r="A331" s="96">
        <v>1625</v>
      </c>
      <c r="B331" s="96">
        <v>55</v>
      </c>
      <c r="C331" s="96">
        <v>65</v>
      </c>
      <c r="D331" s="96">
        <v>75</v>
      </c>
      <c r="E331" s="96">
        <v>85</v>
      </c>
      <c r="F331" s="96">
        <v>95</v>
      </c>
      <c r="G331" s="96">
        <v>100</v>
      </c>
      <c r="H331" s="96">
        <v>100</v>
      </c>
      <c r="I331" s="96" t="s">
        <v>29</v>
      </c>
      <c r="J331" s="93"/>
      <c r="K331" s="93">
        <v>1724</v>
      </c>
      <c r="L331" s="93">
        <v>75</v>
      </c>
      <c r="M331" s="93">
        <v>85</v>
      </c>
      <c r="N331" s="93">
        <v>95</v>
      </c>
      <c r="O331" s="93">
        <v>100</v>
      </c>
      <c r="P331" s="93">
        <v>100</v>
      </c>
      <c r="Q331" s="93">
        <v>100</v>
      </c>
      <c r="R331" s="93">
        <v>100</v>
      </c>
      <c r="S331" s="93" t="s">
        <v>29</v>
      </c>
      <c r="T331" s="93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CA331" s="12"/>
      <c r="CB331" s="12"/>
    </row>
    <row r="332" spans="1:80" x14ac:dyDescent="0.2">
      <c r="A332" s="96">
        <v>1626</v>
      </c>
      <c r="B332" s="96">
        <v>55</v>
      </c>
      <c r="C332" s="96">
        <v>65</v>
      </c>
      <c r="D332" s="96">
        <v>75</v>
      </c>
      <c r="E332" s="96">
        <v>85</v>
      </c>
      <c r="F332" s="96">
        <v>95</v>
      </c>
      <c r="G332" s="96">
        <v>100</v>
      </c>
      <c r="H332" s="96">
        <v>100</v>
      </c>
      <c r="I332" s="96" t="s">
        <v>29</v>
      </c>
      <c r="J332" s="93"/>
      <c r="K332" s="93">
        <v>1725</v>
      </c>
      <c r="L332" s="93">
        <v>75</v>
      </c>
      <c r="M332" s="93">
        <v>85</v>
      </c>
      <c r="N332" s="93">
        <v>95</v>
      </c>
      <c r="O332" s="93">
        <v>100</v>
      </c>
      <c r="P332" s="93">
        <v>100</v>
      </c>
      <c r="Q332" s="93">
        <v>100</v>
      </c>
      <c r="R332" s="93">
        <v>100</v>
      </c>
      <c r="S332" s="93" t="s">
        <v>29</v>
      </c>
      <c r="T332" s="93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CA332" s="12"/>
      <c r="CB332" s="12"/>
    </row>
    <row r="333" spans="1:80" x14ac:dyDescent="0.2">
      <c r="A333" s="96">
        <v>1627</v>
      </c>
      <c r="B333" s="96">
        <v>55</v>
      </c>
      <c r="C333" s="96">
        <v>65</v>
      </c>
      <c r="D333" s="96">
        <v>75</v>
      </c>
      <c r="E333" s="96">
        <v>85</v>
      </c>
      <c r="F333" s="96">
        <v>95</v>
      </c>
      <c r="G333" s="96">
        <v>100</v>
      </c>
      <c r="H333" s="96">
        <v>100</v>
      </c>
      <c r="I333" s="96" t="s">
        <v>29</v>
      </c>
      <c r="J333" s="93"/>
      <c r="K333" s="93">
        <v>1726</v>
      </c>
      <c r="L333" s="93">
        <v>75</v>
      </c>
      <c r="M333" s="93">
        <v>85</v>
      </c>
      <c r="N333" s="93">
        <v>95</v>
      </c>
      <c r="O333" s="93">
        <v>100</v>
      </c>
      <c r="P333" s="93">
        <v>100</v>
      </c>
      <c r="Q333" s="93">
        <v>100</v>
      </c>
      <c r="R333" s="93">
        <v>100</v>
      </c>
      <c r="S333" s="93" t="s">
        <v>29</v>
      </c>
      <c r="T333" s="93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CA333" s="12"/>
      <c r="CB333" s="12"/>
    </row>
    <row r="334" spans="1:80" x14ac:dyDescent="0.2">
      <c r="A334" s="96">
        <v>1628</v>
      </c>
      <c r="B334" s="96">
        <v>55</v>
      </c>
      <c r="C334" s="96">
        <v>65</v>
      </c>
      <c r="D334" s="96">
        <v>75</v>
      </c>
      <c r="E334" s="96">
        <v>85</v>
      </c>
      <c r="F334" s="96">
        <v>95</v>
      </c>
      <c r="G334" s="96">
        <v>100</v>
      </c>
      <c r="H334" s="96">
        <v>100</v>
      </c>
      <c r="I334" s="96" t="s">
        <v>29</v>
      </c>
      <c r="J334" s="93"/>
      <c r="K334" s="93">
        <v>1727</v>
      </c>
      <c r="L334" s="93">
        <v>75</v>
      </c>
      <c r="M334" s="93">
        <v>85</v>
      </c>
      <c r="N334" s="93">
        <v>95</v>
      </c>
      <c r="O334" s="93">
        <v>100</v>
      </c>
      <c r="P334" s="93">
        <v>100</v>
      </c>
      <c r="Q334" s="93">
        <v>100</v>
      </c>
      <c r="R334" s="93">
        <v>100</v>
      </c>
      <c r="S334" s="93" t="s">
        <v>29</v>
      </c>
      <c r="T334" s="93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CA334" s="12"/>
      <c r="CB334" s="12"/>
    </row>
    <row r="335" spans="1:80" x14ac:dyDescent="0.2">
      <c r="A335" s="96">
        <v>1629</v>
      </c>
      <c r="B335" s="96">
        <v>55</v>
      </c>
      <c r="C335" s="96">
        <v>65</v>
      </c>
      <c r="D335" s="96">
        <v>75</v>
      </c>
      <c r="E335" s="96">
        <v>85</v>
      </c>
      <c r="F335" s="96">
        <v>95</v>
      </c>
      <c r="G335" s="96">
        <v>100</v>
      </c>
      <c r="H335" s="96">
        <v>100</v>
      </c>
      <c r="I335" s="96" t="s">
        <v>29</v>
      </c>
      <c r="J335" s="93"/>
      <c r="K335" s="93">
        <v>1728</v>
      </c>
      <c r="L335" s="93">
        <v>75</v>
      </c>
      <c r="M335" s="93">
        <v>85</v>
      </c>
      <c r="N335" s="93">
        <v>95</v>
      </c>
      <c r="O335" s="93">
        <v>100</v>
      </c>
      <c r="P335" s="93">
        <v>100</v>
      </c>
      <c r="Q335" s="93">
        <v>100</v>
      </c>
      <c r="R335" s="93">
        <v>100</v>
      </c>
      <c r="S335" s="93" t="s">
        <v>29</v>
      </c>
      <c r="T335" s="93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CA335" s="12"/>
      <c r="CB335" s="12"/>
    </row>
    <row r="336" spans="1:80" x14ac:dyDescent="0.2">
      <c r="A336" s="96">
        <v>1630</v>
      </c>
      <c r="B336" s="96">
        <v>55</v>
      </c>
      <c r="C336" s="96">
        <v>65</v>
      </c>
      <c r="D336" s="96">
        <v>75</v>
      </c>
      <c r="E336" s="96">
        <v>85</v>
      </c>
      <c r="F336" s="96">
        <v>95</v>
      </c>
      <c r="G336" s="96">
        <v>100</v>
      </c>
      <c r="H336" s="96">
        <v>100</v>
      </c>
      <c r="I336" s="96" t="s">
        <v>29</v>
      </c>
      <c r="J336" s="93"/>
      <c r="K336" s="93">
        <v>1729</v>
      </c>
      <c r="L336" s="93">
        <v>75</v>
      </c>
      <c r="M336" s="93">
        <v>85</v>
      </c>
      <c r="N336" s="93">
        <v>95</v>
      </c>
      <c r="O336" s="93">
        <v>100</v>
      </c>
      <c r="P336" s="93">
        <v>100</v>
      </c>
      <c r="Q336" s="93">
        <v>100</v>
      </c>
      <c r="R336" s="93">
        <v>100</v>
      </c>
      <c r="S336" s="93" t="s">
        <v>29</v>
      </c>
      <c r="T336" s="93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CA336" s="12"/>
      <c r="CB336" s="12"/>
    </row>
    <row r="337" spans="1:80" x14ac:dyDescent="0.2">
      <c r="A337" s="96">
        <v>1631</v>
      </c>
      <c r="B337" s="96">
        <v>55</v>
      </c>
      <c r="C337" s="96">
        <v>65</v>
      </c>
      <c r="D337" s="96">
        <v>75</v>
      </c>
      <c r="E337" s="96">
        <v>85</v>
      </c>
      <c r="F337" s="96">
        <v>90</v>
      </c>
      <c r="G337" s="96">
        <v>100</v>
      </c>
      <c r="H337" s="96">
        <v>100</v>
      </c>
      <c r="I337" s="96" t="s">
        <v>29</v>
      </c>
      <c r="J337" s="93"/>
      <c r="K337" s="93">
        <v>1730</v>
      </c>
      <c r="L337" s="93">
        <v>75</v>
      </c>
      <c r="M337" s="93">
        <v>85</v>
      </c>
      <c r="N337" s="93">
        <v>95</v>
      </c>
      <c r="O337" s="93">
        <v>100</v>
      </c>
      <c r="P337" s="93">
        <v>100</v>
      </c>
      <c r="Q337" s="93">
        <v>100</v>
      </c>
      <c r="R337" s="93">
        <v>100</v>
      </c>
      <c r="S337" s="93" t="s">
        <v>29</v>
      </c>
      <c r="T337" s="93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CA337" s="12"/>
      <c r="CB337" s="12"/>
    </row>
    <row r="338" spans="1:80" x14ac:dyDescent="0.2">
      <c r="A338" s="96">
        <v>1632</v>
      </c>
      <c r="B338" s="96">
        <v>55</v>
      </c>
      <c r="C338" s="96">
        <v>65</v>
      </c>
      <c r="D338" s="96">
        <v>75</v>
      </c>
      <c r="E338" s="96">
        <v>85</v>
      </c>
      <c r="F338" s="96">
        <v>90</v>
      </c>
      <c r="G338" s="96">
        <v>100</v>
      </c>
      <c r="H338" s="96">
        <v>100</v>
      </c>
      <c r="I338" s="96" t="s">
        <v>29</v>
      </c>
      <c r="J338" s="93"/>
      <c r="K338" s="93">
        <v>1731</v>
      </c>
      <c r="L338" s="93">
        <v>75</v>
      </c>
      <c r="M338" s="93">
        <v>85</v>
      </c>
      <c r="N338" s="93">
        <v>95</v>
      </c>
      <c r="O338" s="93">
        <v>100</v>
      </c>
      <c r="P338" s="93">
        <v>100</v>
      </c>
      <c r="Q338" s="93">
        <v>100</v>
      </c>
      <c r="R338" s="93">
        <v>100</v>
      </c>
      <c r="S338" s="93" t="s">
        <v>29</v>
      </c>
      <c r="T338" s="93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CA338" s="12"/>
      <c r="CB338" s="12"/>
    </row>
    <row r="339" spans="1:80" x14ac:dyDescent="0.2">
      <c r="A339" s="96">
        <v>1633</v>
      </c>
      <c r="B339" s="96">
        <v>55</v>
      </c>
      <c r="C339" s="96">
        <v>65</v>
      </c>
      <c r="D339" s="96">
        <v>75</v>
      </c>
      <c r="E339" s="96">
        <v>85</v>
      </c>
      <c r="F339" s="96">
        <v>90</v>
      </c>
      <c r="G339" s="96">
        <v>100</v>
      </c>
      <c r="H339" s="96">
        <v>100</v>
      </c>
      <c r="I339" s="96" t="s">
        <v>29</v>
      </c>
      <c r="J339" s="93"/>
      <c r="K339" s="93">
        <v>1732</v>
      </c>
      <c r="L339" s="93">
        <v>75</v>
      </c>
      <c r="M339" s="93">
        <v>85</v>
      </c>
      <c r="N339" s="93">
        <v>95</v>
      </c>
      <c r="O339" s="93">
        <v>100</v>
      </c>
      <c r="P339" s="93">
        <v>100</v>
      </c>
      <c r="Q339" s="93">
        <v>100</v>
      </c>
      <c r="R339" s="93">
        <v>100</v>
      </c>
      <c r="S339" s="93" t="s">
        <v>29</v>
      </c>
      <c r="T339" s="93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CA339" s="12"/>
      <c r="CB339" s="12"/>
    </row>
    <row r="340" spans="1:80" x14ac:dyDescent="0.2">
      <c r="A340" s="96">
        <v>1634</v>
      </c>
      <c r="B340" s="96">
        <v>55</v>
      </c>
      <c r="C340" s="96">
        <v>65</v>
      </c>
      <c r="D340" s="96">
        <v>75</v>
      </c>
      <c r="E340" s="96">
        <v>85</v>
      </c>
      <c r="F340" s="96">
        <v>90</v>
      </c>
      <c r="G340" s="96">
        <v>100</v>
      </c>
      <c r="H340" s="96">
        <v>100</v>
      </c>
      <c r="I340" s="96" t="s">
        <v>29</v>
      </c>
      <c r="J340" s="93"/>
      <c r="K340" s="93">
        <v>1733</v>
      </c>
      <c r="L340" s="93">
        <v>75</v>
      </c>
      <c r="M340" s="93">
        <v>85</v>
      </c>
      <c r="N340" s="93">
        <v>95</v>
      </c>
      <c r="O340" s="93">
        <v>100</v>
      </c>
      <c r="P340" s="93">
        <v>100</v>
      </c>
      <c r="Q340" s="93">
        <v>100</v>
      </c>
      <c r="R340" s="93">
        <v>100</v>
      </c>
      <c r="S340" s="93" t="s">
        <v>29</v>
      </c>
      <c r="T340" s="93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CA340" s="12"/>
      <c r="CB340" s="12"/>
    </row>
    <row r="341" spans="1:80" x14ac:dyDescent="0.2">
      <c r="A341" s="96">
        <v>1635</v>
      </c>
      <c r="B341" s="96">
        <v>55</v>
      </c>
      <c r="C341" s="96">
        <v>65</v>
      </c>
      <c r="D341" s="96">
        <v>75</v>
      </c>
      <c r="E341" s="96">
        <v>85</v>
      </c>
      <c r="F341" s="96">
        <v>90</v>
      </c>
      <c r="G341" s="96">
        <v>100</v>
      </c>
      <c r="H341" s="96">
        <v>100</v>
      </c>
      <c r="I341" s="96" t="s">
        <v>29</v>
      </c>
      <c r="J341" s="93"/>
      <c r="K341" s="93">
        <v>1734</v>
      </c>
      <c r="L341" s="93">
        <v>75</v>
      </c>
      <c r="M341" s="93">
        <v>85</v>
      </c>
      <c r="N341" s="93">
        <v>95</v>
      </c>
      <c r="O341" s="93">
        <v>100</v>
      </c>
      <c r="P341" s="93">
        <v>100</v>
      </c>
      <c r="Q341" s="93">
        <v>100</v>
      </c>
      <c r="R341" s="93">
        <v>100</v>
      </c>
      <c r="S341" s="93" t="s">
        <v>29</v>
      </c>
      <c r="T341" s="93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CA341" s="12"/>
      <c r="CB341" s="12"/>
    </row>
    <row r="342" spans="1:80" x14ac:dyDescent="0.2">
      <c r="A342" s="96">
        <v>1636</v>
      </c>
      <c r="B342" s="96">
        <v>55</v>
      </c>
      <c r="C342" s="96">
        <v>65</v>
      </c>
      <c r="D342" s="96">
        <v>75</v>
      </c>
      <c r="E342" s="96">
        <v>85</v>
      </c>
      <c r="F342" s="96">
        <v>90</v>
      </c>
      <c r="G342" s="96">
        <v>100</v>
      </c>
      <c r="H342" s="96">
        <v>100</v>
      </c>
      <c r="I342" s="96" t="s">
        <v>29</v>
      </c>
      <c r="J342" s="93"/>
      <c r="K342" s="93">
        <v>1735</v>
      </c>
      <c r="L342" s="93">
        <v>75</v>
      </c>
      <c r="M342" s="93">
        <v>85</v>
      </c>
      <c r="N342" s="93">
        <v>95</v>
      </c>
      <c r="O342" s="93">
        <v>100</v>
      </c>
      <c r="P342" s="93">
        <v>100</v>
      </c>
      <c r="Q342" s="93">
        <v>100</v>
      </c>
      <c r="R342" s="93">
        <v>100</v>
      </c>
      <c r="S342" s="93" t="s">
        <v>29</v>
      </c>
      <c r="T342" s="93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CA342" s="12"/>
      <c r="CB342" s="12"/>
    </row>
    <row r="343" spans="1:80" x14ac:dyDescent="0.2">
      <c r="A343" s="96">
        <v>1637</v>
      </c>
      <c r="B343" s="96">
        <v>55</v>
      </c>
      <c r="C343" s="96">
        <v>65</v>
      </c>
      <c r="D343" s="96">
        <v>75</v>
      </c>
      <c r="E343" s="96">
        <v>85</v>
      </c>
      <c r="F343" s="96">
        <v>90</v>
      </c>
      <c r="G343" s="96">
        <v>100</v>
      </c>
      <c r="H343" s="96">
        <v>100</v>
      </c>
      <c r="I343" s="96" t="s">
        <v>29</v>
      </c>
      <c r="J343" s="93"/>
      <c r="K343" s="93">
        <v>1736</v>
      </c>
      <c r="L343" s="93">
        <v>75</v>
      </c>
      <c r="M343" s="93">
        <v>85</v>
      </c>
      <c r="N343" s="93">
        <v>95</v>
      </c>
      <c r="O343" s="93">
        <v>100</v>
      </c>
      <c r="P343" s="93">
        <v>100</v>
      </c>
      <c r="Q343" s="93">
        <v>100</v>
      </c>
      <c r="R343" s="93">
        <v>100</v>
      </c>
      <c r="S343" s="93" t="s">
        <v>29</v>
      </c>
      <c r="T343" s="93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CA343" s="12"/>
      <c r="CB343" s="12"/>
    </row>
    <row r="344" spans="1:80" x14ac:dyDescent="0.2">
      <c r="A344" s="96">
        <v>1638</v>
      </c>
      <c r="B344" s="96">
        <v>55</v>
      </c>
      <c r="C344" s="96">
        <v>65</v>
      </c>
      <c r="D344" s="96">
        <v>75</v>
      </c>
      <c r="E344" s="96">
        <v>85</v>
      </c>
      <c r="F344" s="96">
        <v>90</v>
      </c>
      <c r="G344" s="96">
        <v>100</v>
      </c>
      <c r="H344" s="96">
        <v>100</v>
      </c>
      <c r="I344" s="96" t="s">
        <v>29</v>
      </c>
      <c r="J344" s="93"/>
      <c r="K344" s="93">
        <v>1737</v>
      </c>
      <c r="L344" s="93">
        <v>75</v>
      </c>
      <c r="M344" s="93">
        <v>85</v>
      </c>
      <c r="N344" s="93">
        <v>95</v>
      </c>
      <c r="O344" s="93">
        <v>100</v>
      </c>
      <c r="P344" s="93">
        <v>100</v>
      </c>
      <c r="Q344" s="93">
        <v>100</v>
      </c>
      <c r="R344" s="93">
        <v>100</v>
      </c>
      <c r="S344" s="93" t="s">
        <v>29</v>
      </c>
      <c r="T344" s="93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CA344" s="12"/>
      <c r="CB344" s="12"/>
    </row>
    <row r="345" spans="1:80" x14ac:dyDescent="0.2">
      <c r="A345" s="96">
        <v>1639</v>
      </c>
      <c r="B345" s="96">
        <v>55</v>
      </c>
      <c r="C345" s="96">
        <v>65</v>
      </c>
      <c r="D345" s="96">
        <v>75</v>
      </c>
      <c r="E345" s="96">
        <v>85</v>
      </c>
      <c r="F345" s="96">
        <v>90</v>
      </c>
      <c r="G345" s="96">
        <v>100</v>
      </c>
      <c r="H345" s="96">
        <v>100</v>
      </c>
      <c r="I345" s="96" t="s">
        <v>29</v>
      </c>
      <c r="J345" s="93"/>
      <c r="K345" s="93">
        <v>1738</v>
      </c>
      <c r="L345" s="93">
        <v>75</v>
      </c>
      <c r="M345" s="93">
        <v>85</v>
      </c>
      <c r="N345" s="93">
        <v>95</v>
      </c>
      <c r="O345" s="93">
        <v>100</v>
      </c>
      <c r="P345" s="93">
        <v>100</v>
      </c>
      <c r="Q345" s="93">
        <v>100</v>
      </c>
      <c r="R345" s="93">
        <v>100</v>
      </c>
      <c r="S345" s="93" t="s">
        <v>29</v>
      </c>
      <c r="T345" s="93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CA345" s="12"/>
      <c r="CB345" s="12"/>
    </row>
    <row r="346" spans="1:80" x14ac:dyDescent="0.2">
      <c r="A346" s="96">
        <v>1640</v>
      </c>
      <c r="B346" s="96">
        <v>55</v>
      </c>
      <c r="C346" s="96">
        <v>65</v>
      </c>
      <c r="D346" s="96">
        <v>75</v>
      </c>
      <c r="E346" s="96">
        <v>85</v>
      </c>
      <c r="F346" s="96">
        <v>90</v>
      </c>
      <c r="G346" s="96">
        <v>100</v>
      </c>
      <c r="H346" s="96">
        <v>100</v>
      </c>
      <c r="I346" s="96" t="s">
        <v>29</v>
      </c>
      <c r="J346" s="93"/>
      <c r="K346" s="93">
        <v>1739</v>
      </c>
      <c r="L346" s="93">
        <v>75</v>
      </c>
      <c r="M346" s="93">
        <v>85</v>
      </c>
      <c r="N346" s="93">
        <v>95</v>
      </c>
      <c r="O346" s="93">
        <v>100</v>
      </c>
      <c r="P346" s="93">
        <v>100</v>
      </c>
      <c r="Q346" s="93">
        <v>100</v>
      </c>
      <c r="R346" s="93">
        <v>100</v>
      </c>
      <c r="S346" s="93" t="s">
        <v>29</v>
      </c>
      <c r="T346" s="93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CA346" s="12"/>
      <c r="CB346" s="12"/>
    </row>
    <row r="347" spans="1:80" x14ac:dyDescent="0.2">
      <c r="A347" s="96">
        <v>1641</v>
      </c>
      <c r="B347" s="96">
        <v>50</v>
      </c>
      <c r="C347" s="96">
        <v>60</v>
      </c>
      <c r="D347" s="96">
        <v>70</v>
      </c>
      <c r="E347" s="96">
        <v>80</v>
      </c>
      <c r="F347" s="96">
        <v>90</v>
      </c>
      <c r="G347" s="96">
        <v>100</v>
      </c>
      <c r="H347" s="96">
        <v>100</v>
      </c>
      <c r="I347" s="96" t="s">
        <v>29</v>
      </c>
      <c r="J347" s="93"/>
      <c r="K347" s="93">
        <v>1740</v>
      </c>
      <c r="L347" s="93">
        <v>75</v>
      </c>
      <c r="M347" s="93">
        <v>85</v>
      </c>
      <c r="N347" s="93">
        <v>95</v>
      </c>
      <c r="O347" s="93">
        <v>100</v>
      </c>
      <c r="P347" s="93">
        <v>100</v>
      </c>
      <c r="Q347" s="93">
        <v>100</v>
      </c>
      <c r="R347" s="93">
        <v>100</v>
      </c>
      <c r="S347" s="93" t="s">
        <v>29</v>
      </c>
      <c r="T347" s="93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CA347" s="12"/>
      <c r="CB347" s="12"/>
    </row>
    <row r="348" spans="1:80" x14ac:dyDescent="0.2">
      <c r="A348" s="96">
        <v>1642</v>
      </c>
      <c r="B348" s="96">
        <v>50</v>
      </c>
      <c r="C348" s="96">
        <v>60</v>
      </c>
      <c r="D348" s="96">
        <v>70</v>
      </c>
      <c r="E348" s="96">
        <v>80</v>
      </c>
      <c r="F348" s="96">
        <v>90</v>
      </c>
      <c r="G348" s="96">
        <v>100</v>
      </c>
      <c r="H348" s="96">
        <v>100</v>
      </c>
      <c r="I348" s="96" t="s">
        <v>29</v>
      </c>
      <c r="J348" s="93"/>
      <c r="K348" s="93">
        <v>1741</v>
      </c>
      <c r="L348" s="93">
        <v>70</v>
      </c>
      <c r="M348" s="93">
        <v>80</v>
      </c>
      <c r="N348" s="93">
        <v>90</v>
      </c>
      <c r="O348" s="93">
        <v>100</v>
      </c>
      <c r="P348" s="93">
        <v>100</v>
      </c>
      <c r="Q348" s="93">
        <v>100</v>
      </c>
      <c r="R348" s="93">
        <v>100</v>
      </c>
      <c r="S348" s="93" t="s">
        <v>29</v>
      </c>
      <c r="T348" s="93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CA348" s="12"/>
      <c r="CB348" s="12"/>
    </row>
    <row r="349" spans="1:80" x14ac:dyDescent="0.2">
      <c r="A349" s="96">
        <v>1643</v>
      </c>
      <c r="B349" s="96">
        <v>50</v>
      </c>
      <c r="C349" s="96">
        <v>60</v>
      </c>
      <c r="D349" s="96">
        <v>70</v>
      </c>
      <c r="E349" s="96">
        <v>80</v>
      </c>
      <c r="F349" s="96">
        <v>90</v>
      </c>
      <c r="G349" s="96">
        <v>100</v>
      </c>
      <c r="H349" s="96">
        <v>100</v>
      </c>
      <c r="I349" s="96" t="s">
        <v>29</v>
      </c>
      <c r="J349" s="93"/>
      <c r="K349" s="93">
        <v>1742</v>
      </c>
      <c r="L349" s="93">
        <v>70</v>
      </c>
      <c r="M349" s="93">
        <v>80</v>
      </c>
      <c r="N349" s="93">
        <v>90</v>
      </c>
      <c r="O349" s="93">
        <v>100</v>
      </c>
      <c r="P349" s="93">
        <v>100</v>
      </c>
      <c r="Q349" s="93">
        <v>100</v>
      </c>
      <c r="R349" s="93">
        <v>100</v>
      </c>
      <c r="S349" s="93" t="s">
        <v>29</v>
      </c>
      <c r="T349" s="93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CA349" s="12"/>
      <c r="CB349" s="12"/>
    </row>
    <row r="350" spans="1:80" x14ac:dyDescent="0.2">
      <c r="A350" s="96">
        <v>1644</v>
      </c>
      <c r="B350" s="96">
        <v>50</v>
      </c>
      <c r="C350" s="96">
        <v>60</v>
      </c>
      <c r="D350" s="96">
        <v>70</v>
      </c>
      <c r="E350" s="96">
        <v>80</v>
      </c>
      <c r="F350" s="96">
        <v>90</v>
      </c>
      <c r="G350" s="96">
        <v>100</v>
      </c>
      <c r="H350" s="96">
        <v>100</v>
      </c>
      <c r="I350" s="96" t="s">
        <v>29</v>
      </c>
      <c r="J350" s="93"/>
      <c r="K350" s="93">
        <v>1743</v>
      </c>
      <c r="L350" s="93">
        <v>70</v>
      </c>
      <c r="M350" s="93">
        <v>80</v>
      </c>
      <c r="N350" s="93">
        <v>90</v>
      </c>
      <c r="O350" s="93">
        <v>100</v>
      </c>
      <c r="P350" s="93">
        <v>100</v>
      </c>
      <c r="Q350" s="93">
        <v>100</v>
      </c>
      <c r="R350" s="93">
        <v>100</v>
      </c>
      <c r="S350" s="93" t="s">
        <v>29</v>
      </c>
      <c r="T350" s="93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CA350" s="12"/>
      <c r="CB350" s="12"/>
    </row>
    <row r="351" spans="1:80" x14ac:dyDescent="0.2">
      <c r="A351" s="96">
        <v>1645</v>
      </c>
      <c r="B351" s="96">
        <v>50</v>
      </c>
      <c r="C351" s="96">
        <v>60</v>
      </c>
      <c r="D351" s="96">
        <v>70</v>
      </c>
      <c r="E351" s="96">
        <v>80</v>
      </c>
      <c r="F351" s="96">
        <v>90</v>
      </c>
      <c r="G351" s="96">
        <v>100</v>
      </c>
      <c r="H351" s="96">
        <v>100</v>
      </c>
      <c r="I351" s="96" t="s">
        <v>29</v>
      </c>
      <c r="J351" s="93"/>
      <c r="K351" s="93">
        <v>1744</v>
      </c>
      <c r="L351" s="93">
        <v>70</v>
      </c>
      <c r="M351" s="93">
        <v>80</v>
      </c>
      <c r="N351" s="93">
        <v>90</v>
      </c>
      <c r="O351" s="93">
        <v>100</v>
      </c>
      <c r="P351" s="93">
        <v>100</v>
      </c>
      <c r="Q351" s="93">
        <v>100</v>
      </c>
      <c r="R351" s="93">
        <v>100</v>
      </c>
      <c r="S351" s="93" t="s">
        <v>29</v>
      </c>
      <c r="T351" s="93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CA351" s="12"/>
      <c r="CB351" s="12"/>
    </row>
    <row r="352" spans="1:80" x14ac:dyDescent="0.2">
      <c r="A352" s="96">
        <v>1646</v>
      </c>
      <c r="B352" s="96">
        <v>50</v>
      </c>
      <c r="C352" s="96">
        <v>60</v>
      </c>
      <c r="D352" s="96">
        <v>70</v>
      </c>
      <c r="E352" s="96">
        <v>80</v>
      </c>
      <c r="F352" s="96">
        <v>90</v>
      </c>
      <c r="G352" s="96">
        <v>100</v>
      </c>
      <c r="H352" s="96">
        <v>100</v>
      </c>
      <c r="I352" s="96" t="s">
        <v>29</v>
      </c>
      <c r="J352" s="93"/>
      <c r="K352" s="93">
        <v>1745</v>
      </c>
      <c r="L352" s="93">
        <v>70</v>
      </c>
      <c r="M352" s="93">
        <v>80</v>
      </c>
      <c r="N352" s="93">
        <v>90</v>
      </c>
      <c r="O352" s="93">
        <v>100</v>
      </c>
      <c r="P352" s="93">
        <v>100</v>
      </c>
      <c r="Q352" s="93">
        <v>100</v>
      </c>
      <c r="R352" s="93">
        <v>100</v>
      </c>
      <c r="S352" s="93" t="s">
        <v>29</v>
      </c>
      <c r="T352" s="93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CA352" s="12"/>
      <c r="CB352" s="12"/>
    </row>
    <row r="353" spans="1:80" x14ac:dyDescent="0.2">
      <c r="A353" s="96">
        <v>1647</v>
      </c>
      <c r="B353" s="96">
        <v>50</v>
      </c>
      <c r="C353" s="96">
        <v>60</v>
      </c>
      <c r="D353" s="96">
        <v>70</v>
      </c>
      <c r="E353" s="96">
        <v>80</v>
      </c>
      <c r="F353" s="96">
        <v>90</v>
      </c>
      <c r="G353" s="96">
        <v>100</v>
      </c>
      <c r="H353" s="96">
        <v>100</v>
      </c>
      <c r="I353" s="96" t="s">
        <v>29</v>
      </c>
      <c r="J353" s="93"/>
      <c r="K353" s="93">
        <v>1746</v>
      </c>
      <c r="L353" s="93">
        <v>70</v>
      </c>
      <c r="M353" s="93">
        <v>80</v>
      </c>
      <c r="N353" s="93">
        <v>90</v>
      </c>
      <c r="O353" s="93">
        <v>100</v>
      </c>
      <c r="P353" s="93">
        <v>100</v>
      </c>
      <c r="Q353" s="93">
        <v>100</v>
      </c>
      <c r="R353" s="93">
        <v>100</v>
      </c>
      <c r="S353" s="93" t="s">
        <v>29</v>
      </c>
      <c r="T353" s="93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CA353" s="12"/>
      <c r="CB353" s="12"/>
    </row>
    <row r="354" spans="1:80" x14ac:dyDescent="0.2">
      <c r="A354" s="96">
        <v>1648</v>
      </c>
      <c r="B354" s="96">
        <v>50</v>
      </c>
      <c r="C354" s="96">
        <v>60</v>
      </c>
      <c r="D354" s="96">
        <v>70</v>
      </c>
      <c r="E354" s="96">
        <v>80</v>
      </c>
      <c r="F354" s="96">
        <v>90</v>
      </c>
      <c r="G354" s="96">
        <v>100</v>
      </c>
      <c r="H354" s="96">
        <v>100</v>
      </c>
      <c r="I354" s="96" t="s">
        <v>29</v>
      </c>
      <c r="J354" s="93"/>
      <c r="K354" s="93">
        <v>1747</v>
      </c>
      <c r="L354" s="93">
        <v>70</v>
      </c>
      <c r="M354" s="93">
        <v>80</v>
      </c>
      <c r="N354" s="93">
        <v>90</v>
      </c>
      <c r="O354" s="93">
        <v>100</v>
      </c>
      <c r="P354" s="93">
        <v>100</v>
      </c>
      <c r="Q354" s="93">
        <v>100</v>
      </c>
      <c r="R354" s="93">
        <v>100</v>
      </c>
      <c r="S354" s="93" t="s">
        <v>29</v>
      </c>
      <c r="T354" s="93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CA354" s="12"/>
      <c r="CB354" s="12"/>
    </row>
    <row r="355" spans="1:80" x14ac:dyDescent="0.2">
      <c r="A355" s="96">
        <v>1649</v>
      </c>
      <c r="B355" s="96">
        <v>50</v>
      </c>
      <c r="C355" s="96">
        <v>60</v>
      </c>
      <c r="D355" s="96">
        <v>70</v>
      </c>
      <c r="E355" s="96">
        <v>80</v>
      </c>
      <c r="F355" s="96">
        <v>90</v>
      </c>
      <c r="G355" s="96">
        <v>100</v>
      </c>
      <c r="H355" s="96">
        <v>100</v>
      </c>
      <c r="I355" s="96" t="s">
        <v>29</v>
      </c>
      <c r="J355" s="93"/>
      <c r="K355" s="93">
        <v>1748</v>
      </c>
      <c r="L355" s="93">
        <v>70</v>
      </c>
      <c r="M355" s="93">
        <v>80</v>
      </c>
      <c r="N355" s="93">
        <v>90</v>
      </c>
      <c r="O355" s="93">
        <v>100</v>
      </c>
      <c r="P355" s="93">
        <v>100</v>
      </c>
      <c r="Q355" s="93">
        <v>100</v>
      </c>
      <c r="R355" s="93">
        <v>100</v>
      </c>
      <c r="S355" s="93" t="s">
        <v>29</v>
      </c>
      <c r="T355" s="93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CA355" s="12"/>
      <c r="CB355" s="12"/>
    </row>
    <row r="356" spans="1:80" x14ac:dyDescent="0.2">
      <c r="A356" s="96">
        <v>1650</v>
      </c>
      <c r="B356" s="96">
        <v>50</v>
      </c>
      <c r="C356" s="96">
        <v>60</v>
      </c>
      <c r="D356" s="96">
        <v>70</v>
      </c>
      <c r="E356" s="96">
        <v>80</v>
      </c>
      <c r="F356" s="96">
        <v>90</v>
      </c>
      <c r="G356" s="96">
        <v>100</v>
      </c>
      <c r="H356" s="96">
        <v>100</v>
      </c>
      <c r="I356" s="96" t="s">
        <v>29</v>
      </c>
      <c r="J356" s="93"/>
      <c r="K356" s="93">
        <v>1749</v>
      </c>
      <c r="L356" s="93">
        <v>70</v>
      </c>
      <c r="M356" s="93">
        <v>80</v>
      </c>
      <c r="N356" s="93">
        <v>90</v>
      </c>
      <c r="O356" s="93">
        <v>100</v>
      </c>
      <c r="P356" s="93">
        <v>100</v>
      </c>
      <c r="Q356" s="93">
        <v>100</v>
      </c>
      <c r="R356" s="93">
        <v>100</v>
      </c>
      <c r="S356" s="93" t="s">
        <v>29</v>
      </c>
      <c r="T356" s="93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CA356" s="12"/>
      <c r="CB356" s="12"/>
    </row>
    <row r="357" spans="1:80" x14ac:dyDescent="0.2">
      <c r="A357" s="96">
        <v>1651</v>
      </c>
      <c r="B357" s="96">
        <v>50</v>
      </c>
      <c r="C357" s="96">
        <v>60</v>
      </c>
      <c r="D357" s="96">
        <v>70</v>
      </c>
      <c r="E357" s="96">
        <v>80</v>
      </c>
      <c r="F357" s="96">
        <v>85</v>
      </c>
      <c r="G357" s="96">
        <v>100</v>
      </c>
      <c r="H357" s="96">
        <v>100</v>
      </c>
      <c r="I357" s="96" t="s">
        <v>29</v>
      </c>
      <c r="J357" s="93"/>
      <c r="K357" s="93">
        <v>1750</v>
      </c>
      <c r="L357" s="93">
        <v>70</v>
      </c>
      <c r="M357" s="93">
        <v>80</v>
      </c>
      <c r="N357" s="93">
        <v>90</v>
      </c>
      <c r="O357" s="93">
        <v>100</v>
      </c>
      <c r="P357" s="93">
        <v>100</v>
      </c>
      <c r="Q357" s="93">
        <v>100</v>
      </c>
      <c r="R357" s="93">
        <v>100</v>
      </c>
      <c r="S357" s="93" t="s">
        <v>29</v>
      </c>
      <c r="T357" s="93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CA357" s="12"/>
      <c r="CB357" s="12"/>
    </row>
    <row r="358" spans="1:80" x14ac:dyDescent="0.2">
      <c r="A358" s="96">
        <v>1652</v>
      </c>
      <c r="B358" s="96">
        <v>50</v>
      </c>
      <c r="C358" s="96">
        <v>60</v>
      </c>
      <c r="D358" s="96">
        <v>70</v>
      </c>
      <c r="E358" s="96">
        <v>80</v>
      </c>
      <c r="F358" s="96">
        <v>85</v>
      </c>
      <c r="G358" s="96">
        <v>100</v>
      </c>
      <c r="H358" s="96">
        <v>100</v>
      </c>
      <c r="I358" s="96" t="s">
        <v>29</v>
      </c>
      <c r="J358" s="93"/>
      <c r="K358" s="93">
        <v>1751</v>
      </c>
      <c r="L358" s="93">
        <v>70</v>
      </c>
      <c r="M358" s="93">
        <v>80</v>
      </c>
      <c r="N358" s="93">
        <v>90</v>
      </c>
      <c r="O358" s="93">
        <v>100</v>
      </c>
      <c r="P358" s="93">
        <v>100</v>
      </c>
      <c r="Q358" s="93">
        <v>100</v>
      </c>
      <c r="R358" s="93">
        <v>100</v>
      </c>
      <c r="S358" s="93" t="s">
        <v>29</v>
      </c>
      <c r="T358" s="93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CA358" s="12"/>
      <c r="CB358" s="12"/>
    </row>
    <row r="359" spans="1:80" x14ac:dyDescent="0.2">
      <c r="A359" s="96">
        <v>1653</v>
      </c>
      <c r="B359" s="96">
        <v>50</v>
      </c>
      <c r="C359" s="96">
        <v>60</v>
      </c>
      <c r="D359" s="96">
        <v>70</v>
      </c>
      <c r="E359" s="96">
        <v>80</v>
      </c>
      <c r="F359" s="96">
        <v>85</v>
      </c>
      <c r="G359" s="96">
        <v>100</v>
      </c>
      <c r="H359" s="96">
        <v>100</v>
      </c>
      <c r="I359" s="96" t="s">
        <v>29</v>
      </c>
      <c r="J359" s="93"/>
      <c r="K359" s="93">
        <v>1752</v>
      </c>
      <c r="L359" s="93">
        <v>70</v>
      </c>
      <c r="M359" s="93">
        <v>80</v>
      </c>
      <c r="N359" s="93">
        <v>90</v>
      </c>
      <c r="O359" s="93">
        <v>100</v>
      </c>
      <c r="P359" s="93">
        <v>100</v>
      </c>
      <c r="Q359" s="93">
        <v>100</v>
      </c>
      <c r="R359" s="93">
        <v>100</v>
      </c>
      <c r="S359" s="93" t="s">
        <v>29</v>
      </c>
      <c r="T359" s="93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CA359" s="12"/>
      <c r="CB359" s="12"/>
    </row>
    <row r="360" spans="1:80" x14ac:dyDescent="0.2">
      <c r="A360" s="96">
        <v>1654</v>
      </c>
      <c r="B360" s="96">
        <v>50</v>
      </c>
      <c r="C360" s="96">
        <v>60</v>
      </c>
      <c r="D360" s="96">
        <v>70</v>
      </c>
      <c r="E360" s="96">
        <v>80</v>
      </c>
      <c r="F360" s="96">
        <v>85</v>
      </c>
      <c r="G360" s="96">
        <v>100</v>
      </c>
      <c r="H360" s="96">
        <v>100</v>
      </c>
      <c r="I360" s="96" t="s">
        <v>29</v>
      </c>
      <c r="J360" s="93"/>
      <c r="K360" s="93">
        <v>1753</v>
      </c>
      <c r="L360" s="93">
        <v>70</v>
      </c>
      <c r="M360" s="93">
        <v>80</v>
      </c>
      <c r="N360" s="93">
        <v>90</v>
      </c>
      <c r="O360" s="93">
        <v>100</v>
      </c>
      <c r="P360" s="93">
        <v>100</v>
      </c>
      <c r="Q360" s="93">
        <v>100</v>
      </c>
      <c r="R360" s="93">
        <v>100</v>
      </c>
      <c r="S360" s="93" t="s">
        <v>29</v>
      </c>
      <c r="T360" s="93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CA360" s="12"/>
      <c r="CB360" s="12"/>
    </row>
    <row r="361" spans="1:80" x14ac:dyDescent="0.2">
      <c r="A361" s="96">
        <v>1655</v>
      </c>
      <c r="B361" s="96">
        <v>50</v>
      </c>
      <c r="C361" s="96">
        <v>60</v>
      </c>
      <c r="D361" s="96">
        <v>70</v>
      </c>
      <c r="E361" s="96">
        <v>80</v>
      </c>
      <c r="F361" s="96">
        <v>85</v>
      </c>
      <c r="G361" s="96">
        <v>100</v>
      </c>
      <c r="H361" s="96">
        <v>100</v>
      </c>
      <c r="I361" s="96" t="s">
        <v>29</v>
      </c>
      <c r="J361" s="93"/>
      <c r="K361" s="93">
        <v>1754</v>
      </c>
      <c r="L361" s="93">
        <v>70</v>
      </c>
      <c r="M361" s="93">
        <v>80</v>
      </c>
      <c r="N361" s="93">
        <v>90</v>
      </c>
      <c r="O361" s="93">
        <v>100</v>
      </c>
      <c r="P361" s="93">
        <v>100</v>
      </c>
      <c r="Q361" s="93">
        <v>100</v>
      </c>
      <c r="R361" s="93">
        <v>100</v>
      </c>
      <c r="S361" s="93" t="s">
        <v>29</v>
      </c>
      <c r="T361" s="93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CA361" s="12"/>
      <c r="CB361" s="12"/>
    </row>
    <row r="362" spans="1:80" x14ac:dyDescent="0.2">
      <c r="A362" s="96">
        <v>1656</v>
      </c>
      <c r="B362" s="96">
        <v>50</v>
      </c>
      <c r="C362" s="96">
        <v>60</v>
      </c>
      <c r="D362" s="96">
        <v>70</v>
      </c>
      <c r="E362" s="96">
        <v>80</v>
      </c>
      <c r="F362" s="96">
        <v>85</v>
      </c>
      <c r="G362" s="96">
        <v>100</v>
      </c>
      <c r="H362" s="96">
        <v>100</v>
      </c>
      <c r="I362" s="96" t="s">
        <v>29</v>
      </c>
      <c r="J362" s="93"/>
      <c r="K362" s="93">
        <v>1755</v>
      </c>
      <c r="L362" s="93">
        <v>70</v>
      </c>
      <c r="M362" s="93">
        <v>80</v>
      </c>
      <c r="N362" s="93">
        <v>90</v>
      </c>
      <c r="O362" s="93">
        <v>100</v>
      </c>
      <c r="P362" s="93">
        <v>100</v>
      </c>
      <c r="Q362" s="93">
        <v>100</v>
      </c>
      <c r="R362" s="93">
        <v>100</v>
      </c>
      <c r="S362" s="93" t="s">
        <v>29</v>
      </c>
      <c r="T362" s="93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CA362" s="12"/>
      <c r="CB362" s="12"/>
    </row>
    <row r="363" spans="1:80" x14ac:dyDescent="0.2">
      <c r="A363" s="96">
        <v>1657</v>
      </c>
      <c r="B363" s="96">
        <v>50</v>
      </c>
      <c r="C363" s="96">
        <v>60</v>
      </c>
      <c r="D363" s="96">
        <v>70</v>
      </c>
      <c r="E363" s="96">
        <v>80</v>
      </c>
      <c r="F363" s="96">
        <v>85</v>
      </c>
      <c r="G363" s="96">
        <v>100</v>
      </c>
      <c r="H363" s="96">
        <v>100</v>
      </c>
      <c r="I363" s="96" t="s">
        <v>29</v>
      </c>
      <c r="J363" s="93"/>
      <c r="K363" s="93">
        <v>1756</v>
      </c>
      <c r="L363" s="93">
        <v>70</v>
      </c>
      <c r="M363" s="93">
        <v>80</v>
      </c>
      <c r="N363" s="93">
        <v>90</v>
      </c>
      <c r="O363" s="93">
        <v>100</v>
      </c>
      <c r="P363" s="93">
        <v>100</v>
      </c>
      <c r="Q363" s="93">
        <v>100</v>
      </c>
      <c r="R363" s="93">
        <v>100</v>
      </c>
      <c r="S363" s="93" t="s">
        <v>29</v>
      </c>
      <c r="T363" s="93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CA363" s="12"/>
      <c r="CB363" s="12"/>
    </row>
    <row r="364" spans="1:80" x14ac:dyDescent="0.2">
      <c r="A364" s="96">
        <v>1658</v>
      </c>
      <c r="B364" s="96">
        <v>50</v>
      </c>
      <c r="C364" s="96">
        <v>60</v>
      </c>
      <c r="D364" s="96">
        <v>70</v>
      </c>
      <c r="E364" s="96">
        <v>80</v>
      </c>
      <c r="F364" s="96">
        <v>85</v>
      </c>
      <c r="G364" s="96">
        <v>100</v>
      </c>
      <c r="H364" s="96">
        <v>100</v>
      </c>
      <c r="I364" s="96" t="s">
        <v>29</v>
      </c>
      <c r="J364" s="93"/>
      <c r="K364" s="93">
        <v>1757</v>
      </c>
      <c r="L364" s="93">
        <v>70</v>
      </c>
      <c r="M364" s="93">
        <v>80</v>
      </c>
      <c r="N364" s="93">
        <v>90</v>
      </c>
      <c r="O364" s="93">
        <v>100</v>
      </c>
      <c r="P364" s="93">
        <v>100</v>
      </c>
      <c r="Q364" s="93">
        <v>100</v>
      </c>
      <c r="R364" s="93">
        <v>100</v>
      </c>
      <c r="S364" s="93" t="s">
        <v>29</v>
      </c>
      <c r="T364" s="93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CA364" s="12"/>
      <c r="CB364" s="12"/>
    </row>
    <row r="365" spans="1:80" x14ac:dyDescent="0.2">
      <c r="A365" s="96">
        <v>1659</v>
      </c>
      <c r="B365" s="96">
        <v>50</v>
      </c>
      <c r="C365" s="96">
        <v>60</v>
      </c>
      <c r="D365" s="96">
        <v>70</v>
      </c>
      <c r="E365" s="96">
        <v>80</v>
      </c>
      <c r="F365" s="96">
        <v>85</v>
      </c>
      <c r="G365" s="96">
        <v>100</v>
      </c>
      <c r="H365" s="96">
        <v>100</v>
      </c>
      <c r="I365" s="96" t="s">
        <v>29</v>
      </c>
      <c r="J365" s="93"/>
      <c r="K365" s="93">
        <v>1758</v>
      </c>
      <c r="L365" s="93">
        <v>70</v>
      </c>
      <c r="M365" s="93">
        <v>80</v>
      </c>
      <c r="N365" s="93">
        <v>90</v>
      </c>
      <c r="O365" s="93">
        <v>100</v>
      </c>
      <c r="P365" s="93">
        <v>100</v>
      </c>
      <c r="Q365" s="93">
        <v>100</v>
      </c>
      <c r="R365" s="93">
        <v>100</v>
      </c>
      <c r="S365" s="93" t="s">
        <v>29</v>
      </c>
      <c r="T365" s="93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CA365" s="12"/>
      <c r="CB365" s="12"/>
    </row>
    <row r="366" spans="1:80" x14ac:dyDescent="0.2">
      <c r="A366" s="96">
        <v>1700</v>
      </c>
      <c r="B366" s="96">
        <v>50</v>
      </c>
      <c r="C366" s="96">
        <v>60</v>
      </c>
      <c r="D366" s="96">
        <v>70</v>
      </c>
      <c r="E366" s="96">
        <v>80</v>
      </c>
      <c r="F366" s="96">
        <v>85</v>
      </c>
      <c r="G366" s="96">
        <v>100</v>
      </c>
      <c r="H366" s="96">
        <v>100</v>
      </c>
      <c r="I366" s="96" t="s">
        <v>29</v>
      </c>
      <c r="J366" s="93"/>
      <c r="K366" s="93">
        <v>1759</v>
      </c>
      <c r="L366" s="93">
        <v>70</v>
      </c>
      <c r="M366" s="93">
        <v>80</v>
      </c>
      <c r="N366" s="93">
        <v>90</v>
      </c>
      <c r="O366" s="93">
        <v>100</v>
      </c>
      <c r="P366" s="93">
        <v>100</v>
      </c>
      <c r="Q366" s="93">
        <v>100</v>
      </c>
      <c r="R366" s="93">
        <v>100</v>
      </c>
      <c r="S366" s="93" t="s">
        <v>29</v>
      </c>
      <c r="T366" s="93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CA366" s="12"/>
      <c r="CB366" s="12"/>
    </row>
    <row r="367" spans="1:80" x14ac:dyDescent="0.2">
      <c r="A367" s="96">
        <v>1701</v>
      </c>
      <c r="B367" s="99">
        <v>45</v>
      </c>
      <c r="C367" s="96">
        <v>55</v>
      </c>
      <c r="D367" s="96">
        <v>65</v>
      </c>
      <c r="E367" s="96">
        <v>75</v>
      </c>
      <c r="F367" s="96">
        <v>85</v>
      </c>
      <c r="G367" s="96">
        <v>100</v>
      </c>
      <c r="H367" s="96">
        <v>100</v>
      </c>
      <c r="I367" s="96" t="s">
        <v>29</v>
      </c>
      <c r="J367" s="93"/>
      <c r="K367" s="93">
        <v>1800</v>
      </c>
      <c r="L367" s="93">
        <v>70</v>
      </c>
      <c r="M367" s="93">
        <v>80</v>
      </c>
      <c r="N367" s="93">
        <v>90</v>
      </c>
      <c r="O367" s="93">
        <v>100</v>
      </c>
      <c r="P367" s="93">
        <v>100</v>
      </c>
      <c r="Q367" s="93">
        <v>100</v>
      </c>
      <c r="R367" s="93">
        <v>100</v>
      </c>
      <c r="S367" s="93" t="s">
        <v>29</v>
      </c>
      <c r="T367" s="93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CA367" s="12"/>
      <c r="CB367" s="12"/>
    </row>
    <row r="368" spans="1:80" x14ac:dyDescent="0.2">
      <c r="A368" s="96">
        <v>1702</v>
      </c>
      <c r="B368" s="99">
        <v>45</v>
      </c>
      <c r="C368" s="96">
        <v>55</v>
      </c>
      <c r="D368" s="96">
        <v>65</v>
      </c>
      <c r="E368" s="96">
        <v>75</v>
      </c>
      <c r="F368" s="96">
        <v>85</v>
      </c>
      <c r="G368" s="96">
        <v>100</v>
      </c>
      <c r="H368" s="96">
        <v>100</v>
      </c>
      <c r="I368" s="96" t="s">
        <v>29</v>
      </c>
      <c r="J368" s="93"/>
      <c r="K368" s="93">
        <v>1801</v>
      </c>
      <c r="L368" s="93">
        <v>65</v>
      </c>
      <c r="M368" s="93">
        <v>75</v>
      </c>
      <c r="N368" s="93">
        <v>85</v>
      </c>
      <c r="O368" s="93">
        <v>95</v>
      </c>
      <c r="P368" s="93">
        <v>100</v>
      </c>
      <c r="Q368" s="93">
        <v>100</v>
      </c>
      <c r="R368" s="93">
        <v>100</v>
      </c>
      <c r="S368" s="93" t="s">
        <v>29</v>
      </c>
      <c r="T368" s="93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CA368" s="12"/>
      <c r="CB368" s="12"/>
    </row>
    <row r="369" spans="1:80" x14ac:dyDescent="0.2">
      <c r="A369" s="96">
        <v>1703</v>
      </c>
      <c r="B369" s="99">
        <v>45</v>
      </c>
      <c r="C369" s="96">
        <v>55</v>
      </c>
      <c r="D369" s="96">
        <v>65</v>
      </c>
      <c r="E369" s="96">
        <v>75</v>
      </c>
      <c r="F369" s="96">
        <v>85</v>
      </c>
      <c r="G369" s="96">
        <v>100</v>
      </c>
      <c r="H369" s="96">
        <v>100</v>
      </c>
      <c r="I369" s="96" t="s">
        <v>29</v>
      </c>
      <c r="J369" s="93"/>
      <c r="K369" s="93">
        <v>1802</v>
      </c>
      <c r="L369" s="93">
        <v>65</v>
      </c>
      <c r="M369" s="93">
        <v>75</v>
      </c>
      <c r="N369" s="93">
        <v>85</v>
      </c>
      <c r="O369" s="93">
        <v>95</v>
      </c>
      <c r="P369" s="93">
        <v>100</v>
      </c>
      <c r="Q369" s="93">
        <v>100</v>
      </c>
      <c r="R369" s="93">
        <v>100</v>
      </c>
      <c r="S369" s="93" t="s">
        <v>29</v>
      </c>
      <c r="T369" s="93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CA369" s="12"/>
      <c r="CB369" s="12"/>
    </row>
    <row r="370" spans="1:80" x14ac:dyDescent="0.2">
      <c r="A370" s="96">
        <v>1704</v>
      </c>
      <c r="B370" s="99">
        <v>45</v>
      </c>
      <c r="C370" s="96">
        <v>55</v>
      </c>
      <c r="D370" s="96">
        <v>65</v>
      </c>
      <c r="E370" s="96">
        <v>75</v>
      </c>
      <c r="F370" s="96">
        <v>85</v>
      </c>
      <c r="G370" s="96">
        <v>100</v>
      </c>
      <c r="H370" s="96">
        <v>100</v>
      </c>
      <c r="I370" s="96" t="s">
        <v>29</v>
      </c>
      <c r="J370" s="93"/>
      <c r="K370" s="93">
        <v>1803</v>
      </c>
      <c r="L370" s="93">
        <v>65</v>
      </c>
      <c r="M370" s="93">
        <v>75</v>
      </c>
      <c r="N370" s="93">
        <v>85</v>
      </c>
      <c r="O370" s="93">
        <v>95</v>
      </c>
      <c r="P370" s="93">
        <v>100</v>
      </c>
      <c r="Q370" s="93">
        <v>100</v>
      </c>
      <c r="R370" s="93">
        <v>100</v>
      </c>
      <c r="S370" s="93" t="s">
        <v>29</v>
      </c>
      <c r="T370" s="93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CA370" s="12"/>
      <c r="CB370" s="12"/>
    </row>
    <row r="371" spans="1:80" x14ac:dyDescent="0.2">
      <c r="A371" s="96">
        <v>1705</v>
      </c>
      <c r="B371" s="99">
        <v>45</v>
      </c>
      <c r="C371" s="96">
        <v>55</v>
      </c>
      <c r="D371" s="96">
        <v>65</v>
      </c>
      <c r="E371" s="96">
        <v>75</v>
      </c>
      <c r="F371" s="96">
        <v>85</v>
      </c>
      <c r="G371" s="96">
        <v>100</v>
      </c>
      <c r="H371" s="96">
        <v>100</v>
      </c>
      <c r="I371" s="96" t="s">
        <v>29</v>
      </c>
      <c r="J371" s="93"/>
      <c r="K371" s="93">
        <v>1804</v>
      </c>
      <c r="L371" s="93">
        <v>65</v>
      </c>
      <c r="M371" s="93">
        <v>75</v>
      </c>
      <c r="N371" s="93">
        <v>85</v>
      </c>
      <c r="O371" s="93">
        <v>95</v>
      </c>
      <c r="P371" s="93">
        <v>100</v>
      </c>
      <c r="Q371" s="93">
        <v>100</v>
      </c>
      <c r="R371" s="93">
        <v>100</v>
      </c>
      <c r="S371" s="93" t="s">
        <v>29</v>
      </c>
      <c r="T371" s="93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CA371" s="12"/>
      <c r="CB371" s="12"/>
    </row>
    <row r="372" spans="1:80" x14ac:dyDescent="0.2">
      <c r="A372" s="96">
        <v>1706</v>
      </c>
      <c r="B372" s="99">
        <v>45</v>
      </c>
      <c r="C372" s="96">
        <v>55</v>
      </c>
      <c r="D372" s="96">
        <v>65</v>
      </c>
      <c r="E372" s="96">
        <v>75</v>
      </c>
      <c r="F372" s="96">
        <v>85</v>
      </c>
      <c r="G372" s="96">
        <v>100</v>
      </c>
      <c r="H372" s="96">
        <v>100</v>
      </c>
      <c r="I372" s="96" t="s">
        <v>29</v>
      </c>
      <c r="J372" s="93"/>
      <c r="K372" s="93">
        <v>1805</v>
      </c>
      <c r="L372" s="93">
        <v>65</v>
      </c>
      <c r="M372" s="93">
        <v>75</v>
      </c>
      <c r="N372" s="93">
        <v>85</v>
      </c>
      <c r="O372" s="93">
        <v>95</v>
      </c>
      <c r="P372" s="93">
        <v>100</v>
      </c>
      <c r="Q372" s="93">
        <v>100</v>
      </c>
      <c r="R372" s="93">
        <v>100</v>
      </c>
      <c r="S372" s="93" t="s">
        <v>29</v>
      </c>
      <c r="T372" s="93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CA372" s="12"/>
      <c r="CB372" s="12"/>
    </row>
    <row r="373" spans="1:80" x14ac:dyDescent="0.2">
      <c r="A373" s="96">
        <v>1707</v>
      </c>
      <c r="B373" s="99">
        <v>45</v>
      </c>
      <c r="C373" s="96">
        <v>55</v>
      </c>
      <c r="D373" s="96">
        <v>65</v>
      </c>
      <c r="E373" s="96">
        <v>75</v>
      </c>
      <c r="F373" s="96">
        <v>85</v>
      </c>
      <c r="G373" s="96">
        <v>100</v>
      </c>
      <c r="H373" s="96">
        <v>100</v>
      </c>
      <c r="I373" s="96" t="s">
        <v>29</v>
      </c>
      <c r="J373" s="93"/>
      <c r="K373" s="93">
        <v>1806</v>
      </c>
      <c r="L373" s="93">
        <v>65</v>
      </c>
      <c r="M373" s="93">
        <v>75</v>
      </c>
      <c r="N373" s="93">
        <v>85</v>
      </c>
      <c r="O373" s="93">
        <v>95</v>
      </c>
      <c r="P373" s="93">
        <v>100</v>
      </c>
      <c r="Q373" s="93">
        <v>100</v>
      </c>
      <c r="R373" s="93">
        <v>100</v>
      </c>
      <c r="S373" s="93" t="s">
        <v>29</v>
      </c>
      <c r="T373" s="93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CA373" s="12"/>
      <c r="CB373" s="12"/>
    </row>
    <row r="374" spans="1:80" x14ac:dyDescent="0.2">
      <c r="A374" s="96">
        <v>1708</v>
      </c>
      <c r="B374" s="99">
        <v>45</v>
      </c>
      <c r="C374" s="96">
        <v>55</v>
      </c>
      <c r="D374" s="96">
        <v>65</v>
      </c>
      <c r="E374" s="96">
        <v>75</v>
      </c>
      <c r="F374" s="96">
        <v>85</v>
      </c>
      <c r="G374" s="96">
        <v>100</v>
      </c>
      <c r="H374" s="96">
        <v>100</v>
      </c>
      <c r="I374" s="96" t="s">
        <v>29</v>
      </c>
      <c r="J374" s="93"/>
      <c r="K374" s="93">
        <v>1807</v>
      </c>
      <c r="L374" s="93">
        <v>65</v>
      </c>
      <c r="M374" s="93">
        <v>75</v>
      </c>
      <c r="N374" s="93">
        <v>85</v>
      </c>
      <c r="O374" s="93">
        <v>95</v>
      </c>
      <c r="P374" s="93">
        <v>100</v>
      </c>
      <c r="Q374" s="93">
        <v>100</v>
      </c>
      <c r="R374" s="93">
        <v>100</v>
      </c>
      <c r="S374" s="93" t="s">
        <v>29</v>
      </c>
      <c r="T374" s="93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CA374" s="12"/>
      <c r="CB374" s="12"/>
    </row>
    <row r="375" spans="1:80" x14ac:dyDescent="0.2">
      <c r="A375" s="96">
        <v>1709</v>
      </c>
      <c r="B375" s="99">
        <v>45</v>
      </c>
      <c r="C375" s="96">
        <v>55</v>
      </c>
      <c r="D375" s="96">
        <v>65</v>
      </c>
      <c r="E375" s="96">
        <v>75</v>
      </c>
      <c r="F375" s="96">
        <v>85</v>
      </c>
      <c r="G375" s="96">
        <v>100</v>
      </c>
      <c r="H375" s="96">
        <v>100</v>
      </c>
      <c r="I375" s="96" t="s">
        <v>29</v>
      </c>
      <c r="J375" s="93"/>
      <c r="K375" s="93">
        <v>1808</v>
      </c>
      <c r="L375" s="93">
        <v>65</v>
      </c>
      <c r="M375" s="93">
        <v>75</v>
      </c>
      <c r="N375" s="93">
        <v>85</v>
      </c>
      <c r="O375" s="93">
        <v>95</v>
      </c>
      <c r="P375" s="93">
        <v>100</v>
      </c>
      <c r="Q375" s="93">
        <v>100</v>
      </c>
      <c r="R375" s="93">
        <v>100</v>
      </c>
      <c r="S375" s="93" t="s">
        <v>29</v>
      </c>
      <c r="T375" s="93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CA375" s="12"/>
      <c r="CB375" s="12"/>
    </row>
    <row r="376" spans="1:80" x14ac:dyDescent="0.2">
      <c r="A376" s="96">
        <v>1710</v>
      </c>
      <c r="B376" s="99">
        <v>45</v>
      </c>
      <c r="C376" s="96">
        <v>55</v>
      </c>
      <c r="D376" s="96">
        <v>65</v>
      </c>
      <c r="E376" s="96">
        <v>75</v>
      </c>
      <c r="F376" s="96">
        <v>85</v>
      </c>
      <c r="G376" s="96">
        <v>100</v>
      </c>
      <c r="H376" s="96">
        <v>100</v>
      </c>
      <c r="I376" s="96" t="s">
        <v>29</v>
      </c>
      <c r="J376" s="93"/>
      <c r="K376" s="93">
        <v>1809</v>
      </c>
      <c r="L376" s="93">
        <v>65</v>
      </c>
      <c r="M376" s="93">
        <v>75</v>
      </c>
      <c r="N376" s="93">
        <v>85</v>
      </c>
      <c r="O376" s="93">
        <v>95</v>
      </c>
      <c r="P376" s="93">
        <v>100</v>
      </c>
      <c r="Q376" s="93">
        <v>100</v>
      </c>
      <c r="R376" s="93">
        <v>100</v>
      </c>
      <c r="S376" s="93" t="s">
        <v>29</v>
      </c>
      <c r="T376" s="93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CA376" s="12"/>
      <c r="CB376" s="12"/>
    </row>
    <row r="377" spans="1:80" x14ac:dyDescent="0.2">
      <c r="A377" s="96">
        <v>1711</v>
      </c>
      <c r="B377" s="99">
        <v>45</v>
      </c>
      <c r="C377" s="96">
        <v>55</v>
      </c>
      <c r="D377" s="96">
        <v>65</v>
      </c>
      <c r="E377" s="96">
        <v>75</v>
      </c>
      <c r="F377" s="96">
        <v>80</v>
      </c>
      <c r="G377" s="96">
        <v>100</v>
      </c>
      <c r="H377" s="96">
        <v>100</v>
      </c>
      <c r="I377" s="96" t="s">
        <v>29</v>
      </c>
      <c r="J377" s="93"/>
      <c r="K377" s="93">
        <v>1810</v>
      </c>
      <c r="L377" s="93">
        <v>65</v>
      </c>
      <c r="M377" s="93">
        <v>75</v>
      </c>
      <c r="N377" s="93">
        <v>85</v>
      </c>
      <c r="O377" s="93">
        <v>95</v>
      </c>
      <c r="P377" s="93">
        <v>100</v>
      </c>
      <c r="Q377" s="93">
        <v>100</v>
      </c>
      <c r="R377" s="93">
        <v>100</v>
      </c>
      <c r="S377" s="93" t="s">
        <v>29</v>
      </c>
      <c r="T377" s="93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CA377" s="12"/>
      <c r="CB377" s="12"/>
    </row>
    <row r="378" spans="1:80" x14ac:dyDescent="0.2">
      <c r="A378" s="96">
        <v>1712</v>
      </c>
      <c r="B378" s="99">
        <v>45</v>
      </c>
      <c r="C378" s="96">
        <v>55</v>
      </c>
      <c r="D378" s="96">
        <v>65</v>
      </c>
      <c r="E378" s="96">
        <v>75</v>
      </c>
      <c r="F378" s="96">
        <v>80</v>
      </c>
      <c r="G378" s="96">
        <v>100</v>
      </c>
      <c r="H378" s="96">
        <v>100</v>
      </c>
      <c r="I378" s="96" t="s">
        <v>29</v>
      </c>
      <c r="J378" s="93"/>
      <c r="K378" s="93">
        <v>1811</v>
      </c>
      <c r="L378" s="93">
        <v>65</v>
      </c>
      <c r="M378" s="93">
        <v>75</v>
      </c>
      <c r="N378" s="93">
        <v>85</v>
      </c>
      <c r="O378" s="93">
        <v>95</v>
      </c>
      <c r="P378" s="93">
        <v>100</v>
      </c>
      <c r="Q378" s="93">
        <v>100</v>
      </c>
      <c r="R378" s="93">
        <v>100</v>
      </c>
      <c r="S378" s="93" t="s">
        <v>29</v>
      </c>
      <c r="T378" s="93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CA378" s="12"/>
      <c r="CB378" s="12"/>
    </row>
    <row r="379" spans="1:80" x14ac:dyDescent="0.2">
      <c r="A379" s="96">
        <v>1713</v>
      </c>
      <c r="B379" s="99">
        <v>45</v>
      </c>
      <c r="C379" s="96">
        <v>55</v>
      </c>
      <c r="D379" s="96">
        <v>65</v>
      </c>
      <c r="E379" s="96">
        <v>75</v>
      </c>
      <c r="F379" s="96">
        <v>80</v>
      </c>
      <c r="G379" s="96">
        <v>100</v>
      </c>
      <c r="H379" s="96">
        <v>100</v>
      </c>
      <c r="I379" s="96" t="s">
        <v>29</v>
      </c>
      <c r="J379" s="93"/>
      <c r="K379" s="93">
        <v>1812</v>
      </c>
      <c r="L379" s="93">
        <v>65</v>
      </c>
      <c r="M379" s="93">
        <v>75</v>
      </c>
      <c r="N379" s="93">
        <v>85</v>
      </c>
      <c r="O379" s="93">
        <v>95</v>
      </c>
      <c r="P379" s="93">
        <v>100</v>
      </c>
      <c r="Q379" s="93">
        <v>100</v>
      </c>
      <c r="R379" s="93">
        <v>100</v>
      </c>
      <c r="S379" s="93" t="s">
        <v>29</v>
      </c>
      <c r="T379" s="93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CA379" s="12"/>
      <c r="CB379" s="12"/>
    </row>
    <row r="380" spans="1:80" x14ac:dyDescent="0.2">
      <c r="A380" s="96">
        <v>1714</v>
      </c>
      <c r="B380" s="99">
        <v>45</v>
      </c>
      <c r="C380" s="96">
        <v>55</v>
      </c>
      <c r="D380" s="96">
        <v>65</v>
      </c>
      <c r="E380" s="96">
        <v>75</v>
      </c>
      <c r="F380" s="96">
        <v>80</v>
      </c>
      <c r="G380" s="96">
        <v>100</v>
      </c>
      <c r="H380" s="96">
        <v>100</v>
      </c>
      <c r="I380" s="96" t="s">
        <v>29</v>
      </c>
      <c r="J380" s="93"/>
      <c r="K380" s="93">
        <v>1813</v>
      </c>
      <c r="L380" s="93">
        <v>65</v>
      </c>
      <c r="M380" s="93">
        <v>75</v>
      </c>
      <c r="N380" s="93">
        <v>85</v>
      </c>
      <c r="O380" s="93">
        <v>95</v>
      </c>
      <c r="P380" s="93">
        <v>100</v>
      </c>
      <c r="Q380" s="93">
        <v>100</v>
      </c>
      <c r="R380" s="93">
        <v>100</v>
      </c>
      <c r="S380" s="93" t="s">
        <v>29</v>
      </c>
      <c r="T380" s="93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CA380" s="12"/>
      <c r="CB380" s="12"/>
    </row>
    <row r="381" spans="1:80" x14ac:dyDescent="0.2">
      <c r="A381" s="96">
        <v>1715</v>
      </c>
      <c r="B381" s="99">
        <v>45</v>
      </c>
      <c r="C381" s="96">
        <v>55</v>
      </c>
      <c r="D381" s="96">
        <v>65</v>
      </c>
      <c r="E381" s="96">
        <v>75</v>
      </c>
      <c r="F381" s="96">
        <v>80</v>
      </c>
      <c r="G381" s="96">
        <v>100</v>
      </c>
      <c r="H381" s="96">
        <v>100</v>
      </c>
      <c r="I381" s="96" t="s">
        <v>29</v>
      </c>
      <c r="J381" s="93"/>
      <c r="K381" s="93">
        <v>1814</v>
      </c>
      <c r="L381" s="93">
        <v>65</v>
      </c>
      <c r="M381" s="93">
        <v>75</v>
      </c>
      <c r="N381" s="93">
        <v>85</v>
      </c>
      <c r="O381" s="93">
        <v>95</v>
      </c>
      <c r="P381" s="93">
        <v>100</v>
      </c>
      <c r="Q381" s="93">
        <v>100</v>
      </c>
      <c r="R381" s="93">
        <v>100</v>
      </c>
      <c r="S381" s="93" t="s">
        <v>29</v>
      </c>
      <c r="T381" s="93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CA381" s="12"/>
      <c r="CB381" s="12"/>
    </row>
    <row r="382" spans="1:80" x14ac:dyDescent="0.2">
      <c r="A382" s="96">
        <v>1716</v>
      </c>
      <c r="B382" s="99">
        <v>45</v>
      </c>
      <c r="C382" s="96">
        <v>55</v>
      </c>
      <c r="D382" s="96">
        <v>65</v>
      </c>
      <c r="E382" s="96">
        <v>75</v>
      </c>
      <c r="F382" s="96">
        <v>80</v>
      </c>
      <c r="G382" s="96">
        <v>100</v>
      </c>
      <c r="H382" s="96">
        <v>100</v>
      </c>
      <c r="I382" s="96" t="s">
        <v>29</v>
      </c>
      <c r="J382" s="93"/>
      <c r="K382" s="93">
        <v>1815</v>
      </c>
      <c r="L382" s="93">
        <v>65</v>
      </c>
      <c r="M382" s="93">
        <v>75</v>
      </c>
      <c r="N382" s="93">
        <v>85</v>
      </c>
      <c r="O382" s="93">
        <v>95</v>
      </c>
      <c r="P382" s="93">
        <v>100</v>
      </c>
      <c r="Q382" s="93">
        <v>100</v>
      </c>
      <c r="R382" s="93">
        <v>100</v>
      </c>
      <c r="S382" s="93" t="s">
        <v>29</v>
      </c>
      <c r="T382" s="93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CA382" s="12"/>
      <c r="CB382" s="12"/>
    </row>
    <row r="383" spans="1:80" x14ac:dyDescent="0.2">
      <c r="A383" s="96">
        <v>1717</v>
      </c>
      <c r="B383" s="99">
        <v>45</v>
      </c>
      <c r="C383" s="96">
        <v>55</v>
      </c>
      <c r="D383" s="96">
        <v>65</v>
      </c>
      <c r="E383" s="96">
        <v>75</v>
      </c>
      <c r="F383" s="96">
        <v>80</v>
      </c>
      <c r="G383" s="96">
        <v>100</v>
      </c>
      <c r="H383" s="96">
        <v>100</v>
      </c>
      <c r="I383" s="96" t="s">
        <v>29</v>
      </c>
      <c r="J383" s="93"/>
      <c r="K383" s="93">
        <v>1816</v>
      </c>
      <c r="L383" s="93">
        <v>65</v>
      </c>
      <c r="M383" s="93">
        <v>75</v>
      </c>
      <c r="N383" s="93">
        <v>85</v>
      </c>
      <c r="O383" s="93">
        <v>95</v>
      </c>
      <c r="P383" s="93">
        <v>100</v>
      </c>
      <c r="Q383" s="93">
        <v>100</v>
      </c>
      <c r="R383" s="93">
        <v>100</v>
      </c>
      <c r="S383" s="93" t="s">
        <v>29</v>
      </c>
      <c r="T383" s="93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CA383" s="12"/>
      <c r="CB383" s="12"/>
    </row>
    <row r="384" spans="1:80" x14ac:dyDescent="0.2">
      <c r="A384" s="96">
        <v>1718</v>
      </c>
      <c r="B384" s="99">
        <v>45</v>
      </c>
      <c r="C384" s="96">
        <v>55</v>
      </c>
      <c r="D384" s="96">
        <v>65</v>
      </c>
      <c r="E384" s="96">
        <v>75</v>
      </c>
      <c r="F384" s="96">
        <v>80</v>
      </c>
      <c r="G384" s="96">
        <v>100</v>
      </c>
      <c r="H384" s="96">
        <v>100</v>
      </c>
      <c r="I384" s="96" t="s">
        <v>29</v>
      </c>
      <c r="J384" s="93"/>
      <c r="K384" s="93">
        <v>1817</v>
      </c>
      <c r="L384" s="93">
        <v>65</v>
      </c>
      <c r="M384" s="93">
        <v>75</v>
      </c>
      <c r="N384" s="93">
        <v>85</v>
      </c>
      <c r="O384" s="93">
        <v>95</v>
      </c>
      <c r="P384" s="93">
        <v>100</v>
      </c>
      <c r="Q384" s="93">
        <v>100</v>
      </c>
      <c r="R384" s="93">
        <v>100</v>
      </c>
      <c r="S384" s="93" t="s">
        <v>29</v>
      </c>
      <c r="T384" s="93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CA384" s="12"/>
      <c r="CB384" s="12"/>
    </row>
    <row r="385" spans="1:80" x14ac:dyDescent="0.2">
      <c r="A385" s="96">
        <v>1719</v>
      </c>
      <c r="B385" s="99">
        <v>45</v>
      </c>
      <c r="C385" s="96">
        <v>55</v>
      </c>
      <c r="D385" s="96">
        <v>65</v>
      </c>
      <c r="E385" s="96">
        <v>75</v>
      </c>
      <c r="F385" s="96">
        <v>80</v>
      </c>
      <c r="G385" s="96">
        <v>100</v>
      </c>
      <c r="H385" s="96">
        <v>100</v>
      </c>
      <c r="I385" s="96" t="s">
        <v>29</v>
      </c>
      <c r="J385" s="93"/>
      <c r="K385" s="93">
        <v>1818</v>
      </c>
      <c r="L385" s="93">
        <v>65</v>
      </c>
      <c r="M385" s="93">
        <v>75</v>
      </c>
      <c r="N385" s="93">
        <v>85</v>
      </c>
      <c r="O385" s="93">
        <v>95</v>
      </c>
      <c r="P385" s="93">
        <v>100</v>
      </c>
      <c r="Q385" s="93">
        <v>100</v>
      </c>
      <c r="R385" s="93">
        <v>100</v>
      </c>
      <c r="S385" s="93" t="s">
        <v>29</v>
      </c>
      <c r="T385" s="93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CA385" s="12"/>
      <c r="CB385" s="12"/>
    </row>
    <row r="386" spans="1:80" x14ac:dyDescent="0.2">
      <c r="A386" s="96">
        <v>1720</v>
      </c>
      <c r="B386" s="99">
        <v>45</v>
      </c>
      <c r="C386" s="96">
        <v>55</v>
      </c>
      <c r="D386" s="96">
        <v>65</v>
      </c>
      <c r="E386" s="96">
        <v>75</v>
      </c>
      <c r="F386" s="96">
        <v>80</v>
      </c>
      <c r="G386" s="96">
        <v>100</v>
      </c>
      <c r="H386" s="96">
        <v>100</v>
      </c>
      <c r="I386" s="96" t="s">
        <v>29</v>
      </c>
      <c r="J386" s="93"/>
      <c r="K386" s="93">
        <v>1819</v>
      </c>
      <c r="L386" s="93">
        <v>65</v>
      </c>
      <c r="M386" s="93">
        <v>75</v>
      </c>
      <c r="N386" s="93">
        <v>85</v>
      </c>
      <c r="O386" s="93">
        <v>95</v>
      </c>
      <c r="P386" s="93">
        <v>100</v>
      </c>
      <c r="Q386" s="93">
        <v>100</v>
      </c>
      <c r="R386" s="93">
        <v>100</v>
      </c>
      <c r="S386" s="93" t="s">
        <v>29</v>
      </c>
      <c r="T386" s="93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CA386" s="12"/>
      <c r="CB386" s="12"/>
    </row>
    <row r="387" spans="1:80" x14ac:dyDescent="0.2">
      <c r="A387" s="96">
        <v>1721</v>
      </c>
      <c r="B387" s="99">
        <v>40</v>
      </c>
      <c r="C387" s="96">
        <v>50</v>
      </c>
      <c r="D387" s="96">
        <v>60</v>
      </c>
      <c r="E387" s="96">
        <v>70</v>
      </c>
      <c r="F387" s="96">
        <v>80</v>
      </c>
      <c r="G387" s="96">
        <v>100</v>
      </c>
      <c r="H387" s="96">
        <v>100</v>
      </c>
      <c r="I387" s="96" t="s">
        <v>29</v>
      </c>
      <c r="J387" s="93"/>
      <c r="K387" s="93">
        <v>1820</v>
      </c>
      <c r="L387" s="93">
        <v>65</v>
      </c>
      <c r="M387" s="93">
        <v>75</v>
      </c>
      <c r="N387" s="93">
        <v>85</v>
      </c>
      <c r="O387" s="93">
        <v>95</v>
      </c>
      <c r="P387" s="93">
        <v>100</v>
      </c>
      <c r="Q387" s="93">
        <v>100</v>
      </c>
      <c r="R387" s="93">
        <v>100</v>
      </c>
      <c r="S387" s="93" t="s">
        <v>29</v>
      </c>
      <c r="T387" s="93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CA387" s="12"/>
      <c r="CB387" s="12"/>
    </row>
    <row r="388" spans="1:80" x14ac:dyDescent="0.2">
      <c r="A388" s="96">
        <v>1722</v>
      </c>
      <c r="B388" s="99">
        <v>40</v>
      </c>
      <c r="C388" s="96">
        <v>50</v>
      </c>
      <c r="D388" s="96">
        <v>60</v>
      </c>
      <c r="E388" s="96">
        <v>70</v>
      </c>
      <c r="F388" s="96">
        <v>80</v>
      </c>
      <c r="G388" s="96">
        <v>100</v>
      </c>
      <c r="H388" s="96">
        <v>100</v>
      </c>
      <c r="I388" s="96" t="s">
        <v>29</v>
      </c>
      <c r="J388" s="93"/>
      <c r="K388" s="93">
        <v>1821</v>
      </c>
      <c r="L388" s="93">
        <v>60</v>
      </c>
      <c r="M388" s="93">
        <v>70</v>
      </c>
      <c r="N388" s="93">
        <v>80</v>
      </c>
      <c r="O388" s="93">
        <v>90</v>
      </c>
      <c r="P388" s="93">
        <v>100</v>
      </c>
      <c r="Q388" s="93">
        <v>100</v>
      </c>
      <c r="R388" s="93">
        <v>100</v>
      </c>
      <c r="S388" s="93" t="s">
        <v>29</v>
      </c>
      <c r="T388" s="93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CA388" s="12"/>
      <c r="CB388" s="12"/>
    </row>
    <row r="389" spans="1:80" x14ac:dyDescent="0.2">
      <c r="A389" s="96">
        <v>1723</v>
      </c>
      <c r="B389" s="99">
        <v>40</v>
      </c>
      <c r="C389" s="96">
        <v>50</v>
      </c>
      <c r="D389" s="96">
        <v>60</v>
      </c>
      <c r="E389" s="96">
        <v>70</v>
      </c>
      <c r="F389" s="96">
        <v>80</v>
      </c>
      <c r="G389" s="96">
        <v>100</v>
      </c>
      <c r="H389" s="96">
        <v>100</v>
      </c>
      <c r="I389" s="96" t="s">
        <v>29</v>
      </c>
      <c r="J389" s="93"/>
      <c r="K389" s="93">
        <v>1822</v>
      </c>
      <c r="L389" s="93">
        <v>60</v>
      </c>
      <c r="M389" s="93">
        <v>70</v>
      </c>
      <c r="N389" s="93">
        <v>80</v>
      </c>
      <c r="O389" s="93">
        <v>90</v>
      </c>
      <c r="P389" s="93">
        <v>100</v>
      </c>
      <c r="Q389" s="93">
        <v>100</v>
      </c>
      <c r="R389" s="93">
        <v>100</v>
      </c>
      <c r="S389" s="93" t="s">
        <v>29</v>
      </c>
      <c r="T389" s="93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CA389" s="12"/>
      <c r="CB389" s="12"/>
    </row>
    <row r="390" spans="1:80" x14ac:dyDescent="0.2">
      <c r="A390" s="96">
        <v>1724</v>
      </c>
      <c r="B390" s="99">
        <v>40</v>
      </c>
      <c r="C390" s="96">
        <v>50</v>
      </c>
      <c r="D390" s="96">
        <v>60</v>
      </c>
      <c r="E390" s="96">
        <v>70</v>
      </c>
      <c r="F390" s="96">
        <v>80</v>
      </c>
      <c r="G390" s="96">
        <v>100</v>
      </c>
      <c r="H390" s="96">
        <v>100</v>
      </c>
      <c r="I390" s="96" t="s">
        <v>29</v>
      </c>
      <c r="J390" s="93"/>
      <c r="K390" s="93">
        <v>1823</v>
      </c>
      <c r="L390" s="93">
        <v>60</v>
      </c>
      <c r="M390" s="93">
        <v>70</v>
      </c>
      <c r="N390" s="93">
        <v>80</v>
      </c>
      <c r="O390" s="93">
        <v>90</v>
      </c>
      <c r="P390" s="93">
        <v>100</v>
      </c>
      <c r="Q390" s="93">
        <v>100</v>
      </c>
      <c r="R390" s="93">
        <v>100</v>
      </c>
      <c r="S390" s="93" t="s">
        <v>29</v>
      </c>
      <c r="T390" s="93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CA390" s="12"/>
      <c r="CB390" s="12"/>
    </row>
    <row r="391" spans="1:80" x14ac:dyDescent="0.2">
      <c r="A391" s="96">
        <v>1725</v>
      </c>
      <c r="B391" s="99">
        <v>40</v>
      </c>
      <c r="C391" s="96">
        <v>50</v>
      </c>
      <c r="D391" s="96">
        <v>60</v>
      </c>
      <c r="E391" s="96">
        <v>70</v>
      </c>
      <c r="F391" s="96">
        <v>80</v>
      </c>
      <c r="G391" s="96">
        <v>100</v>
      </c>
      <c r="H391" s="96">
        <v>100</v>
      </c>
      <c r="I391" s="96" t="s">
        <v>29</v>
      </c>
      <c r="J391" s="93"/>
      <c r="K391" s="93">
        <v>1824</v>
      </c>
      <c r="L391" s="93">
        <v>60</v>
      </c>
      <c r="M391" s="93">
        <v>70</v>
      </c>
      <c r="N391" s="93">
        <v>80</v>
      </c>
      <c r="O391" s="93">
        <v>90</v>
      </c>
      <c r="P391" s="93">
        <v>100</v>
      </c>
      <c r="Q391" s="93">
        <v>100</v>
      </c>
      <c r="R391" s="93">
        <v>100</v>
      </c>
      <c r="S391" s="93" t="s">
        <v>29</v>
      </c>
      <c r="T391" s="93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CA391" s="12"/>
      <c r="CB391" s="12"/>
    </row>
    <row r="392" spans="1:80" x14ac:dyDescent="0.2">
      <c r="A392" s="96">
        <v>1726</v>
      </c>
      <c r="B392" s="99">
        <v>40</v>
      </c>
      <c r="C392" s="96">
        <v>50</v>
      </c>
      <c r="D392" s="96">
        <v>60</v>
      </c>
      <c r="E392" s="96">
        <v>70</v>
      </c>
      <c r="F392" s="96">
        <v>80</v>
      </c>
      <c r="G392" s="96">
        <v>100</v>
      </c>
      <c r="H392" s="96">
        <v>100</v>
      </c>
      <c r="I392" s="96" t="s">
        <v>29</v>
      </c>
      <c r="J392" s="93"/>
      <c r="K392" s="93">
        <v>1825</v>
      </c>
      <c r="L392" s="93">
        <v>60</v>
      </c>
      <c r="M392" s="93">
        <v>70</v>
      </c>
      <c r="N392" s="93">
        <v>80</v>
      </c>
      <c r="O392" s="93">
        <v>90</v>
      </c>
      <c r="P392" s="93">
        <v>100</v>
      </c>
      <c r="Q392" s="93">
        <v>100</v>
      </c>
      <c r="R392" s="93">
        <v>100</v>
      </c>
      <c r="S392" s="93" t="s">
        <v>29</v>
      </c>
      <c r="T392" s="93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CA392" s="12"/>
      <c r="CB392" s="12"/>
    </row>
    <row r="393" spans="1:80" x14ac:dyDescent="0.2">
      <c r="A393" s="96">
        <v>1727</v>
      </c>
      <c r="B393" s="99">
        <v>40</v>
      </c>
      <c r="C393" s="96">
        <v>50</v>
      </c>
      <c r="D393" s="96">
        <v>60</v>
      </c>
      <c r="E393" s="96">
        <v>70</v>
      </c>
      <c r="F393" s="96">
        <v>80</v>
      </c>
      <c r="G393" s="96">
        <v>100</v>
      </c>
      <c r="H393" s="96">
        <v>100</v>
      </c>
      <c r="I393" s="96" t="s">
        <v>29</v>
      </c>
      <c r="J393" s="93"/>
      <c r="K393" s="93">
        <v>1826</v>
      </c>
      <c r="L393" s="93">
        <v>60</v>
      </c>
      <c r="M393" s="93">
        <v>70</v>
      </c>
      <c r="N393" s="93">
        <v>80</v>
      </c>
      <c r="O393" s="93">
        <v>90</v>
      </c>
      <c r="P393" s="93">
        <v>100</v>
      </c>
      <c r="Q393" s="93">
        <v>100</v>
      </c>
      <c r="R393" s="93">
        <v>100</v>
      </c>
      <c r="S393" s="93" t="s">
        <v>29</v>
      </c>
      <c r="T393" s="93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CA393" s="12"/>
      <c r="CB393" s="12"/>
    </row>
    <row r="394" spans="1:80" x14ac:dyDescent="0.2">
      <c r="A394" s="96">
        <v>1728</v>
      </c>
      <c r="B394" s="99">
        <v>40</v>
      </c>
      <c r="C394" s="96">
        <v>50</v>
      </c>
      <c r="D394" s="96">
        <v>60</v>
      </c>
      <c r="E394" s="96">
        <v>70</v>
      </c>
      <c r="F394" s="96">
        <v>80</v>
      </c>
      <c r="G394" s="96">
        <v>100</v>
      </c>
      <c r="H394" s="96">
        <v>100</v>
      </c>
      <c r="I394" s="96" t="s">
        <v>29</v>
      </c>
      <c r="J394" s="93"/>
      <c r="K394" s="93">
        <v>1827</v>
      </c>
      <c r="L394" s="93">
        <v>60</v>
      </c>
      <c r="M394" s="93">
        <v>70</v>
      </c>
      <c r="N394" s="93">
        <v>80</v>
      </c>
      <c r="O394" s="93">
        <v>90</v>
      </c>
      <c r="P394" s="93">
        <v>100</v>
      </c>
      <c r="Q394" s="93">
        <v>100</v>
      </c>
      <c r="R394" s="93">
        <v>100</v>
      </c>
      <c r="S394" s="93" t="s">
        <v>29</v>
      </c>
      <c r="T394" s="93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CA394" s="12"/>
      <c r="CB394" s="12"/>
    </row>
    <row r="395" spans="1:80" x14ac:dyDescent="0.2">
      <c r="A395" s="96">
        <v>1729</v>
      </c>
      <c r="B395" s="99">
        <v>40</v>
      </c>
      <c r="C395" s="96">
        <v>50</v>
      </c>
      <c r="D395" s="96">
        <v>60</v>
      </c>
      <c r="E395" s="96">
        <v>70</v>
      </c>
      <c r="F395" s="96">
        <v>80</v>
      </c>
      <c r="G395" s="96">
        <v>100</v>
      </c>
      <c r="H395" s="96">
        <v>100</v>
      </c>
      <c r="I395" s="96" t="s">
        <v>29</v>
      </c>
      <c r="J395" s="93"/>
      <c r="K395" s="93">
        <v>1828</v>
      </c>
      <c r="L395" s="93">
        <v>60</v>
      </c>
      <c r="M395" s="93">
        <v>70</v>
      </c>
      <c r="N395" s="93">
        <v>80</v>
      </c>
      <c r="O395" s="93">
        <v>90</v>
      </c>
      <c r="P395" s="93">
        <v>100</v>
      </c>
      <c r="Q395" s="93">
        <v>100</v>
      </c>
      <c r="R395" s="93">
        <v>100</v>
      </c>
      <c r="S395" s="93" t="s">
        <v>29</v>
      </c>
      <c r="T395" s="93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CA395" s="12"/>
      <c r="CB395" s="12"/>
    </row>
    <row r="396" spans="1:80" x14ac:dyDescent="0.2">
      <c r="A396" s="96">
        <v>1730</v>
      </c>
      <c r="B396" s="99">
        <v>40</v>
      </c>
      <c r="C396" s="96">
        <v>50</v>
      </c>
      <c r="D396" s="96">
        <v>60</v>
      </c>
      <c r="E396" s="96">
        <v>70</v>
      </c>
      <c r="F396" s="96">
        <v>80</v>
      </c>
      <c r="G396" s="96">
        <v>100</v>
      </c>
      <c r="H396" s="96">
        <v>100</v>
      </c>
      <c r="I396" s="96" t="s">
        <v>29</v>
      </c>
      <c r="J396" s="93"/>
      <c r="K396" s="93">
        <v>1829</v>
      </c>
      <c r="L396" s="93">
        <v>60</v>
      </c>
      <c r="M396" s="93">
        <v>70</v>
      </c>
      <c r="N396" s="93">
        <v>80</v>
      </c>
      <c r="O396" s="93">
        <v>90</v>
      </c>
      <c r="P396" s="93">
        <v>100</v>
      </c>
      <c r="Q396" s="93">
        <v>100</v>
      </c>
      <c r="R396" s="93">
        <v>100</v>
      </c>
      <c r="S396" s="93" t="s">
        <v>29</v>
      </c>
      <c r="T396" s="93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CA396" s="12"/>
      <c r="CB396" s="12"/>
    </row>
    <row r="397" spans="1:80" x14ac:dyDescent="0.2">
      <c r="A397" s="96">
        <v>1731</v>
      </c>
      <c r="B397" s="99">
        <v>40</v>
      </c>
      <c r="C397" s="96">
        <v>50</v>
      </c>
      <c r="D397" s="96">
        <v>60</v>
      </c>
      <c r="E397" s="96">
        <v>70</v>
      </c>
      <c r="F397" s="96">
        <v>75</v>
      </c>
      <c r="G397" s="96">
        <v>100</v>
      </c>
      <c r="H397" s="96">
        <v>100</v>
      </c>
      <c r="I397" s="96" t="s">
        <v>29</v>
      </c>
      <c r="J397" s="93"/>
      <c r="K397" s="93">
        <v>1830</v>
      </c>
      <c r="L397" s="93">
        <v>60</v>
      </c>
      <c r="M397" s="93">
        <v>70</v>
      </c>
      <c r="N397" s="93">
        <v>80</v>
      </c>
      <c r="O397" s="93">
        <v>90</v>
      </c>
      <c r="P397" s="93">
        <v>100</v>
      </c>
      <c r="Q397" s="93">
        <v>100</v>
      </c>
      <c r="R397" s="93">
        <v>100</v>
      </c>
      <c r="S397" s="93" t="s">
        <v>29</v>
      </c>
      <c r="T397" s="93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CA397" s="12"/>
      <c r="CB397" s="12"/>
    </row>
    <row r="398" spans="1:80" x14ac:dyDescent="0.2">
      <c r="A398" s="96">
        <v>1732</v>
      </c>
      <c r="B398" s="99">
        <v>40</v>
      </c>
      <c r="C398" s="96">
        <v>50</v>
      </c>
      <c r="D398" s="96">
        <v>60</v>
      </c>
      <c r="E398" s="96">
        <v>70</v>
      </c>
      <c r="F398" s="96">
        <v>75</v>
      </c>
      <c r="G398" s="96">
        <v>100</v>
      </c>
      <c r="H398" s="96">
        <v>100</v>
      </c>
      <c r="I398" s="96" t="s">
        <v>29</v>
      </c>
      <c r="J398" s="93"/>
      <c r="K398" s="93">
        <v>1831</v>
      </c>
      <c r="L398" s="93">
        <v>60</v>
      </c>
      <c r="M398" s="93">
        <v>70</v>
      </c>
      <c r="N398" s="93">
        <v>80</v>
      </c>
      <c r="O398" s="93">
        <v>90</v>
      </c>
      <c r="P398" s="93">
        <v>100</v>
      </c>
      <c r="Q398" s="93">
        <v>100</v>
      </c>
      <c r="R398" s="93">
        <v>100</v>
      </c>
      <c r="S398" s="93" t="s">
        <v>29</v>
      </c>
      <c r="T398" s="93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CA398" s="12"/>
      <c r="CB398" s="12"/>
    </row>
    <row r="399" spans="1:80" x14ac:dyDescent="0.2">
      <c r="A399" s="96">
        <v>1733</v>
      </c>
      <c r="B399" s="99">
        <v>40</v>
      </c>
      <c r="C399" s="96">
        <v>50</v>
      </c>
      <c r="D399" s="96">
        <v>60</v>
      </c>
      <c r="E399" s="96">
        <v>70</v>
      </c>
      <c r="F399" s="96">
        <v>75</v>
      </c>
      <c r="G399" s="96">
        <v>100</v>
      </c>
      <c r="H399" s="96">
        <v>100</v>
      </c>
      <c r="I399" s="96" t="s">
        <v>29</v>
      </c>
      <c r="J399" s="93"/>
      <c r="K399" s="93">
        <v>1832</v>
      </c>
      <c r="L399" s="93">
        <v>60</v>
      </c>
      <c r="M399" s="93">
        <v>70</v>
      </c>
      <c r="N399" s="93">
        <v>80</v>
      </c>
      <c r="O399" s="93">
        <v>90</v>
      </c>
      <c r="P399" s="93">
        <v>100</v>
      </c>
      <c r="Q399" s="93">
        <v>100</v>
      </c>
      <c r="R399" s="93">
        <v>100</v>
      </c>
      <c r="S399" s="93" t="s">
        <v>29</v>
      </c>
      <c r="T399" s="93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CA399" s="12"/>
      <c r="CB399" s="12"/>
    </row>
    <row r="400" spans="1:80" x14ac:dyDescent="0.2">
      <c r="A400" s="96">
        <v>1734</v>
      </c>
      <c r="B400" s="99">
        <v>40</v>
      </c>
      <c r="C400" s="96">
        <v>50</v>
      </c>
      <c r="D400" s="96">
        <v>60</v>
      </c>
      <c r="E400" s="96">
        <v>70</v>
      </c>
      <c r="F400" s="96">
        <v>75</v>
      </c>
      <c r="G400" s="96">
        <v>100</v>
      </c>
      <c r="H400" s="96">
        <v>100</v>
      </c>
      <c r="I400" s="96" t="s">
        <v>29</v>
      </c>
      <c r="J400" s="93"/>
      <c r="K400" s="93">
        <v>1833</v>
      </c>
      <c r="L400" s="93">
        <v>60</v>
      </c>
      <c r="M400" s="93">
        <v>70</v>
      </c>
      <c r="N400" s="93">
        <v>80</v>
      </c>
      <c r="O400" s="93">
        <v>90</v>
      </c>
      <c r="P400" s="93">
        <v>100</v>
      </c>
      <c r="Q400" s="93">
        <v>100</v>
      </c>
      <c r="R400" s="93">
        <v>100</v>
      </c>
      <c r="S400" s="93" t="s">
        <v>29</v>
      </c>
      <c r="T400" s="93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CA400" s="12"/>
      <c r="CB400" s="12"/>
    </row>
    <row r="401" spans="1:80" x14ac:dyDescent="0.2">
      <c r="A401" s="96">
        <v>1735</v>
      </c>
      <c r="B401" s="99">
        <v>40</v>
      </c>
      <c r="C401" s="96">
        <v>50</v>
      </c>
      <c r="D401" s="96">
        <v>60</v>
      </c>
      <c r="E401" s="96">
        <v>70</v>
      </c>
      <c r="F401" s="96">
        <v>75</v>
      </c>
      <c r="G401" s="96">
        <v>100</v>
      </c>
      <c r="H401" s="96">
        <v>100</v>
      </c>
      <c r="I401" s="96" t="s">
        <v>29</v>
      </c>
      <c r="J401" s="93"/>
      <c r="K401" s="93">
        <v>1834</v>
      </c>
      <c r="L401" s="93">
        <v>60</v>
      </c>
      <c r="M401" s="93">
        <v>70</v>
      </c>
      <c r="N401" s="93">
        <v>80</v>
      </c>
      <c r="O401" s="93">
        <v>90</v>
      </c>
      <c r="P401" s="93">
        <v>100</v>
      </c>
      <c r="Q401" s="93">
        <v>100</v>
      </c>
      <c r="R401" s="93">
        <v>100</v>
      </c>
      <c r="S401" s="93" t="s">
        <v>29</v>
      </c>
      <c r="T401" s="93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CA401" s="12"/>
      <c r="CB401" s="12"/>
    </row>
    <row r="402" spans="1:80" x14ac:dyDescent="0.2">
      <c r="A402" s="96">
        <v>1736</v>
      </c>
      <c r="B402" s="99">
        <v>40</v>
      </c>
      <c r="C402" s="96">
        <v>50</v>
      </c>
      <c r="D402" s="96">
        <v>60</v>
      </c>
      <c r="E402" s="96">
        <v>70</v>
      </c>
      <c r="F402" s="96">
        <v>75</v>
      </c>
      <c r="G402" s="96">
        <v>100</v>
      </c>
      <c r="H402" s="96">
        <v>100</v>
      </c>
      <c r="I402" s="96" t="s">
        <v>29</v>
      </c>
      <c r="J402" s="93"/>
      <c r="K402" s="93">
        <v>1835</v>
      </c>
      <c r="L402" s="93">
        <v>60</v>
      </c>
      <c r="M402" s="93">
        <v>70</v>
      </c>
      <c r="N402" s="93">
        <v>80</v>
      </c>
      <c r="O402" s="93">
        <v>90</v>
      </c>
      <c r="P402" s="93">
        <v>100</v>
      </c>
      <c r="Q402" s="93">
        <v>100</v>
      </c>
      <c r="R402" s="93">
        <v>100</v>
      </c>
      <c r="S402" s="93" t="s">
        <v>29</v>
      </c>
      <c r="T402" s="93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CA402" s="12"/>
      <c r="CB402" s="12"/>
    </row>
    <row r="403" spans="1:80" x14ac:dyDescent="0.2">
      <c r="A403" s="96">
        <v>1737</v>
      </c>
      <c r="B403" s="99">
        <v>40</v>
      </c>
      <c r="C403" s="96">
        <v>50</v>
      </c>
      <c r="D403" s="96">
        <v>60</v>
      </c>
      <c r="E403" s="96">
        <v>70</v>
      </c>
      <c r="F403" s="96">
        <v>75</v>
      </c>
      <c r="G403" s="96">
        <v>100</v>
      </c>
      <c r="H403" s="96">
        <v>100</v>
      </c>
      <c r="I403" s="96" t="s">
        <v>29</v>
      </c>
      <c r="J403" s="93"/>
      <c r="K403" s="93">
        <v>1836</v>
      </c>
      <c r="L403" s="93">
        <v>60</v>
      </c>
      <c r="M403" s="93">
        <v>70</v>
      </c>
      <c r="N403" s="93">
        <v>80</v>
      </c>
      <c r="O403" s="93">
        <v>90</v>
      </c>
      <c r="P403" s="93">
        <v>100</v>
      </c>
      <c r="Q403" s="93">
        <v>100</v>
      </c>
      <c r="R403" s="93">
        <v>100</v>
      </c>
      <c r="S403" s="93" t="s">
        <v>29</v>
      </c>
      <c r="T403" s="93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CA403" s="12"/>
      <c r="CB403" s="12"/>
    </row>
    <row r="404" spans="1:80" x14ac:dyDescent="0.2">
      <c r="A404" s="96">
        <v>1738</v>
      </c>
      <c r="B404" s="99">
        <v>40</v>
      </c>
      <c r="C404" s="96">
        <v>50</v>
      </c>
      <c r="D404" s="96">
        <v>60</v>
      </c>
      <c r="E404" s="96">
        <v>70</v>
      </c>
      <c r="F404" s="96">
        <v>75</v>
      </c>
      <c r="G404" s="96">
        <v>100</v>
      </c>
      <c r="H404" s="96">
        <v>100</v>
      </c>
      <c r="I404" s="96" t="s">
        <v>29</v>
      </c>
      <c r="J404" s="93"/>
      <c r="K404" s="93">
        <v>1837</v>
      </c>
      <c r="L404" s="93">
        <v>60</v>
      </c>
      <c r="M404" s="93">
        <v>70</v>
      </c>
      <c r="N404" s="93">
        <v>80</v>
      </c>
      <c r="O404" s="93">
        <v>90</v>
      </c>
      <c r="P404" s="93">
        <v>100</v>
      </c>
      <c r="Q404" s="93">
        <v>100</v>
      </c>
      <c r="R404" s="93">
        <v>100</v>
      </c>
      <c r="S404" s="93" t="s">
        <v>29</v>
      </c>
      <c r="T404" s="93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CA404" s="12"/>
      <c r="CB404" s="12"/>
    </row>
    <row r="405" spans="1:80" x14ac:dyDescent="0.2">
      <c r="A405" s="96">
        <v>1739</v>
      </c>
      <c r="B405" s="99">
        <v>40</v>
      </c>
      <c r="C405" s="96">
        <v>50</v>
      </c>
      <c r="D405" s="96">
        <v>60</v>
      </c>
      <c r="E405" s="96">
        <v>70</v>
      </c>
      <c r="F405" s="96">
        <v>75</v>
      </c>
      <c r="G405" s="96">
        <v>100</v>
      </c>
      <c r="H405" s="96">
        <v>100</v>
      </c>
      <c r="I405" s="96" t="s">
        <v>29</v>
      </c>
      <c r="J405" s="93"/>
      <c r="K405" s="93">
        <v>1838</v>
      </c>
      <c r="L405" s="93">
        <v>60</v>
      </c>
      <c r="M405" s="93">
        <v>70</v>
      </c>
      <c r="N405" s="93">
        <v>80</v>
      </c>
      <c r="O405" s="93">
        <v>90</v>
      </c>
      <c r="P405" s="93">
        <v>100</v>
      </c>
      <c r="Q405" s="93">
        <v>100</v>
      </c>
      <c r="R405" s="93">
        <v>100</v>
      </c>
      <c r="S405" s="93" t="s">
        <v>29</v>
      </c>
      <c r="T405" s="93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CA405" s="12"/>
      <c r="CB405" s="12"/>
    </row>
    <row r="406" spans="1:80" x14ac:dyDescent="0.2">
      <c r="A406" s="96">
        <v>1740</v>
      </c>
      <c r="B406" s="99">
        <v>40</v>
      </c>
      <c r="C406" s="96">
        <v>50</v>
      </c>
      <c r="D406" s="96">
        <v>60</v>
      </c>
      <c r="E406" s="96">
        <v>70</v>
      </c>
      <c r="F406" s="96">
        <v>75</v>
      </c>
      <c r="G406" s="96">
        <v>100</v>
      </c>
      <c r="H406" s="96">
        <v>100</v>
      </c>
      <c r="I406" s="96" t="s">
        <v>29</v>
      </c>
      <c r="J406" s="93"/>
      <c r="K406" s="93">
        <v>1839</v>
      </c>
      <c r="L406" s="93">
        <v>60</v>
      </c>
      <c r="M406" s="93">
        <v>70</v>
      </c>
      <c r="N406" s="93">
        <v>80</v>
      </c>
      <c r="O406" s="93">
        <v>90</v>
      </c>
      <c r="P406" s="93">
        <v>100</v>
      </c>
      <c r="Q406" s="93">
        <v>100</v>
      </c>
      <c r="R406" s="93">
        <v>100</v>
      </c>
      <c r="S406" s="93" t="s">
        <v>29</v>
      </c>
      <c r="T406" s="93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CA406" s="12"/>
      <c r="CB406" s="12"/>
    </row>
    <row r="407" spans="1:80" x14ac:dyDescent="0.2">
      <c r="A407" s="96">
        <v>1741</v>
      </c>
      <c r="B407" s="99">
        <v>35</v>
      </c>
      <c r="C407" s="99">
        <v>45</v>
      </c>
      <c r="D407" s="96">
        <v>55</v>
      </c>
      <c r="E407" s="96">
        <v>65</v>
      </c>
      <c r="F407" s="96">
        <v>75</v>
      </c>
      <c r="G407" s="96">
        <v>95</v>
      </c>
      <c r="H407" s="96">
        <v>100</v>
      </c>
      <c r="I407" s="96" t="s">
        <v>29</v>
      </c>
      <c r="J407" s="93"/>
      <c r="K407" s="93">
        <v>1840</v>
      </c>
      <c r="L407" s="93">
        <v>60</v>
      </c>
      <c r="M407" s="93">
        <v>70</v>
      </c>
      <c r="N407" s="93">
        <v>80</v>
      </c>
      <c r="O407" s="93">
        <v>90</v>
      </c>
      <c r="P407" s="93">
        <v>100</v>
      </c>
      <c r="Q407" s="93">
        <v>100</v>
      </c>
      <c r="R407" s="93">
        <v>100</v>
      </c>
      <c r="S407" s="93" t="s">
        <v>29</v>
      </c>
      <c r="T407" s="93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CA407" s="12"/>
      <c r="CB407" s="12"/>
    </row>
    <row r="408" spans="1:80" x14ac:dyDescent="0.2">
      <c r="A408" s="96">
        <v>1742</v>
      </c>
      <c r="B408" s="99">
        <v>35</v>
      </c>
      <c r="C408" s="99">
        <v>45</v>
      </c>
      <c r="D408" s="96">
        <v>55</v>
      </c>
      <c r="E408" s="96">
        <v>65</v>
      </c>
      <c r="F408" s="96">
        <v>75</v>
      </c>
      <c r="G408" s="96">
        <v>95</v>
      </c>
      <c r="H408" s="96">
        <v>100</v>
      </c>
      <c r="I408" s="96" t="s">
        <v>29</v>
      </c>
      <c r="J408" s="93"/>
      <c r="K408" s="93">
        <v>1841</v>
      </c>
      <c r="L408" s="93">
        <v>55</v>
      </c>
      <c r="M408" s="93">
        <v>65</v>
      </c>
      <c r="N408" s="93">
        <v>75</v>
      </c>
      <c r="O408" s="93">
        <v>85</v>
      </c>
      <c r="P408" s="93">
        <v>95</v>
      </c>
      <c r="Q408" s="93">
        <v>100</v>
      </c>
      <c r="R408" s="93">
        <v>100</v>
      </c>
      <c r="S408" s="93" t="s">
        <v>29</v>
      </c>
      <c r="T408" s="93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CA408" s="12"/>
      <c r="CB408" s="12"/>
    </row>
    <row r="409" spans="1:80" x14ac:dyDescent="0.2">
      <c r="A409" s="96">
        <v>1743</v>
      </c>
      <c r="B409" s="99">
        <v>35</v>
      </c>
      <c r="C409" s="99">
        <v>45</v>
      </c>
      <c r="D409" s="96">
        <v>55</v>
      </c>
      <c r="E409" s="96">
        <v>65</v>
      </c>
      <c r="F409" s="96">
        <v>75</v>
      </c>
      <c r="G409" s="96">
        <v>95</v>
      </c>
      <c r="H409" s="96">
        <v>100</v>
      </c>
      <c r="I409" s="96" t="s">
        <v>29</v>
      </c>
      <c r="J409" s="93"/>
      <c r="K409" s="93">
        <v>1842</v>
      </c>
      <c r="L409" s="93">
        <v>55</v>
      </c>
      <c r="M409" s="93">
        <v>65</v>
      </c>
      <c r="N409" s="93">
        <v>75</v>
      </c>
      <c r="O409" s="93">
        <v>85</v>
      </c>
      <c r="P409" s="93">
        <v>95</v>
      </c>
      <c r="Q409" s="93">
        <v>100</v>
      </c>
      <c r="R409" s="93">
        <v>100</v>
      </c>
      <c r="S409" s="93" t="s">
        <v>29</v>
      </c>
      <c r="T409" s="93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CA409" s="12"/>
      <c r="CB409" s="12"/>
    </row>
    <row r="410" spans="1:80" x14ac:dyDescent="0.2">
      <c r="A410" s="96">
        <v>1744</v>
      </c>
      <c r="B410" s="99">
        <v>35</v>
      </c>
      <c r="C410" s="99">
        <v>45</v>
      </c>
      <c r="D410" s="96">
        <v>55</v>
      </c>
      <c r="E410" s="96">
        <v>65</v>
      </c>
      <c r="F410" s="96">
        <v>75</v>
      </c>
      <c r="G410" s="96">
        <v>95</v>
      </c>
      <c r="H410" s="96">
        <v>100</v>
      </c>
      <c r="I410" s="96" t="s">
        <v>29</v>
      </c>
      <c r="J410" s="93"/>
      <c r="K410" s="93">
        <v>1843</v>
      </c>
      <c r="L410" s="93">
        <v>55</v>
      </c>
      <c r="M410" s="93">
        <v>65</v>
      </c>
      <c r="N410" s="93">
        <v>75</v>
      </c>
      <c r="O410" s="93">
        <v>85</v>
      </c>
      <c r="P410" s="93">
        <v>95</v>
      </c>
      <c r="Q410" s="93">
        <v>100</v>
      </c>
      <c r="R410" s="93">
        <v>100</v>
      </c>
      <c r="S410" s="93" t="s">
        <v>29</v>
      </c>
      <c r="T410" s="93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CA410" s="12"/>
      <c r="CB410" s="12"/>
    </row>
    <row r="411" spans="1:80" x14ac:dyDescent="0.2">
      <c r="A411" s="96">
        <v>1745</v>
      </c>
      <c r="B411" s="99">
        <v>35</v>
      </c>
      <c r="C411" s="99">
        <v>45</v>
      </c>
      <c r="D411" s="96">
        <v>55</v>
      </c>
      <c r="E411" s="96">
        <v>65</v>
      </c>
      <c r="F411" s="96">
        <v>75</v>
      </c>
      <c r="G411" s="96">
        <v>95</v>
      </c>
      <c r="H411" s="96">
        <v>100</v>
      </c>
      <c r="I411" s="96" t="s">
        <v>29</v>
      </c>
      <c r="J411" s="93"/>
      <c r="K411" s="93">
        <v>1844</v>
      </c>
      <c r="L411" s="93">
        <v>55</v>
      </c>
      <c r="M411" s="93">
        <v>65</v>
      </c>
      <c r="N411" s="93">
        <v>75</v>
      </c>
      <c r="O411" s="93">
        <v>85</v>
      </c>
      <c r="P411" s="93">
        <v>95</v>
      </c>
      <c r="Q411" s="93">
        <v>100</v>
      </c>
      <c r="R411" s="93">
        <v>100</v>
      </c>
      <c r="S411" s="93" t="s">
        <v>29</v>
      </c>
      <c r="T411" s="93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CA411" s="12"/>
      <c r="CB411" s="12"/>
    </row>
    <row r="412" spans="1:80" x14ac:dyDescent="0.2">
      <c r="A412" s="96">
        <v>1746</v>
      </c>
      <c r="B412" s="99">
        <v>35</v>
      </c>
      <c r="C412" s="99">
        <v>45</v>
      </c>
      <c r="D412" s="96">
        <v>55</v>
      </c>
      <c r="E412" s="96">
        <v>65</v>
      </c>
      <c r="F412" s="96">
        <v>75</v>
      </c>
      <c r="G412" s="96">
        <v>95</v>
      </c>
      <c r="H412" s="96">
        <v>100</v>
      </c>
      <c r="I412" s="96" t="s">
        <v>29</v>
      </c>
      <c r="J412" s="93"/>
      <c r="K412" s="93">
        <v>1845</v>
      </c>
      <c r="L412" s="93">
        <v>55</v>
      </c>
      <c r="M412" s="93">
        <v>65</v>
      </c>
      <c r="N412" s="93">
        <v>75</v>
      </c>
      <c r="O412" s="93">
        <v>85</v>
      </c>
      <c r="P412" s="93">
        <v>95</v>
      </c>
      <c r="Q412" s="93">
        <v>100</v>
      </c>
      <c r="R412" s="93">
        <v>100</v>
      </c>
      <c r="S412" s="93" t="s">
        <v>29</v>
      </c>
      <c r="T412" s="93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CA412" s="12"/>
      <c r="CB412" s="12"/>
    </row>
    <row r="413" spans="1:80" x14ac:dyDescent="0.2">
      <c r="A413" s="96">
        <v>1747</v>
      </c>
      <c r="B413" s="99">
        <v>35</v>
      </c>
      <c r="C413" s="99">
        <v>45</v>
      </c>
      <c r="D413" s="96">
        <v>55</v>
      </c>
      <c r="E413" s="96">
        <v>65</v>
      </c>
      <c r="F413" s="96">
        <v>75</v>
      </c>
      <c r="G413" s="96">
        <v>95</v>
      </c>
      <c r="H413" s="96">
        <v>100</v>
      </c>
      <c r="I413" s="96" t="s">
        <v>29</v>
      </c>
      <c r="J413" s="93"/>
      <c r="K413" s="93">
        <v>1846</v>
      </c>
      <c r="L413" s="93">
        <v>55</v>
      </c>
      <c r="M413" s="93">
        <v>65</v>
      </c>
      <c r="N413" s="93">
        <v>75</v>
      </c>
      <c r="O413" s="93">
        <v>85</v>
      </c>
      <c r="P413" s="93">
        <v>95</v>
      </c>
      <c r="Q413" s="93">
        <v>100</v>
      </c>
      <c r="R413" s="93">
        <v>100</v>
      </c>
      <c r="S413" s="93" t="s">
        <v>29</v>
      </c>
      <c r="T413" s="93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CA413" s="12"/>
      <c r="CB413" s="12"/>
    </row>
    <row r="414" spans="1:80" x14ac:dyDescent="0.2">
      <c r="A414" s="96">
        <v>1748</v>
      </c>
      <c r="B414" s="99">
        <v>35</v>
      </c>
      <c r="C414" s="99">
        <v>45</v>
      </c>
      <c r="D414" s="96">
        <v>55</v>
      </c>
      <c r="E414" s="96">
        <v>65</v>
      </c>
      <c r="F414" s="96">
        <v>75</v>
      </c>
      <c r="G414" s="96">
        <v>95</v>
      </c>
      <c r="H414" s="96">
        <v>100</v>
      </c>
      <c r="I414" s="96" t="s">
        <v>29</v>
      </c>
      <c r="J414" s="93"/>
      <c r="K414" s="93">
        <v>1847</v>
      </c>
      <c r="L414" s="93">
        <v>55</v>
      </c>
      <c r="M414" s="93">
        <v>65</v>
      </c>
      <c r="N414" s="93">
        <v>75</v>
      </c>
      <c r="O414" s="93">
        <v>85</v>
      </c>
      <c r="P414" s="93">
        <v>95</v>
      </c>
      <c r="Q414" s="93">
        <v>100</v>
      </c>
      <c r="R414" s="93">
        <v>100</v>
      </c>
      <c r="S414" s="93" t="s">
        <v>29</v>
      </c>
      <c r="T414" s="93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CA414" s="12"/>
      <c r="CB414" s="12"/>
    </row>
    <row r="415" spans="1:80" x14ac:dyDescent="0.2">
      <c r="A415" s="96">
        <v>1749</v>
      </c>
      <c r="B415" s="99">
        <v>35</v>
      </c>
      <c r="C415" s="99">
        <v>45</v>
      </c>
      <c r="D415" s="96">
        <v>55</v>
      </c>
      <c r="E415" s="96">
        <v>65</v>
      </c>
      <c r="F415" s="96">
        <v>75</v>
      </c>
      <c r="G415" s="96">
        <v>95</v>
      </c>
      <c r="H415" s="96">
        <v>100</v>
      </c>
      <c r="I415" s="96" t="s">
        <v>29</v>
      </c>
      <c r="J415" s="93"/>
      <c r="K415" s="93">
        <v>1848</v>
      </c>
      <c r="L415" s="93">
        <v>55</v>
      </c>
      <c r="M415" s="93">
        <v>65</v>
      </c>
      <c r="N415" s="93">
        <v>75</v>
      </c>
      <c r="O415" s="93">
        <v>85</v>
      </c>
      <c r="P415" s="93">
        <v>95</v>
      </c>
      <c r="Q415" s="93">
        <v>100</v>
      </c>
      <c r="R415" s="93">
        <v>100</v>
      </c>
      <c r="S415" s="93" t="s">
        <v>29</v>
      </c>
      <c r="T415" s="93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CA415" s="12"/>
      <c r="CB415" s="12"/>
    </row>
    <row r="416" spans="1:80" x14ac:dyDescent="0.2">
      <c r="A416" s="96">
        <v>1750</v>
      </c>
      <c r="B416" s="99">
        <v>35</v>
      </c>
      <c r="C416" s="99">
        <v>45</v>
      </c>
      <c r="D416" s="96">
        <v>55</v>
      </c>
      <c r="E416" s="96">
        <v>65</v>
      </c>
      <c r="F416" s="96">
        <v>75</v>
      </c>
      <c r="G416" s="96">
        <v>95</v>
      </c>
      <c r="H416" s="96">
        <v>100</v>
      </c>
      <c r="I416" s="96" t="s">
        <v>29</v>
      </c>
      <c r="J416" s="93"/>
      <c r="K416" s="93">
        <v>1849</v>
      </c>
      <c r="L416" s="93">
        <v>55</v>
      </c>
      <c r="M416" s="93">
        <v>65</v>
      </c>
      <c r="N416" s="93">
        <v>75</v>
      </c>
      <c r="O416" s="93">
        <v>85</v>
      </c>
      <c r="P416" s="93">
        <v>95</v>
      </c>
      <c r="Q416" s="93">
        <v>100</v>
      </c>
      <c r="R416" s="93">
        <v>100</v>
      </c>
      <c r="S416" s="93" t="s">
        <v>29</v>
      </c>
      <c r="T416" s="93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CA416" s="12"/>
      <c r="CB416" s="12"/>
    </row>
    <row r="417" spans="1:80" x14ac:dyDescent="0.2">
      <c r="A417" s="96">
        <v>1751</v>
      </c>
      <c r="B417" s="99">
        <v>35</v>
      </c>
      <c r="C417" s="99">
        <v>45</v>
      </c>
      <c r="D417" s="96">
        <v>55</v>
      </c>
      <c r="E417" s="96">
        <v>65</v>
      </c>
      <c r="F417" s="96">
        <v>70</v>
      </c>
      <c r="G417" s="96">
        <v>95</v>
      </c>
      <c r="H417" s="96">
        <v>100</v>
      </c>
      <c r="I417" s="96" t="s">
        <v>29</v>
      </c>
      <c r="J417" s="93"/>
      <c r="K417" s="93">
        <v>1850</v>
      </c>
      <c r="L417" s="93">
        <v>55</v>
      </c>
      <c r="M417" s="93">
        <v>65</v>
      </c>
      <c r="N417" s="93">
        <v>75</v>
      </c>
      <c r="O417" s="93">
        <v>85</v>
      </c>
      <c r="P417" s="93">
        <v>95</v>
      </c>
      <c r="Q417" s="93">
        <v>100</v>
      </c>
      <c r="R417" s="93">
        <v>100</v>
      </c>
      <c r="S417" s="93" t="s">
        <v>29</v>
      </c>
      <c r="T417" s="93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CA417" s="12"/>
      <c r="CB417" s="12"/>
    </row>
    <row r="418" spans="1:80" x14ac:dyDescent="0.2">
      <c r="A418" s="96">
        <v>1752</v>
      </c>
      <c r="B418" s="99">
        <v>35</v>
      </c>
      <c r="C418" s="99">
        <v>45</v>
      </c>
      <c r="D418" s="96">
        <v>55</v>
      </c>
      <c r="E418" s="96">
        <v>65</v>
      </c>
      <c r="F418" s="96">
        <v>70</v>
      </c>
      <c r="G418" s="96">
        <v>95</v>
      </c>
      <c r="H418" s="96">
        <v>100</v>
      </c>
      <c r="I418" s="96" t="s">
        <v>29</v>
      </c>
      <c r="J418" s="93"/>
      <c r="K418" s="93">
        <v>1851</v>
      </c>
      <c r="L418" s="93">
        <v>55</v>
      </c>
      <c r="M418" s="93">
        <v>65</v>
      </c>
      <c r="N418" s="93">
        <v>75</v>
      </c>
      <c r="O418" s="93">
        <v>85</v>
      </c>
      <c r="P418" s="93">
        <v>95</v>
      </c>
      <c r="Q418" s="93">
        <v>100</v>
      </c>
      <c r="R418" s="93">
        <v>100</v>
      </c>
      <c r="S418" s="93" t="s">
        <v>29</v>
      </c>
      <c r="T418" s="93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CA418" s="12"/>
      <c r="CB418" s="12"/>
    </row>
    <row r="419" spans="1:80" x14ac:dyDescent="0.2">
      <c r="A419" s="96">
        <v>1753</v>
      </c>
      <c r="B419" s="99">
        <v>35</v>
      </c>
      <c r="C419" s="99">
        <v>45</v>
      </c>
      <c r="D419" s="96">
        <v>55</v>
      </c>
      <c r="E419" s="96">
        <v>65</v>
      </c>
      <c r="F419" s="96">
        <v>70</v>
      </c>
      <c r="G419" s="96">
        <v>95</v>
      </c>
      <c r="H419" s="96">
        <v>100</v>
      </c>
      <c r="I419" s="96" t="s">
        <v>29</v>
      </c>
      <c r="J419" s="93"/>
      <c r="K419" s="93">
        <v>1852</v>
      </c>
      <c r="L419" s="93">
        <v>55</v>
      </c>
      <c r="M419" s="93">
        <v>65</v>
      </c>
      <c r="N419" s="93">
        <v>75</v>
      </c>
      <c r="O419" s="93">
        <v>85</v>
      </c>
      <c r="P419" s="93">
        <v>95</v>
      </c>
      <c r="Q419" s="93">
        <v>100</v>
      </c>
      <c r="R419" s="93">
        <v>100</v>
      </c>
      <c r="S419" s="93" t="s">
        <v>29</v>
      </c>
      <c r="T419" s="93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CA419" s="12"/>
      <c r="CB419" s="12"/>
    </row>
    <row r="420" spans="1:80" x14ac:dyDescent="0.2">
      <c r="A420" s="96">
        <v>1754</v>
      </c>
      <c r="B420" s="99">
        <v>35</v>
      </c>
      <c r="C420" s="99">
        <v>45</v>
      </c>
      <c r="D420" s="96">
        <v>55</v>
      </c>
      <c r="E420" s="96">
        <v>65</v>
      </c>
      <c r="F420" s="96">
        <v>70</v>
      </c>
      <c r="G420" s="96">
        <v>95</v>
      </c>
      <c r="H420" s="96">
        <v>100</v>
      </c>
      <c r="I420" s="96" t="s">
        <v>29</v>
      </c>
      <c r="J420" s="93"/>
      <c r="K420" s="93">
        <v>1853</v>
      </c>
      <c r="L420" s="93">
        <v>55</v>
      </c>
      <c r="M420" s="93">
        <v>65</v>
      </c>
      <c r="N420" s="93">
        <v>75</v>
      </c>
      <c r="O420" s="93">
        <v>85</v>
      </c>
      <c r="P420" s="93">
        <v>95</v>
      </c>
      <c r="Q420" s="93">
        <v>100</v>
      </c>
      <c r="R420" s="93">
        <v>100</v>
      </c>
      <c r="S420" s="93" t="s">
        <v>29</v>
      </c>
      <c r="T420" s="93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CA420" s="12"/>
      <c r="CB420" s="12"/>
    </row>
    <row r="421" spans="1:80" x14ac:dyDescent="0.2">
      <c r="A421" s="96">
        <v>1755</v>
      </c>
      <c r="B421" s="99">
        <v>35</v>
      </c>
      <c r="C421" s="99">
        <v>45</v>
      </c>
      <c r="D421" s="96">
        <v>55</v>
      </c>
      <c r="E421" s="96">
        <v>65</v>
      </c>
      <c r="F421" s="96">
        <v>70</v>
      </c>
      <c r="G421" s="96">
        <v>95</v>
      </c>
      <c r="H421" s="96">
        <v>100</v>
      </c>
      <c r="I421" s="96" t="s">
        <v>29</v>
      </c>
      <c r="J421" s="93"/>
      <c r="K421" s="93">
        <v>1854</v>
      </c>
      <c r="L421" s="93">
        <v>55</v>
      </c>
      <c r="M421" s="93">
        <v>65</v>
      </c>
      <c r="N421" s="93">
        <v>75</v>
      </c>
      <c r="O421" s="93">
        <v>85</v>
      </c>
      <c r="P421" s="93">
        <v>95</v>
      </c>
      <c r="Q421" s="93">
        <v>100</v>
      </c>
      <c r="R421" s="93">
        <v>100</v>
      </c>
      <c r="S421" s="93" t="s">
        <v>29</v>
      </c>
      <c r="T421" s="93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CA421" s="12"/>
      <c r="CB421" s="12"/>
    </row>
    <row r="422" spans="1:80" x14ac:dyDescent="0.2">
      <c r="A422" s="96">
        <v>1756</v>
      </c>
      <c r="B422" s="99">
        <v>35</v>
      </c>
      <c r="C422" s="99">
        <v>45</v>
      </c>
      <c r="D422" s="96">
        <v>55</v>
      </c>
      <c r="E422" s="96">
        <v>65</v>
      </c>
      <c r="F422" s="96">
        <v>70</v>
      </c>
      <c r="G422" s="96">
        <v>95</v>
      </c>
      <c r="H422" s="96">
        <v>100</v>
      </c>
      <c r="I422" s="96" t="s">
        <v>29</v>
      </c>
      <c r="J422" s="93"/>
      <c r="K422" s="93">
        <v>1855</v>
      </c>
      <c r="L422" s="93">
        <v>55</v>
      </c>
      <c r="M422" s="93">
        <v>65</v>
      </c>
      <c r="N422" s="93">
        <v>75</v>
      </c>
      <c r="O422" s="93">
        <v>85</v>
      </c>
      <c r="P422" s="93">
        <v>95</v>
      </c>
      <c r="Q422" s="93">
        <v>100</v>
      </c>
      <c r="R422" s="93">
        <v>100</v>
      </c>
      <c r="S422" s="93" t="s">
        <v>29</v>
      </c>
      <c r="T422" s="93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CA422" s="12"/>
      <c r="CB422" s="12"/>
    </row>
    <row r="423" spans="1:80" x14ac:dyDescent="0.2">
      <c r="A423" s="96">
        <v>1757</v>
      </c>
      <c r="B423" s="99">
        <v>35</v>
      </c>
      <c r="C423" s="99">
        <v>45</v>
      </c>
      <c r="D423" s="96">
        <v>55</v>
      </c>
      <c r="E423" s="96">
        <v>65</v>
      </c>
      <c r="F423" s="96">
        <v>70</v>
      </c>
      <c r="G423" s="96">
        <v>95</v>
      </c>
      <c r="H423" s="96">
        <v>100</v>
      </c>
      <c r="I423" s="96" t="s">
        <v>29</v>
      </c>
      <c r="J423" s="93"/>
      <c r="K423" s="93">
        <v>1856</v>
      </c>
      <c r="L423" s="93">
        <v>55</v>
      </c>
      <c r="M423" s="93">
        <v>65</v>
      </c>
      <c r="N423" s="93">
        <v>75</v>
      </c>
      <c r="O423" s="93">
        <v>85</v>
      </c>
      <c r="P423" s="93">
        <v>95</v>
      </c>
      <c r="Q423" s="93">
        <v>100</v>
      </c>
      <c r="R423" s="93">
        <v>100</v>
      </c>
      <c r="S423" s="93" t="s">
        <v>29</v>
      </c>
      <c r="T423" s="93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CA423" s="12"/>
      <c r="CB423" s="12"/>
    </row>
    <row r="424" spans="1:80" x14ac:dyDescent="0.2">
      <c r="A424" s="96">
        <v>1758</v>
      </c>
      <c r="B424" s="99">
        <v>35</v>
      </c>
      <c r="C424" s="99">
        <v>45</v>
      </c>
      <c r="D424" s="96">
        <v>55</v>
      </c>
      <c r="E424" s="96">
        <v>65</v>
      </c>
      <c r="F424" s="96">
        <v>70</v>
      </c>
      <c r="G424" s="96">
        <v>95</v>
      </c>
      <c r="H424" s="96">
        <v>100</v>
      </c>
      <c r="I424" s="96" t="s">
        <v>29</v>
      </c>
      <c r="J424" s="93"/>
      <c r="K424" s="93">
        <v>1857</v>
      </c>
      <c r="L424" s="93">
        <v>55</v>
      </c>
      <c r="M424" s="93">
        <v>65</v>
      </c>
      <c r="N424" s="93">
        <v>75</v>
      </c>
      <c r="O424" s="93">
        <v>85</v>
      </c>
      <c r="P424" s="93">
        <v>95</v>
      </c>
      <c r="Q424" s="93">
        <v>100</v>
      </c>
      <c r="R424" s="93">
        <v>100</v>
      </c>
      <c r="S424" s="93" t="s">
        <v>29</v>
      </c>
      <c r="T424" s="93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CA424" s="12"/>
      <c r="CB424" s="12"/>
    </row>
    <row r="425" spans="1:80" x14ac:dyDescent="0.2">
      <c r="A425" s="96">
        <v>1759</v>
      </c>
      <c r="B425" s="99">
        <v>35</v>
      </c>
      <c r="C425" s="99">
        <v>45</v>
      </c>
      <c r="D425" s="96">
        <v>55</v>
      </c>
      <c r="E425" s="96">
        <v>65</v>
      </c>
      <c r="F425" s="96">
        <v>70</v>
      </c>
      <c r="G425" s="96">
        <v>95</v>
      </c>
      <c r="H425" s="96">
        <v>100</v>
      </c>
      <c r="I425" s="96" t="s">
        <v>29</v>
      </c>
      <c r="J425" s="93"/>
      <c r="K425" s="93">
        <v>1858</v>
      </c>
      <c r="L425" s="93">
        <v>55</v>
      </c>
      <c r="M425" s="93">
        <v>65</v>
      </c>
      <c r="N425" s="93">
        <v>75</v>
      </c>
      <c r="O425" s="93">
        <v>85</v>
      </c>
      <c r="P425" s="93">
        <v>95</v>
      </c>
      <c r="Q425" s="93">
        <v>100</v>
      </c>
      <c r="R425" s="93">
        <v>100</v>
      </c>
      <c r="S425" s="93" t="s">
        <v>29</v>
      </c>
      <c r="T425" s="93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CA425" s="12"/>
      <c r="CB425" s="12"/>
    </row>
    <row r="426" spans="1:80" x14ac:dyDescent="0.2">
      <c r="A426" s="96">
        <v>1800</v>
      </c>
      <c r="B426" s="99">
        <v>35</v>
      </c>
      <c r="C426" s="99">
        <v>45</v>
      </c>
      <c r="D426" s="96">
        <v>55</v>
      </c>
      <c r="E426" s="96">
        <v>65</v>
      </c>
      <c r="F426" s="96">
        <v>70</v>
      </c>
      <c r="G426" s="96">
        <v>95</v>
      </c>
      <c r="H426" s="96">
        <v>100</v>
      </c>
      <c r="I426" s="96" t="s">
        <v>29</v>
      </c>
      <c r="J426" s="93"/>
      <c r="K426" s="93">
        <v>1859</v>
      </c>
      <c r="L426" s="93">
        <v>55</v>
      </c>
      <c r="M426" s="93">
        <v>65</v>
      </c>
      <c r="N426" s="93">
        <v>75</v>
      </c>
      <c r="O426" s="93">
        <v>85</v>
      </c>
      <c r="P426" s="93">
        <v>95</v>
      </c>
      <c r="Q426" s="93">
        <v>100</v>
      </c>
      <c r="R426" s="93">
        <v>100</v>
      </c>
      <c r="S426" s="93" t="s">
        <v>29</v>
      </c>
      <c r="T426" s="93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CA426" s="12"/>
      <c r="CB426" s="12"/>
    </row>
    <row r="427" spans="1:80" x14ac:dyDescent="0.2">
      <c r="A427" s="96">
        <v>1801</v>
      </c>
      <c r="B427" s="99">
        <v>30</v>
      </c>
      <c r="C427" s="99">
        <v>40</v>
      </c>
      <c r="D427" s="96">
        <v>50</v>
      </c>
      <c r="E427" s="96">
        <v>60</v>
      </c>
      <c r="F427" s="96">
        <v>70</v>
      </c>
      <c r="G427" s="96">
        <v>90</v>
      </c>
      <c r="H427" s="96">
        <v>100</v>
      </c>
      <c r="I427" s="96" t="s">
        <v>29</v>
      </c>
      <c r="J427" s="93"/>
      <c r="K427" s="93">
        <v>1900</v>
      </c>
      <c r="L427" s="93">
        <v>55</v>
      </c>
      <c r="M427" s="93">
        <v>65</v>
      </c>
      <c r="N427" s="93">
        <v>75</v>
      </c>
      <c r="O427" s="93">
        <v>85</v>
      </c>
      <c r="P427" s="93">
        <v>95</v>
      </c>
      <c r="Q427" s="93">
        <v>100</v>
      </c>
      <c r="R427" s="93">
        <v>100</v>
      </c>
      <c r="S427" s="93" t="s">
        <v>29</v>
      </c>
      <c r="T427" s="93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CA427" s="12"/>
      <c r="CB427" s="12"/>
    </row>
    <row r="428" spans="1:80" x14ac:dyDescent="0.2">
      <c r="A428" s="96">
        <v>1802</v>
      </c>
      <c r="B428" s="99">
        <v>30</v>
      </c>
      <c r="C428" s="99">
        <v>40</v>
      </c>
      <c r="D428" s="96">
        <v>50</v>
      </c>
      <c r="E428" s="96">
        <v>60</v>
      </c>
      <c r="F428" s="96">
        <v>70</v>
      </c>
      <c r="G428" s="96">
        <v>90</v>
      </c>
      <c r="H428" s="96">
        <v>100</v>
      </c>
      <c r="I428" s="96" t="s">
        <v>29</v>
      </c>
      <c r="J428" s="93"/>
      <c r="K428" s="93">
        <v>1901</v>
      </c>
      <c r="L428" s="93">
        <v>50</v>
      </c>
      <c r="M428" s="93">
        <v>60</v>
      </c>
      <c r="N428" s="93">
        <v>70</v>
      </c>
      <c r="O428" s="93">
        <v>80</v>
      </c>
      <c r="P428" s="93">
        <v>90</v>
      </c>
      <c r="Q428" s="93">
        <v>100</v>
      </c>
      <c r="R428" s="93">
        <v>100</v>
      </c>
      <c r="S428" s="93" t="s">
        <v>29</v>
      </c>
      <c r="T428" s="93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CA428" s="12"/>
      <c r="CB428" s="12"/>
    </row>
    <row r="429" spans="1:80" x14ac:dyDescent="0.2">
      <c r="A429" s="96">
        <v>1803</v>
      </c>
      <c r="B429" s="99">
        <v>30</v>
      </c>
      <c r="C429" s="99">
        <v>40</v>
      </c>
      <c r="D429" s="96">
        <v>50</v>
      </c>
      <c r="E429" s="96">
        <v>60</v>
      </c>
      <c r="F429" s="96">
        <v>70</v>
      </c>
      <c r="G429" s="96">
        <v>90</v>
      </c>
      <c r="H429" s="96">
        <v>100</v>
      </c>
      <c r="I429" s="96" t="s">
        <v>29</v>
      </c>
      <c r="J429" s="93"/>
      <c r="K429" s="93">
        <v>1902</v>
      </c>
      <c r="L429" s="93">
        <v>50</v>
      </c>
      <c r="M429" s="93">
        <v>60</v>
      </c>
      <c r="N429" s="93">
        <v>70</v>
      </c>
      <c r="O429" s="93">
        <v>80</v>
      </c>
      <c r="P429" s="93">
        <v>90</v>
      </c>
      <c r="Q429" s="93">
        <v>100</v>
      </c>
      <c r="R429" s="93">
        <v>100</v>
      </c>
      <c r="S429" s="93" t="s">
        <v>29</v>
      </c>
      <c r="T429" s="93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CA429" s="12"/>
      <c r="CB429" s="12"/>
    </row>
    <row r="430" spans="1:80" x14ac:dyDescent="0.2">
      <c r="A430" s="96">
        <v>1804</v>
      </c>
      <c r="B430" s="99">
        <v>30</v>
      </c>
      <c r="C430" s="99">
        <v>40</v>
      </c>
      <c r="D430" s="96">
        <v>50</v>
      </c>
      <c r="E430" s="96">
        <v>60</v>
      </c>
      <c r="F430" s="96">
        <v>70</v>
      </c>
      <c r="G430" s="96">
        <v>90</v>
      </c>
      <c r="H430" s="96">
        <v>100</v>
      </c>
      <c r="I430" s="96" t="s">
        <v>29</v>
      </c>
      <c r="J430" s="93"/>
      <c r="K430" s="93">
        <v>1903</v>
      </c>
      <c r="L430" s="93">
        <v>50</v>
      </c>
      <c r="M430" s="93">
        <v>60</v>
      </c>
      <c r="N430" s="93">
        <v>70</v>
      </c>
      <c r="O430" s="93">
        <v>80</v>
      </c>
      <c r="P430" s="93">
        <v>90</v>
      </c>
      <c r="Q430" s="93">
        <v>100</v>
      </c>
      <c r="R430" s="93">
        <v>100</v>
      </c>
      <c r="S430" s="93" t="s">
        <v>29</v>
      </c>
      <c r="T430" s="93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CA430" s="12"/>
      <c r="CB430" s="12"/>
    </row>
    <row r="431" spans="1:80" x14ac:dyDescent="0.2">
      <c r="A431" s="96">
        <v>1805</v>
      </c>
      <c r="B431" s="99">
        <v>30</v>
      </c>
      <c r="C431" s="99">
        <v>40</v>
      </c>
      <c r="D431" s="96">
        <v>50</v>
      </c>
      <c r="E431" s="96">
        <v>60</v>
      </c>
      <c r="F431" s="96">
        <v>70</v>
      </c>
      <c r="G431" s="96">
        <v>90</v>
      </c>
      <c r="H431" s="96">
        <v>100</v>
      </c>
      <c r="I431" s="96" t="s">
        <v>29</v>
      </c>
      <c r="J431" s="93"/>
      <c r="K431" s="93">
        <v>1904</v>
      </c>
      <c r="L431" s="93">
        <v>50</v>
      </c>
      <c r="M431" s="93">
        <v>60</v>
      </c>
      <c r="N431" s="93">
        <v>70</v>
      </c>
      <c r="O431" s="93">
        <v>80</v>
      </c>
      <c r="P431" s="93">
        <v>90</v>
      </c>
      <c r="Q431" s="93">
        <v>100</v>
      </c>
      <c r="R431" s="93">
        <v>100</v>
      </c>
      <c r="S431" s="93" t="s">
        <v>29</v>
      </c>
      <c r="T431" s="93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CA431" s="12"/>
      <c r="CB431" s="12"/>
    </row>
    <row r="432" spans="1:80" x14ac:dyDescent="0.2">
      <c r="A432" s="96">
        <v>1806</v>
      </c>
      <c r="B432" s="99">
        <v>30</v>
      </c>
      <c r="C432" s="99">
        <v>40</v>
      </c>
      <c r="D432" s="96">
        <v>50</v>
      </c>
      <c r="E432" s="96">
        <v>60</v>
      </c>
      <c r="F432" s="96">
        <v>70</v>
      </c>
      <c r="G432" s="96">
        <v>90</v>
      </c>
      <c r="H432" s="96">
        <v>100</v>
      </c>
      <c r="I432" s="96" t="s">
        <v>29</v>
      </c>
      <c r="J432" s="93"/>
      <c r="K432" s="93">
        <v>1905</v>
      </c>
      <c r="L432" s="93">
        <v>50</v>
      </c>
      <c r="M432" s="93">
        <v>60</v>
      </c>
      <c r="N432" s="93">
        <v>70</v>
      </c>
      <c r="O432" s="93">
        <v>80</v>
      </c>
      <c r="P432" s="93">
        <v>90</v>
      </c>
      <c r="Q432" s="93">
        <v>100</v>
      </c>
      <c r="R432" s="93">
        <v>100</v>
      </c>
      <c r="S432" s="93" t="s">
        <v>29</v>
      </c>
      <c r="T432" s="93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CA432" s="12"/>
      <c r="CB432" s="12"/>
    </row>
    <row r="433" spans="1:80" x14ac:dyDescent="0.2">
      <c r="A433" s="96">
        <v>1807</v>
      </c>
      <c r="B433" s="99">
        <v>30</v>
      </c>
      <c r="C433" s="99">
        <v>40</v>
      </c>
      <c r="D433" s="96">
        <v>50</v>
      </c>
      <c r="E433" s="96">
        <v>60</v>
      </c>
      <c r="F433" s="96">
        <v>70</v>
      </c>
      <c r="G433" s="96">
        <v>90</v>
      </c>
      <c r="H433" s="96">
        <v>100</v>
      </c>
      <c r="I433" s="96" t="s">
        <v>29</v>
      </c>
      <c r="J433" s="93"/>
      <c r="K433" s="93">
        <v>1906</v>
      </c>
      <c r="L433" s="93">
        <v>50</v>
      </c>
      <c r="M433" s="93">
        <v>60</v>
      </c>
      <c r="N433" s="93">
        <v>70</v>
      </c>
      <c r="O433" s="93">
        <v>80</v>
      </c>
      <c r="P433" s="93">
        <v>90</v>
      </c>
      <c r="Q433" s="93">
        <v>100</v>
      </c>
      <c r="R433" s="93">
        <v>100</v>
      </c>
      <c r="S433" s="93" t="s">
        <v>29</v>
      </c>
      <c r="T433" s="93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CA433" s="12"/>
      <c r="CB433" s="12"/>
    </row>
    <row r="434" spans="1:80" x14ac:dyDescent="0.2">
      <c r="A434" s="96">
        <v>1808</v>
      </c>
      <c r="B434" s="99">
        <v>30</v>
      </c>
      <c r="C434" s="99">
        <v>40</v>
      </c>
      <c r="D434" s="96">
        <v>50</v>
      </c>
      <c r="E434" s="96">
        <v>60</v>
      </c>
      <c r="F434" s="96">
        <v>70</v>
      </c>
      <c r="G434" s="96">
        <v>90</v>
      </c>
      <c r="H434" s="96">
        <v>100</v>
      </c>
      <c r="I434" s="96" t="s">
        <v>29</v>
      </c>
      <c r="J434" s="93"/>
      <c r="K434" s="93">
        <v>1907</v>
      </c>
      <c r="L434" s="93">
        <v>50</v>
      </c>
      <c r="M434" s="93">
        <v>60</v>
      </c>
      <c r="N434" s="93">
        <v>70</v>
      </c>
      <c r="O434" s="93">
        <v>80</v>
      </c>
      <c r="P434" s="93">
        <v>90</v>
      </c>
      <c r="Q434" s="93">
        <v>100</v>
      </c>
      <c r="R434" s="93">
        <v>100</v>
      </c>
      <c r="S434" s="93" t="s">
        <v>29</v>
      </c>
      <c r="T434" s="93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CA434" s="12"/>
      <c r="CB434" s="12"/>
    </row>
    <row r="435" spans="1:80" x14ac:dyDescent="0.2">
      <c r="A435" s="96">
        <v>1809</v>
      </c>
      <c r="B435" s="99">
        <v>30</v>
      </c>
      <c r="C435" s="99">
        <v>40</v>
      </c>
      <c r="D435" s="96">
        <v>50</v>
      </c>
      <c r="E435" s="96">
        <v>60</v>
      </c>
      <c r="F435" s="96">
        <v>70</v>
      </c>
      <c r="G435" s="96">
        <v>90</v>
      </c>
      <c r="H435" s="96">
        <v>100</v>
      </c>
      <c r="I435" s="96" t="s">
        <v>29</v>
      </c>
      <c r="J435" s="93"/>
      <c r="K435" s="93">
        <v>1908</v>
      </c>
      <c r="L435" s="93">
        <v>50</v>
      </c>
      <c r="M435" s="93">
        <v>60</v>
      </c>
      <c r="N435" s="93">
        <v>70</v>
      </c>
      <c r="O435" s="93">
        <v>80</v>
      </c>
      <c r="P435" s="93">
        <v>90</v>
      </c>
      <c r="Q435" s="93">
        <v>100</v>
      </c>
      <c r="R435" s="93">
        <v>100</v>
      </c>
      <c r="S435" s="93" t="s">
        <v>29</v>
      </c>
      <c r="T435" s="93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CA435" s="12"/>
      <c r="CB435" s="12"/>
    </row>
    <row r="436" spans="1:80" x14ac:dyDescent="0.2">
      <c r="A436" s="96">
        <v>1810</v>
      </c>
      <c r="B436" s="99">
        <v>30</v>
      </c>
      <c r="C436" s="99">
        <v>40</v>
      </c>
      <c r="D436" s="96">
        <v>50</v>
      </c>
      <c r="E436" s="96">
        <v>60</v>
      </c>
      <c r="F436" s="96">
        <v>70</v>
      </c>
      <c r="G436" s="96">
        <v>90</v>
      </c>
      <c r="H436" s="96">
        <v>100</v>
      </c>
      <c r="I436" s="96" t="s">
        <v>29</v>
      </c>
      <c r="J436" s="93"/>
      <c r="K436" s="93">
        <v>1909</v>
      </c>
      <c r="L436" s="93">
        <v>50</v>
      </c>
      <c r="M436" s="93">
        <v>60</v>
      </c>
      <c r="N436" s="93">
        <v>70</v>
      </c>
      <c r="O436" s="93">
        <v>80</v>
      </c>
      <c r="P436" s="93">
        <v>90</v>
      </c>
      <c r="Q436" s="93">
        <v>100</v>
      </c>
      <c r="R436" s="93">
        <v>100</v>
      </c>
      <c r="S436" s="93" t="s">
        <v>29</v>
      </c>
      <c r="T436" s="93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CA436" s="12"/>
      <c r="CB436" s="12"/>
    </row>
    <row r="437" spans="1:80" x14ac:dyDescent="0.2">
      <c r="A437" s="96">
        <v>1811</v>
      </c>
      <c r="B437" s="99">
        <v>30</v>
      </c>
      <c r="C437" s="99">
        <v>40</v>
      </c>
      <c r="D437" s="96">
        <v>50</v>
      </c>
      <c r="E437" s="96">
        <v>60</v>
      </c>
      <c r="F437" s="96">
        <v>65</v>
      </c>
      <c r="G437" s="96">
        <v>90</v>
      </c>
      <c r="H437" s="96">
        <v>100</v>
      </c>
      <c r="I437" s="96" t="s">
        <v>29</v>
      </c>
      <c r="J437" s="93"/>
      <c r="K437" s="93">
        <v>1910</v>
      </c>
      <c r="L437" s="93">
        <v>50</v>
      </c>
      <c r="M437" s="93">
        <v>60</v>
      </c>
      <c r="N437" s="93">
        <v>70</v>
      </c>
      <c r="O437" s="93">
        <v>80</v>
      </c>
      <c r="P437" s="93">
        <v>90</v>
      </c>
      <c r="Q437" s="93">
        <v>100</v>
      </c>
      <c r="R437" s="93">
        <v>100</v>
      </c>
      <c r="S437" s="93" t="s">
        <v>29</v>
      </c>
      <c r="T437" s="93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CA437" s="12"/>
      <c r="CB437" s="12"/>
    </row>
    <row r="438" spans="1:80" x14ac:dyDescent="0.2">
      <c r="A438" s="96">
        <v>1812</v>
      </c>
      <c r="B438" s="99">
        <v>30</v>
      </c>
      <c r="C438" s="99">
        <v>40</v>
      </c>
      <c r="D438" s="96">
        <v>50</v>
      </c>
      <c r="E438" s="96">
        <v>60</v>
      </c>
      <c r="F438" s="96">
        <v>65</v>
      </c>
      <c r="G438" s="96">
        <v>90</v>
      </c>
      <c r="H438" s="96">
        <v>100</v>
      </c>
      <c r="I438" s="96" t="s">
        <v>29</v>
      </c>
      <c r="J438" s="93"/>
      <c r="K438" s="93">
        <v>1911</v>
      </c>
      <c r="L438" s="93">
        <v>50</v>
      </c>
      <c r="M438" s="93">
        <v>60</v>
      </c>
      <c r="N438" s="93">
        <v>70</v>
      </c>
      <c r="O438" s="93">
        <v>80</v>
      </c>
      <c r="P438" s="93">
        <v>90</v>
      </c>
      <c r="Q438" s="93">
        <v>100</v>
      </c>
      <c r="R438" s="93">
        <v>100</v>
      </c>
      <c r="S438" s="93" t="s">
        <v>29</v>
      </c>
      <c r="T438" s="93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CA438" s="12"/>
      <c r="CB438" s="12"/>
    </row>
    <row r="439" spans="1:80" x14ac:dyDescent="0.2">
      <c r="A439" s="96">
        <v>1813</v>
      </c>
      <c r="B439" s="99">
        <v>30</v>
      </c>
      <c r="C439" s="99">
        <v>40</v>
      </c>
      <c r="D439" s="96">
        <v>50</v>
      </c>
      <c r="E439" s="96">
        <v>60</v>
      </c>
      <c r="F439" s="96">
        <v>65</v>
      </c>
      <c r="G439" s="96">
        <v>90</v>
      </c>
      <c r="H439" s="96">
        <v>100</v>
      </c>
      <c r="I439" s="96" t="s">
        <v>29</v>
      </c>
      <c r="J439" s="93"/>
      <c r="K439" s="93">
        <v>1912</v>
      </c>
      <c r="L439" s="93">
        <v>50</v>
      </c>
      <c r="M439" s="93">
        <v>60</v>
      </c>
      <c r="N439" s="93">
        <v>70</v>
      </c>
      <c r="O439" s="93">
        <v>80</v>
      </c>
      <c r="P439" s="93">
        <v>90</v>
      </c>
      <c r="Q439" s="93">
        <v>100</v>
      </c>
      <c r="R439" s="93">
        <v>100</v>
      </c>
      <c r="S439" s="93" t="s">
        <v>29</v>
      </c>
      <c r="T439" s="93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CA439" s="12"/>
      <c r="CB439" s="12"/>
    </row>
    <row r="440" spans="1:80" x14ac:dyDescent="0.2">
      <c r="A440" s="96">
        <v>1814</v>
      </c>
      <c r="B440" s="99">
        <v>30</v>
      </c>
      <c r="C440" s="99">
        <v>40</v>
      </c>
      <c r="D440" s="96">
        <v>50</v>
      </c>
      <c r="E440" s="96">
        <v>60</v>
      </c>
      <c r="F440" s="96">
        <v>65</v>
      </c>
      <c r="G440" s="96">
        <v>90</v>
      </c>
      <c r="H440" s="96">
        <v>100</v>
      </c>
      <c r="I440" s="96" t="s">
        <v>29</v>
      </c>
      <c r="J440" s="93"/>
      <c r="K440" s="93">
        <v>1913</v>
      </c>
      <c r="L440" s="93">
        <v>50</v>
      </c>
      <c r="M440" s="93">
        <v>60</v>
      </c>
      <c r="N440" s="93">
        <v>70</v>
      </c>
      <c r="O440" s="93">
        <v>80</v>
      </c>
      <c r="P440" s="93">
        <v>90</v>
      </c>
      <c r="Q440" s="93">
        <v>100</v>
      </c>
      <c r="R440" s="93">
        <v>100</v>
      </c>
      <c r="S440" s="93" t="s">
        <v>29</v>
      </c>
      <c r="T440" s="93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CA440" s="12"/>
      <c r="CB440" s="12"/>
    </row>
    <row r="441" spans="1:80" x14ac:dyDescent="0.2">
      <c r="A441" s="96">
        <v>1815</v>
      </c>
      <c r="B441" s="99">
        <v>30</v>
      </c>
      <c r="C441" s="99">
        <v>40</v>
      </c>
      <c r="D441" s="96">
        <v>50</v>
      </c>
      <c r="E441" s="96">
        <v>60</v>
      </c>
      <c r="F441" s="96">
        <v>65</v>
      </c>
      <c r="G441" s="96">
        <v>90</v>
      </c>
      <c r="H441" s="96">
        <v>100</v>
      </c>
      <c r="I441" s="96" t="s">
        <v>29</v>
      </c>
      <c r="J441" s="93"/>
      <c r="K441" s="93">
        <v>1914</v>
      </c>
      <c r="L441" s="93">
        <v>50</v>
      </c>
      <c r="M441" s="93">
        <v>60</v>
      </c>
      <c r="N441" s="93">
        <v>70</v>
      </c>
      <c r="O441" s="93">
        <v>80</v>
      </c>
      <c r="P441" s="93">
        <v>90</v>
      </c>
      <c r="Q441" s="93">
        <v>100</v>
      </c>
      <c r="R441" s="93">
        <v>100</v>
      </c>
      <c r="S441" s="93" t="s">
        <v>29</v>
      </c>
      <c r="T441" s="93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CA441" s="12"/>
      <c r="CB441" s="12"/>
    </row>
    <row r="442" spans="1:80" x14ac:dyDescent="0.2">
      <c r="A442" s="96">
        <v>1816</v>
      </c>
      <c r="B442" s="99">
        <v>30</v>
      </c>
      <c r="C442" s="99">
        <v>40</v>
      </c>
      <c r="D442" s="96">
        <v>50</v>
      </c>
      <c r="E442" s="96">
        <v>60</v>
      </c>
      <c r="F442" s="96">
        <v>65</v>
      </c>
      <c r="G442" s="96">
        <v>90</v>
      </c>
      <c r="H442" s="96">
        <v>100</v>
      </c>
      <c r="I442" s="96" t="s">
        <v>29</v>
      </c>
      <c r="J442" s="93"/>
      <c r="K442" s="93">
        <v>1915</v>
      </c>
      <c r="L442" s="93">
        <v>50</v>
      </c>
      <c r="M442" s="93">
        <v>60</v>
      </c>
      <c r="N442" s="93">
        <v>70</v>
      </c>
      <c r="O442" s="93">
        <v>80</v>
      </c>
      <c r="P442" s="93">
        <v>90</v>
      </c>
      <c r="Q442" s="93">
        <v>100</v>
      </c>
      <c r="R442" s="93">
        <v>100</v>
      </c>
      <c r="S442" s="93" t="s">
        <v>29</v>
      </c>
      <c r="T442" s="93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CA442" s="12"/>
      <c r="CB442" s="12"/>
    </row>
    <row r="443" spans="1:80" x14ac:dyDescent="0.2">
      <c r="A443" s="96">
        <v>1817</v>
      </c>
      <c r="B443" s="99">
        <v>30</v>
      </c>
      <c r="C443" s="99">
        <v>40</v>
      </c>
      <c r="D443" s="96">
        <v>50</v>
      </c>
      <c r="E443" s="96">
        <v>60</v>
      </c>
      <c r="F443" s="96">
        <v>65</v>
      </c>
      <c r="G443" s="96">
        <v>90</v>
      </c>
      <c r="H443" s="96">
        <v>100</v>
      </c>
      <c r="I443" s="96" t="s">
        <v>29</v>
      </c>
      <c r="J443" s="93"/>
      <c r="K443" s="93">
        <v>1916</v>
      </c>
      <c r="L443" s="93">
        <v>50</v>
      </c>
      <c r="M443" s="93">
        <v>60</v>
      </c>
      <c r="N443" s="93">
        <v>70</v>
      </c>
      <c r="O443" s="93">
        <v>80</v>
      </c>
      <c r="P443" s="93">
        <v>90</v>
      </c>
      <c r="Q443" s="93">
        <v>100</v>
      </c>
      <c r="R443" s="93">
        <v>100</v>
      </c>
      <c r="S443" s="93" t="s">
        <v>29</v>
      </c>
      <c r="T443" s="93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CA443" s="12"/>
      <c r="CB443" s="12"/>
    </row>
    <row r="444" spans="1:80" x14ac:dyDescent="0.2">
      <c r="A444" s="96">
        <v>1818</v>
      </c>
      <c r="B444" s="99">
        <v>30</v>
      </c>
      <c r="C444" s="99">
        <v>40</v>
      </c>
      <c r="D444" s="96">
        <v>50</v>
      </c>
      <c r="E444" s="96">
        <v>60</v>
      </c>
      <c r="F444" s="96">
        <v>65</v>
      </c>
      <c r="G444" s="96">
        <v>90</v>
      </c>
      <c r="H444" s="96">
        <v>100</v>
      </c>
      <c r="I444" s="96" t="s">
        <v>29</v>
      </c>
      <c r="J444" s="93"/>
      <c r="K444" s="93">
        <v>1917</v>
      </c>
      <c r="L444" s="93">
        <v>50</v>
      </c>
      <c r="M444" s="93">
        <v>60</v>
      </c>
      <c r="N444" s="93">
        <v>70</v>
      </c>
      <c r="O444" s="93">
        <v>80</v>
      </c>
      <c r="P444" s="93">
        <v>90</v>
      </c>
      <c r="Q444" s="93">
        <v>100</v>
      </c>
      <c r="R444" s="93">
        <v>100</v>
      </c>
      <c r="S444" s="93" t="s">
        <v>29</v>
      </c>
      <c r="T444" s="93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CA444" s="12"/>
      <c r="CB444" s="12"/>
    </row>
    <row r="445" spans="1:80" x14ac:dyDescent="0.2">
      <c r="A445" s="96">
        <v>1819</v>
      </c>
      <c r="B445" s="99">
        <v>30</v>
      </c>
      <c r="C445" s="99">
        <v>40</v>
      </c>
      <c r="D445" s="96">
        <v>50</v>
      </c>
      <c r="E445" s="96">
        <v>60</v>
      </c>
      <c r="F445" s="96">
        <v>65</v>
      </c>
      <c r="G445" s="96">
        <v>90</v>
      </c>
      <c r="H445" s="96">
        <v>100</v>
      </c>
      <c r="I445" s="96" t="s">
        <v>29</v>
      </c>
      <c r="J445" s="93"/>
      <c r="K445" s="93">
        <v>1918</v>
      </c>
      <c r="L445" s="93">
        <v>50</v>
      </c>
      <c r="M445" s="93">
        <v>60</v>
      </c>
      <c r="N445" s="93">
        <v>70</v>
      </c>
      <c r="O445" s="93">
        <v>80</v>
      </c>
      <c r="P445" s="93">
        <v>90</v>
      </c>
      <c r="Q445" s="93">
        <v>100</v>
      </c>
      <c r="R445" s="93">
        <v>100</v>
      </c>
      <c r="S445" s="93" t="s">
        <v>29</v>
      </c>
      <c r="T445" s="93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CA445" s="12"/>
      <c r="CB445" s="12"/>
    </row>
    <row r="446" spans="1:80" x14ac:dyDescent="0.2">
      <c r="A446" s="96">
        <v>1820</v>
      </c>
      <c r="B446" s="99">
        <v>30</v>
      </c>
      <c r="C446" s="99">
        <v>40</v>
      </c>
      <c r="D446" s="96">
        <v>50</v>
      </c>
      <c r="E446" s="96">
        <v>60</v>
      </c>
      <c r="F446" s="96">
        <v>65</v>
      </c>
      <c r="G446" s="96">
        <v>90</v>
      </c>
      <c r="H446" s="96">
        <v>100</v>
      </c>
      <c r="I446" s="96" t="s">
        <v>29</v>
      </c>
      <c r="J446" s="93"/>
      <c r="K446" s="93">
        <v>1919</v>
      </c>
      <c r="L446" s="93">
        <v>50</v>
      </c>
      <c r="M446" s="93">
        <v>60</v>
      </c>
      <c r="N446" s="93">
        <v>70</v>
      </c>
      <c r="O446" s="93">
        <v>80</v>
      </c>
      <c r="P446" s="93">
        <v>90</v>
      </c>
      <c r="Q446" s="93">
        <v>100</v>
      </c>
      <c r="R446" s="93">
        <v>100</v>
      </c>
      <c r="S446" s="93" t="s">
        <v>29</v>
      </c>
      <c r="T446" s="93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CA446" s="12"/>
      <c r="CB446" s="12"/>
    </row>
    <row r="447" spans="1:80" x14ac:dyDescent="0.2">
      <c r="A447" s="96">
        <v>1821</v>
      </c>
      <c r="B447" s="99">
        <v>25</v>
      </c>
      <c r="C447" s="99">
        <v>35</v>
      </c>
      <c r="D447" s="99">
        <v>45</v>
      </c>
      <c r="E447" s="96">
        <v>55</v>
      </c>
      <c r="F447" s="96">
        <v>65</v>
      </c>
      <c r="G447" s="96">
        <v>85</v>
      </c>
      <c r="H447" s="96">
        <v>100</v>
      </c>
      <c r="I447" s="96" t="s">
        <v>29</v>
      </c>
      <c r="J447" s="93"/>
      <c r="K447" s="93">
        <v>1920</v>
      </c>
      <c r="L447" s="93">
        <v>50</v>
      </c>
      <c r="M447" s="93">
        <v>60</v>
      </c>
      <c r="N447" s="93">
        <v>70</v>
      </c>
      <c r="O447" s="93">
        <v>80</v>
      </c>
      <c r="P447" s="93">
        <v>90</v>
      </c>
      <c r="Q447" s="93">
        <v>100</v>
      </c>
      <c r="R447" s="93">
        <v>100</v>
      </c>
      <c r="S447" s="93" t="s">
        <v>29</v>
      </c>
      <c r="T447" s="93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CA447" s="12"/>
      <c r="CB447" s="12"/>
    </row>
    <row r="448" spans="1:80" x14ac:dyDescent="0.2">
      <c r="A448" s="96">
        <v>1822</v>
      </c>
      <c r="B448" s="99">
        <v>25</v>
      </c>
      <c r="C448" s="99">
        <v>35</v>
      </c>
      <c r="D448" s="99">
        <v>45</v>
      </c>
      <c r="E448" s="96">
        <v>55</v>
      </c>
      <c r="F448" s="96">
        <v>65</v>
      </c>
      <c r="G448" s="96">
        <v>85</v>
      </c>
      <c r="H448" s="96">
        <v>100</v>
      </c>
      <c r="I448" s="96" t="s">
        <v>29</v>
      </c>
      <c r="J448" s="93"/>
      <c r="K448" s="93">
        <v>1921</v>
      </c>
      <c r="L448" s="103">
        <v>45</v>
      </c>
      <c r="M448" s="93">
        <v>55</v>
      </c>
      <c r="N448" s="93">
        <v>65</v>
      </c>
      <c r="O448" s="93">
        <v>75</v>
      </c>
      <c r="P448" s="93">
        <v>85</v>
      </c>
      <c r="Q448" s="93">
        <v>100</v>
      </c>
      <c r="R448" s="93">
        <v>100</v>
      </c>
      <c r="S448" s="93" t="s">
        <v>29</v>
      </c>
      <c r="T448" s="93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CA448" s="12"/>
      <c r="CB448" s="12"/>
    </row>
    <row r="449" spans="1:80" x14ac:dyDescent="0.2">
      <c r="A449" s="96">
        <v>1823</v>
      </c>
      <c r="B449" s="99">
        <v>25</v>
      </c>
      <c r="C449" s="99">
        <v>35</v>
      </c>
      <c r="D449" s="99">
        <v>45</v>
      </c>
      <c r="E449" s="96">
        <v>55</v>
      </c>
      <c r="F449" s="96">
        <v>65</v>
      </c>
      <c r="G449" s="96">
        <v>85</v>
      </c>
      <c r="H449" s="96">
        <v>100</v>
      </c>
      <c r="I449" s="96" t="s">
        <v>29</v>
      </c>
      <c r="J449" s="93"/>
      <c r="K449" s="93">
        <v>1922</v>
      </c>
      <c r="L449" s="103">
        <v>45</v>
      </c>
      <c r="M449" s="93">
        <v>55</v>
      </c>
      <c r="N449" s="93">
        <v>65</v>
      </c>
      <c r="O449" s="93">
        <v>75</v>
      </c>
      <c r="P449" s="93">
        <v>85</v>
      </c>
      <c r="Q449" s="93">
        <v>100</v>
      </c>
      <c r="R449" s="93">
        <v>100</v>
      </c>
      <c r="S449" s="93" t="s">
        <v>29</v>
      </c>
      <c r="T449" s="93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CA449" s="12"/>
      <c r="CB449" s="12"/>
    </row>
    <row r="450" spans="1:80" x14ac:dyDescent="0.2">
      <c r="A450" s="96">
        <v>1824</v>
      </c>
      <c r="B450" s="99">
        <v>25</v>
      </c>
      <c r="C450" s="99">
        <v>35</v>
      </c>
      <c r="D450" s="99">
        <v>45</v>
      </c>
      <c r="E450" s="96">
        <v>55</v>
      </c>
      <c r="F450" s="96">
        <v>65</v>
      </c>
      <c r="G450" s="96">
        <v>85</v>
      </c>
      <c r="H450" s="96">
        <v>100</v>
      </c>
      <c r="I450" s="96" t="s">
        <v>29</v>
      </c>
      <c r="J450" s="93"/>
      <c r="K450" s="93">
        <v>1923</v>
      </c>
      <c r="L450" s="103">
        <v>45</v>
      </c>
      <c r="M450" s="93">
        <v>55</v>
      </c>
      <c r="N450" s="93">
        <v>65</v>
      </c>
      <c r="O450" s="93">
        <v>75</v>
      </c>
      <c r="P450" s="93">
        <v>85</v>
      </c>
      <c r="Q450" s="93">
        <v>100</v>
      </c>
      <c r="R450" s="93">
        <v>100</v>
      </c>
      <c r="S450" s="93" t="s">
        <v>29</v>
      </c>
      <c r="T450" s="93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CA450" s="12"/>
      <c r="CB450" s="12"/>
    </row>
    <row r="451" spans="1:80" x14ac:dyDescent="0.2">
      <c r="A451" s="96">
        <v>1825</v>
      </c>
      <c r="B451" s="99">
        <v>25</v>
      </c>
      <c r="C451" s="99">
        <v>35</v>
      </c>
      <c r="D451" s="99">
        <v>45</v>
      </c>
      <c r="E451" s="96">
        <v>55</v>
      </c>
      <c r="F451" s="96">
        <v>65</v>
      </c>
      <c r="G451" s="96">
        <v>85</v>
      </c>
      <c r="H451" s="96">
        <v>100</v>
      </c>
      <c r="I451" s="96" t="s">
        <v>29</v>
      </c>
      <c r="J451" s="93"/>
      <c r="K451" s="93">
        <v>1924</v>
      </c>
      <c r="L451" s="103">
        <v>45</v>
      </c>
      <c r="M451" s="93">
        <v>55</v>
      </c>
      <c r="N451" s="93">
        <v>65</v>
      </c>
      <c r="O451" s="93">
        <v>75</v>
      </c>
      <c r="P451" s="93">
        <v>85</v>
      </c>
      <c r="Q451" s="93">
        <v>100</v>
      </c>
      <c r="R451" s="93">
        <v>100</v>
      </c>
      <c r="S451" s="93" t="s">
        <v>29</v>
      </c>
      <c r="T451" s="93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CA451" s="12"/>
      <c r="CB451" s="12"/>
    </row>
    <row r="452" spans="1:80" x14ac:dyDescent="0.2">
      <c r="A452" s="96">
        <v>1826</v>
      </c>
      <c r="B452" s="99">
        <v>25</v>
      </c>
      <c r="C452" s="99">
        <v>35</v>
      </c>
      <c r="D452" s="99">
        <v>45</v>
      </c>
      <c r="E452" s="96">
        <v>55</v>
      </c>
      <c r="F452" s="96">
        <v>65</v>
      </c>
      <c r="G452" s="96">
        <v>85</v>
      </c>
      <c r="H452" s="96">
        <v>100</v>
      </c>
      <c r="I452" s="96" t="s">
        <v>29</v>
      </c>
      <c r="J452" s="93"/>
      <c r="K452" s="93">
        <v>1925</v>
      </c>
      <c r="L452" s="103">
        <v>45</v>
      </c>
      <c r="M452" s="93">
        <v>55</v>
      </c>
      <c r="N452" s="93">
        <v>65</v>
      </c>
      <c r="O452" s="93">
        <v>75</v>
      </c>
      <c r="P452" s="93">
        <v>85</v>
      </c>
      <c r="Q452" s="93">
        <v>100</v>
      </c>
      <c r="R452" s="93">
        <v>100</v>
      </c>
      <c r="S452" s="93" t="s">
        <v>29</v>
      </c>
      <c r="T452" s="93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CA452" s="12"/>
      <c r="CB452" s="12"/>
    </row>
    <row r="453" spans="1:80" x14ac:dyDescent="0.2">
      <c r="A453" s="96">
        <v>1827</v>
      </c>
      <c r="B453" s="99">
        <v>25</v>
      </c>
      <c r="C453" s="99">
        <v>35</v>
      </c>
      <c r="D453" s="99">
        <v>45</v>
      </c>
      <c r="E453" s="96">
        <v>55</v>
      </c>
      <c r="F453" s="96">
        <v>65</v>
      </c>
      <c r="G453" s="96">
        <v>85</v>
      </c>
      <c r="H453" s="96">
        <v>100</v>
      </c>
      <c r="I453" s="96" t="s">
        <v>29</v>
      </c>
      <c r="J453" s="93"/>
      <c r="K453" s="93">
        <v>1926</v>
      </c>
      <c r="L453" s="103">
        <v>45</v>
      </c>
      <c r="M453" s="93">
        <v>55</v>
      </c>
      <c r="N453" s="93">
        <v>65</v>
      </c>
      <c r="O453" s="93">
        <v>75</v>
      </c>
      <c r="P453" s="93">
        <v>85</v>
      </c>
      <c r="Q453" s="93">
        <v>100</v>
      </c>
      <c r="R453" s="93">
        <v>100</v>
      </c>
      <c r="S453" s="93" t="s">
        <v>29</v>
      </c>
      <c r="T453" s="93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CA453" s="12"/>
      <c r="CB453" s="12"/>
    </row>
    <row r="454" spans="1:80" x14ac:dyDescent="0.2">
      <c r="A454" s="96">
        <v>1828</v>
      </c>
      <c r="B454" s="99">
        <v>25</v>
      </c>
      <c r="C454" s="99">
        <v>35</v>
      </c>
      <c r="D454" s="99">
        <v>45</v>
      </c>
      <c r="E454" s="96">
        <v>55</v>
      </c>
      <c r="F454" s="96">
        <v>65</v>
      </c>
      <c r="G454" s="96">
        <v>85</v>
      </c>
      <c r="H454" s="96">
        <v>100</v>
      </c>
      <c r="I454" s="96" t="s">
        <v>29</v>
      </c>
      <c r="J454" s="93"/>
      <c r="K454" s="93">
        <v>1927</v>
      </c>
      <c r="L454" s="103">
        <v>45</v>
      </c>
      <c r="M454" s="93">
        <v>55</v>
      </c>
      <c r="N454" s="93">
        <v>65</v>
      </c>
      <c r="O454" s="93">
        <v>75</v>
      </c>
      <c r="P454" s="93">
        <v>85</v>
      </c>
      <c r="Q454" s="93">
        <v>100</v>
      </c>
      <c r="R454" s="93">
        <v>100</v>
      </c>
      <c r="S454" s="93" t="s">
        <v>29</v>
      </c>
      <c r="T454" s="93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CA454" s="12"/>
      <c r="CB454" s="12"/>
    </row>
    <row r="455" spans="1:80" x14ac:dyDescent="0.2">
      <c r="A455" s="96">
        <v>1829</v>
      </c>
      <c r="B455" s="99">
        <v>25</v>
      </c>
      <c r="C455" s="99">
        <v>35</v>
      </c>
      <c r="D455" s="99">
        <v>45</v>
      </c>
      <c r="E455" s="96">
        <v>55</v>
      </c>
      <c r="F455" s="96">
        <v>65</v>
      </c>
      <c r="G455" s="96">
        <v>85</v>
      </c>
      <c r="H455" s="96">
        <v>100</v>
      </c>
      <c r="I455" s="96" t="s">
        <v>29</v>
      </c>
      <c r="J455" s="93"/>
      <c r="K455" s="93">
        <v>1928</v>
      </c>
      <c r="L455" s="103">
        <v>45</v>
      </c>
      <c r="M455" s="93">
        <v>55</v>
      </c>
      <c r="N455" s="93">
        <v>65</v>
      </c>
      <c r="O455" s="93">
        <v>75</v>
      </c>
      <c r="P455" s="93">
        <v>85</v>
      </c>
      <c r="Q455" s="93">
        <v>100</v>
      </c>
      <c r="R455" s="93">
        <v>100</v>
      </c>
      <c r="S455" s="93" t="s">
        <v>29</v>
      </c>
      <c r="T455" s="93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CA455" s="12"/>
      <c r="CB455" s="12"/>
    </row>
    <row r="456" spans="1:80" x14ac:dyDescent="0.2">
      <c r="A456" s="96">
        <v>1830</v>
      </c>
      <c r="B456" s="99">
        <v>25</v>
      </c>
      <c r="C456" s="99">
        <v>35</v>
      </c>
      <c r="D456" s="99">
        <v>45</v>
      </c>
      <c r="E456" s="96">
        <v>55</v>
      </c>
      <c r="F456" s="96">
        <v>65</v>
      </c>
      <c r="G456" s="96">
        <v>85</v>
      </c>
      <c r="H456" s="96">
        <v>100</v>
      </c>
      <c r="I456" s="96" t="s">
        <v>29</v>
      </c>
      <c r="J456" s="93"/>
      <c r="K456" s="93">
        <v>1929</v>
      </c>
      <c r="L456" s="103">
        <v>45</v>
      </c>
      <c r="M456" s="93">
        <v>55</v>
      </c>
      <c r="N456" s="93">
        <v>65</v>
      </c>
      <c r="O456" s="93">
        <v>75</v>
      </c>
      <c r="P456" s="93">
        <v>85</v>
      </c>
      <c r="Q456" s="93">
        <v>100</v>
      </c>
      <c r="R456" s="93">
        <v>100</v>
      </c>
      <c r="S456" s="93" t="s">
        <v>29</v>
      </c>
      <c r="T456" s="93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CA456" s="12"/>
      <c r="CB456" s="12"/>
    </row>
    <row r="457" spans="1:80" x14ac:dyDescent="0.2">
      <c r="A457" s="96">
        <v>1831</v>
      </c>
      <c r="B457" s="99">
        <v>25</v>
      </c>
      <c r="C457" s="99">
        <v>35</v>
      </c>
      <c r="D457" s="99">
        <v>45</v>
      </c>
      <c r="E457" s="96">
        <v>55</v>
      </c>
      <c r="F457" s="96">
        <v>60</v>
      </c>
      <c r="G457" s="96">
        <v>85</v>
      </c>
      <c r="H457" s="96">
        <v>100</v>
      </c>
      <c r="I457" s="96" t="s">
        <v>29</v>
      </c>
      <c r="J457" s="93"/>
      <c r="K457" s="93">
        <v>1930</v>
      </c>
      <c r="L457" s="103">
        <v>45</v>
      </c>
      <c r="M457" s="93">
        <v>55</v>
      </c>
      <c r="N457" s="93">
        <v>65</v>
      </c>
      <c r="O457" s="93">
        <v>75</v>
      </c>
      <c r="P457" s="93">
        <v>85</v>
      </c>
      <c r="Q457" s="93">
        <v>100</v>
      </c>
      <c r="R457" s="93">
        <v>100</v>
      </c>
      <c r="S457" s="93" t="s">
        <v>29</v>
      </c>
      <c r="T457" s="93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CA457" s="12"/>
      <c r="CB457" s="12"/>
    </row>
    <row r="458" spans="1:80" x14ac:dyDescent="0.2">
      <c r="A458" s="96">
        <v>1832</v>
      </c>
      <c r="B458" s="99">
        <v>25</v>
      </c>
      <c r="C458" s="99">
        <v>35</v>
      </c>
      <c r="D458" s="99">
        <v>45</v>
      </c>
      <c r="E458" s="96">
        <v>55</v>
      </c>
      <c r="F458" s="96">
        <v>60</v>
      </c>
      <c r="G458" s="96">
        <v>85</v>
      </c>
      <c r="H458" s="96">
        <v>100</v>
      </c>
      <c r="I458" s="96" t="s">
        <v>29</v>
      </c>
      <c r="J458" s="93"/>
      <c r="K458" s="93">
        <v>1931</v>
      </c>
      <c r="L458" s="103">
        <v>45</v>
      </c>
      <c r="M458" s="93">
        <v>55</v>
      </c>
      <c r="N458" s="93">
        <v>65</v>
      </c>
      <c r="O458" s="93">
        <v>75</v>
      </c>
      <c r="P458" s="93">
        <v>85</v>
      </c>
      <c r="Q458" s="93">
        <v>100</v>
      </c>
      <c r="R458" s="93">
        <v>100</v>
      </c>
      <c r="S458" s="93" t="s">
        <v>29</v>
      </c>
      <c r="T458" s="93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CA458" s="12"/>
      <c r="CB458" s="12"/>
    </row>
    <row r="459" spans="1:80" x14ac:dyDescent="0.2">
      <c r="A459" s="96">
        <v>1833</v>
      </c>
      <c r="B459" s="99">
        <v>25</v>
      </c>
      <c r="C459" s="99">
        <v>35</v>
      </c>
      <c r="D459" s="99">
        <v>45</v>
      </c>
      <c r="E459" s="96">
        <v>55</v>
      </c>
      <c r="F459" s="96">
        <v>60</v>
      </c>
      <c r="G459" s="96">
        <v>85</v>
      </c>
      <c r="H459" s="96">
        <v>100</v>
      </c>
      <c r="I459" s="96" t="s">
        <v>29</v>
      </c>
      <c r="J459" s="93"/>
      <c r="K459" s="93">
        <v>1932</v>
      </c>
      <c r="L459" s="103">
        <v>45</v>
      </c>
      <c r="M459" s="93">
        <v>55</v>
      </c>
      <c r="N459" s="93">
        <v>65</v>
      </c>
      <c r="O459" s="93">
        <v>75</v>
      </c>
      <c r="P459" s="93">
        <v>85</v>
      </c>
      <c r="Q459" s="93">
        <v>100</v>
      </c>
      <c r="R459" s="93">
        <v>100</v>
      </c>
      <c r="S459" s="93" t="s">
        <v>29</v>
      </c>
      <c r="T459" s="93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CA459" s="12"/>
      <c r="CB459" s="12"/>
    </row>
    <row r="460" spans="1:80" x14ac:dyDescent="0.2">
      <c r="A460" s="96">
        <v>1834</v>
      </c>
      <c r="B460" s="99">
        <v>25</v>
      </c>
      <c r="C460" s="99">
        <v>35</v>
      </c>
      <c r="D460" s="99">
        <v>45</v>
      </c>
      <c r="E460" s="96">
        <v>55</v>
      </c>
      <c r="F460" s="96">
        <v>60</v>
      </c>
      <c r="G460" s="96">
        <v>85</v>
      </c>
      <c r="H460" s="96">
        <v>100</v>
      </c>
      <c r="I460" s="96" t="s">
        <v>29</v>
      </c>
      <c r="J460" s="93"/>
      <c r="K460" s="93">
        <v>1933</v>
      </c>
      <c r="L460" s="103">
        <v>45</v>
      </c>
      <c r="M460" s="93">
        <v>55</v>
      </c>
      <c r="N460" s="93">
        <v>65</v>
      </c>
      <c r="O460" s="93">
        <v>75</v>
      </c>
      <c r="P460" s="93">
        <v>85</v>
      </c>
      <c r="Q460" s="93">
        <v>100</v>
      </c>
      <c r="R460" s="93">
        <v>100</v>
      </c>
      <c r="S460" s="93" t="s">
        <v>29</v>
      </c>
      <c r="T460" s="93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CA460" s="12"/>
      <c r="CB460" s="12"/>
    </row>
    <row r="461" spans="1:80" x14ac:dyDescent="0.2">
      <c r="A461" s="96">
        <v>1835</v>
      </c>
      <c r="B461" s="99">
        <v>25</v>
      </c>
      <c r="C461" s="99">
        <v>35</v>
      </c>
      <c r="D461" s="99">
        <v>45</v>
      </c>
      <c r="E461" s="96">
        <v>55</v>
      </c>
      <c r="F461" s="96">
        <v>60</v>
      </c>
      <c r="G461" s="96">
        <v>85</v>
      </c>
      <c r="H461" s="96">
        <v>100</v>
      </c>
      <c r="I461" s="96" t="s">
        <v>29</v>
      </c>
      <c r="J461" s="93"/>
      <c r="K461" s="93">
        <v>1934</v>
      </c>
      <c r="L461" s="103">
        <v>45</v>
      </c>
      <c r="M461" s="93">
        <v>55</v>
      </c>
      <c r="N461" s="93">
        <v>65</v>
      </c>
      <c r="O461" s="93">
        <v>75</v>
      </c>
      <c r="P461" s="93">
        <v>85</v>
      </c>
      <c r="Q461" s="93">
        <v>100</v>
      </c>
      <c r="R461" s="93">
        <v>100</v>
      </c>
      <c r="S461" s="93" t="s">
        <v>29</v>
      </c>
      <c r="T461" s="93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CA461" s="12"/>
      <c r="CB461" s="12"/>
    </row>
    <row r="462" spans="1:80" x14ac:dyDescent="0.2">
      <c r="A462" s="96">
        <v>1836</v>
      </c>
      <c r="B462" s="99">
        <v>25</v>
      </c>
      <c r="C462" s="99">
        <v>35</v>
      </c>
      <c r="D462" s="99">
        <v>45</v>
      </c>
      <c r="E462" s="96">
        <v>55</v>
      </c>
      <c r="F462" s="96">
        <v>60</v>
      </c>
      <c r="G462" s="96">
        <v>85</v>
      </c>
      <c r="H462" s="96">
        <v>100</v>
      </c>
      <c r="I462" s="96" t="s">
        <v>29</v>
      </c>
      <c r="J462" s="93"/>
      <c r="K462" s="93">
        <v>1935</v>
      </c>
      <c r="L462" s="103">
        <v>45</v>
      </c>
      <c r="M462" s="93">
        <v>55</v>
      </c>
      <c r="N462" s="93">
        <v>65</v>
      </c>
      <c r="O462" s="93">
        <v>75</v>
      </c>
      <c r="P462" s="93">
        <v>85</v>
      </c>
      <c r="Q462" s="93">
        <v>100</v>
      </c>
      <c r="R462" s="93">
        <v>100</v>
      </c>
      <c r="S462" s="93" t="s">
        <v>29</v>
      </c>
      <c r="T462" s="93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CA462" s="12"/>
      <c r="CB462" s="12"/>
    </row>
    <row r="463" spans="1:80" x14ac:dyDescent="0.2">
      <c r="A463" s="96">
        <v>1837</v>
      </c>
      <c r="B463" s="99">
        <v>25</v>
      </c>
      <c r="C463" s="99">
        <v>35</v>
      </c>
      <c r="D463" s="99">
        <v>45</v>
      </c>
      <c r="E463" s="96">
        <v>55</v>
      </c>
      <c r="F463" s="96">
        <v>60</v>
      </c>
      <c r="G463" s="96">
        <v>85</v>
      </c>
      <c r="H463" s="96">
        <v>100</v>
      </c>
      <c r="I463" s="96" t="s">
        <v>29</v>
      </c>
      <c r="J463" s="93"/>
      <c r="K463" s="93">
        <v>1936</v>
      </c>
      <c r="L463" s="103">
        <v>45</v>
      </c>
      <c r="M463" s="93">
        <v>55</v>
      </c>
      <c r="N463" s="93">
        <v>65</v>
      </c>
      <c r="O463" s="93">
        <v>75</v>
      </c>
      <c r="P463" s="93">
        <v>85</v>
      </c>
      <c r="Q463" s="93">
        <v>100</v>
      </c>
      <c r="R463" s="93">
        <v>100</v>
      </c>
      <c r="S463" s="93" t="s">
        <v>29</v>
      </c>
      <c r="T463" s="93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CA463" s="12"/>
      <c r="CB463" s="12"/>
    </row>
    <row r="464" spans="1:80" x14ac:dyDescent="0.2">
      <c r="A464" s="96">
        <v>1838</v>
      </c>
      <c r="B464" s="99">
        <v>25</v>
      </c>
      <c r="C464" s="99">
        <v>35</v>
      </c>
      <c r="D464" s="99">
        <v>45</v>
      </c>
      <c r="E464" s="96">
        <v>55</v>
      </c>
      <c r="F464" s="96">
        <v>60</v>
      </c>
      <c r="G464" s="96">
        <v>85</v>
      </c>
      <c r="H464" s="96">
        <v>100</v>
      </c>
      <c r="I464" s="96" t="s">
        <v>29</v>
      </c>
      <c r="J464" s="93"/>
      <c r="K464" s="93">
        <v>1937</v>
      </c>
      <c r="L464" s="103">
        <v>45</v>
      </c>
      <c r="M464" s="93">
        <v>55</v>
      </c>
      <c r="N464" s="93">
        <v>65</v>
      </c>
      <c r="O464" s="93">
        <v>75</v>
      </c>
      <c r="P464" s="93">
        <v>85</v>
      </c>
      <c r="Q464" s="93">
        <v>100</v>
      </c>
      <c r="R464" s="93">
        <v>100</v>
      </c>
      <c r="S464" s="93" t="s">
        <v>29</v>
      </c>
      <c r="T464" s="93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CA464" s="12"/>
      <c r="CB464" s="12"/>
    </row>
    <row r="465" spans="1:80" x14ac:dyDescent="0.2">
      <c r="A465" s="96">
        <v>1839</v>
      </c>
      <c r="B465" s="99">
        <v>25</v>
      </c>
      <c r="C465" s="99">
        <v>35</v>
      </c>
      <c r="D465" s="99">
        <v>45</v>
      </c>
      <c r="E465" s="96">
        <v>55</v>
      </c>
      <c r="F465" s="96">
        <v>60</v>
      </c>
      <c r="G465" s="96">
        <v>85</v>
      </c>
      <c r="H465" s="96">
        <v>100</v>
      </c>
      <c r="I465" s="96" t="s">
        <v>29</v>
      </c>
      <c r="J465" s="93"/>
      <c r="K465" s="93">
        <v>1938</v>
      </c>
      <c r="L465" s="103">
        <v>45</v>
      </c>
      <c r="M465" s="93">
        <v>55</v>
      </c>
      <c r="N465" s="93">
        <v>65</v>
      </c>
      <c r="O465" s="93">
        <v>75</v>
      </c>
      <c r="P465" s="93">
        <v>85</v>
      </c>
      <c r="Q465" s="93">
        <v>100</v>
      </c>
      <c r="R465" s="93">
        <v>100</v>
      </c>
      <c r="S465" s="93" t="s">
        <v>29</v>
      </c>
      <c r="T465" s="93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CA465" s="12"/>
      <c r="CB465" s="12"/>
    </row>
    <row r="466" spans="1:80" x14ac:dyDescent="0.2">
      <c r="A466" s="96">
        <v>1840</v>
      </c>
      <c r="B466" s="99">
        <v>25</v>
      </c>
      <c r="C466" s="99">
        <v>35</v>
      </c>
      <c r="D466" s="99">
        <v>45</v>
      </c>
      <c r="E466" s="96">
        <v>55</v>
      </c>
      <c r="F466" s="96">
        <v>60</v>
      </c>
      <c r="G466" s="96">
        <v>85</v>
      </c>
      <c r="H466" s="96">
        <v>100</v>
      </c>
      <c r="I466" s="96" t="s">
        <v>29</v>
      </c>
      <c r="J466" s="93"/>
      <c r="K466" s="93">
        <v>1939</v>
      </c>
      <c r="L466" s="103">
        <v>45</v>
      </c>
      <c r="M466" s="93">
        <v>55</v>
      </c>
      <c r="N466" s="93">
        <v>65</v>
      </c>
      <c r="O466" s="93">
        <v>75</v>
      </c>
      <c r="P466" s="93">
        <v>85</v>
      </c>
      <c r="Q466" s="93">
        <v>100</v>
      </c>
      <c r="R466" s="93">
        <v>100</v>
      </c>
      <c r="S466" s="93" t="s">
        <v>29</v>
      </c>
      <c r="T466" s="93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CA466" s="12"/>
      <c r="CB466" s="12"/>
    </row>
    <row r="467" spans="1:80" x14ac:dyDescent="0.2">
      <c r="A467" s="96">
        <v>1841</v>
      </c>
      <c r="B467" s="99">
        <v>20</v>
      </c>
      <c r="C467" s="99">
        <v>30</v>
      </c>
      <c r="D467" s="99">
        <v>40</v>
      </c>
      <c r="E467" s="96">
        <v>50</v>
      </c>
      <c r="F467" s="96">
        <v>60</v>
      </c>
      <c r="G467" s="96">
        <v>80</v>
      </c>
      <c r="H467" s="96">
        <v>100</v>
      </c>
      <c r="I467" s="96" t="s">
        <v>29</v>
      </c>
      <c r="J467" s="93"/>
      <c r="K467" s="93">
        <v>1940</v>
      </c>
      <c r="L467" s="103">
        <v>45</v>
      </c>
      <c r="M467" s="93">
        <v>55</v>
      </c>
      <c r="N467" s="93">
        <v>65</v>
      </c>
      <c r="O467" s="93">
        <v>75</v>
      </c>
      <c r="P467" s="93">
        <v>85</v>
      </c>
      <c r="Q467" s="93">
        <v>100</v>
      </c>
      <c r="R467" s="93">
        <v>100</v>
      </c>
      <c r="S467" s="93" t="s">
        <v>29</v>
      </c>
      <c r="T467" s="93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CA467" s="12"/>
      <c r="CB467" s="12"/>
    </row>
    <row r="468" spans="1:80" x14ac:dyDescent="0.2">
      <c r="A468" s="96">
        <v>1842</v>
      </c>
      <c r="B468" s="99">
        <v>20</v>
      </c>
      <c r="C468" s="99">
        <v>30</v>
      </c>
      <c r="D468" s="99">
        <v>40</v>
      </c>
      <c r="E468" s="96">
        <v>50</v>
      </c>
      <c r="F468" s="96">
        <v>60</v>
      </c>
      <c r="G468" s="96">
        <v>80</v>
      </c>
      <c r="H468" s="96">
        <v>100</v>
      </c>
      <c r="I468" s="96" t="s">
        <v>29</v>
      </c>
      <c r="J468" s="93"/>
      <c r="K468" s="93">
        <v>1941</v>
      </c>
      <c r="L468" s="103">
        <v>40</v>
      </c>
      <c r="M468" s="93">
        <v>50</v>
      </c>
      <c r="N468" s="93">
        <v>60</v>
      </c>
      <c r="O468" s="93">
        <v>70</v>
      </c>
      <c r="P468" s="93">
        <v>80</v>
      </c>
      <c r="Q468" s="93">
        <v>100</v>
      </c>
      <c r="R468" s="93">
        <v>100</v>
      </c>
      <c r="S468" s="93" t="s">
        <v>29</v>
      </c>
      <c r="T468" s="93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CA468" s="12"/>
      <c r="CB468" s="12"/>
    </row>
    <row r="469" spans="1:80" x14ac:dyDescent="0.2">
      <c r="A469" s="96">
        <v>1843</v>
      </c>
      <c r="B469" s="99">
        <v>20</v>
      </c>
      <c r="C469" s="99">
        <v>30</v>
      </c>
      <c r="D469" s="99">
        <v>40</v>
      </c>
      <c r="E469" s="96">
        <v>50</v>
      </c>
      <c r="F469" s="96">
        <v>60</v>
      </c>
      <c r="G469" s="96">
        <v>80</v>
      </c>
      <c r="H469" s="96">
        <v>100</v>
      </c>
      <c r="I469" s="96" t="s">
        <v>29</v>
      </c>
      <c r="J469" s="93"/>
      <c r="K469" s="93">
        <v>1942</v>
      </c>
      <c r="L469" s="103">
        <v>40</v>
      </c>
      <c r="M469" s="93">
        <v>50</v>
      </c>
      <c r="N469" s="93">
        <v>60</v>
      </c>
      <c r="O469" s="93">
        <v>70</v>
      </c>
      <c r="P469" s="93">
        <v>80</v>
      </c>
      <c r="Q469" s="93">
        <v>100</v>
      </c>
      <c r="R469" s="93">
        <v>100</v>
      </c>
      <c r="S469" s="93" t="s">
        <v>29</v>
      </c>
      <c r="T469" s="93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CA469" s="12"/>
      <c r="CB469" s="12"/>
    </row>
    <row r="470" spans="1:80" x14ac:dyDescent="0.2">
      <c r="A470" s="96">
        <v>1844</v>
      </c>
      <c r="B470" s="99">
        <v>20</v>
      </c>
      <c r="C470" s="99">
        <v>30</v>
      </c>
      <c r="D470" s="99">
        <v>40</v>
      </c>
      <c r="E470" s="96">
        <v>50</v>
      </c>
      <c r="F470" s="96">
        <v>60</v>
      </c>
      <c r="G470" s="96">
        <v>80</v>
      </c>
      <c r="H470" s="96">
        <v>100</v>
      </c>
      <c r="I470" s="96" t="s">
        <v>29</v>
      </c>
      <c r="J470" s="93"/>
      <c r="K470" s="93">
        <v>1943</v>
      </c>
      <c r="L470" s="103">
        <v>40</v>
      </c>
      <c r="M470" s="93">
        <v>50</v>
      </c>
      <c r="N470" s="93">
        <v>60</v>
      </c>
      <c r="O470" s="93">
        <v>70</v>
      </c>
      <c r="P470" s="93">
        <v>80</v>
      </c>
      <c r="Q470" s="93">
        <v>100</v>
      </c>
      <c r="R470" s="93">
        <v>100</v>
      </c>
      <c r="S470" s="93" t="s">
        <v>29</v>
      </c>
      <c r="T470" s="93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CA470" s="12"/>
      <c r="CB470" s="12"/>
    </row>
    <row r="471" spans="1:80" x14ac:dyDescent="0.2">
      <c r="A471" s="96">
        <v>1845</v>
      </c>
      <c r="B471" s="99">
        <v>20</v>
      </c>
      <c r="C471" s="99">
        <v>30</v>
      </c>
      <c r="D471" s="99">
        <v>40</v>
      </c>
      <c r="E471" s="96">
        <v>50</v>
      </c>
      <c r="F471" s="96">
        <v>60</v>
      </c>
      <c r="G471" s="96">
        <v>80</v>
      </c>
      <c r="H471" s="96">
        <v>100</v>
      </c>
      <c r="I471" s="96" t="s">
        <v>29</v>
      </c>
      <c r="J471" s="93"/>
      <c r="K471" s="93">
        <v>1944</v>
      </c>
      <c r="L471" s="103">
        <v>40</v>
      </c>
      <c r="M471" s="93">
        <v>50</v>
      </c>
      <c r="N471" s="93">
        <v>60</v>
      </c>
      <c r="O471" s="93">
        <v>70</v>
      </c>
      <c r="P471" s="93">
        <v>80</v>
      </c>
      <c r="Q471" s="93">
        <v>100</v>
      </c>
      <c r="R471" s="93">
        <v>100</v>
      </c>
      <c r="S471" s="93" t="s">
        <v>29</v>
      </c>
      <c r="T471" s="93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CA471" s="12"/>
      <c r="CB471" s="12"/>
    </row>
    <row r="472" spans="1:80" x14ac:dyDescent="0.2">
      <c r="A472" s="96">
        <v>1846</v>
      </c>
      <c r="B472" s="99">
        <v>20</v>
      </c>
      <c r="C472" s="99">
        <v>30</v>
      </c>
      <c r="D472" s="99">
        <v>40</v>
      </c>
      <c r="E472" s="96">
        <v>50</v>
      </c>
      <c r="F472" s="96">
        <v>60</v>
      </c>
      <c r="G472" s="96">
        <v>80</v>
      </c>
      <c r="H472" s="96">
        <v>100</v>
      </c>
      <c r="I472" s="96" t="s">
        <v>29</v>
      </c>
      <c r="J472" s="93"/>
      <c r="K472" s="93">
        <v>1945</v>
      </c>
      <c r="L472" s="103">
        <v>40</v>
      </c>
      <c r="M472" s="93">
        <v>50</v>
      </c>
      <c r="N472" s="93">
        <v>60</v>
      </c>
      <c r="O472" s="93">
        <v>70</v>
      </c>
      <c r="P472" s="93">
        <v>80</v>
      </c>
      <c r="Q472" s="93">
        <v>100</v>
      </c>
      <c r="R472" s="93">
        <v>100</v>
      </c>
      <c r="S472" s="93" t="s">
        <v>29</v>
      </c>
      <c r="T472" s="93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CA472" s="12"/>
      <c r="CB472" s="12"/>
    </row>
    <row r="473" spans="1:80" x14ac:dyDescent="0.2">
      <c r="A473" s="96">
        <v>1847</v>
      </c>
      <c r="B473" s="99">
        <v>20</v>
      </c>
      <c r="C473" s="99">
        <v>30</v>
      </c>
      <c r="D473" s="99">
        <v>40</v>
      </c>
      <c r="E473" s="96">
        <v>50</v>
      </c>
      <c r="F473" s="96">
        <v>60</v>
      </c>
      <c r="G473" s="96">
        <v>80</v>
      </c>
      <c r="H473" s="96">
        <v>100</v>
      </c>
      <c r="I473" s="96" t="s">
        <v>29</v>
      </c>
      <c r="J473" s="93"/>
      <c r="K473" s="93">
        <v>1946</v>
      </c>
      <c r="L473" s="103">
        <v>40</v>
      </c>
      <c r="M473" s="93">
        <v>50</v>
      </c>
      <c r="N473" s="93">
        <v>60</v>
      </c>
      <c r="O473" s="93">
        <v>70</v>
      </c>
      <c r="P473" s="93">
        <v>80</v>
      </c>
      <c r="Q473" s="93">
        <v>100</v>
      </c>
      <c r="R473" s="93">
        <v>100</v>
      </c>
      <c r="S473" s="93" t="s">
        <v>29</v>
      </c>
      <c r="T473" s="93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CA473" s="12"/>
      <c r="CB473" s="12"/>
    </row>
    <row r="474" spans="1:80" x14ac:dyDescent="0.2">
      <c r="A474" s="96">
        <v>1848</v>
      </c>
      <c r="B474" s="99">
        <v>20</v>
      </c>
      <c r="C474" s="99">
        <v>30</v>
      </c>
      <c r="D474" s="99">
        <v>40</v>
      </c>
      <c r="E474" s="96">
        <v>50</v>
      </c>
      <c r="F474" s="96">
        <v>60</v>
      </c>
      <c r="G474" s="96">
        <v>80</v>
      </c>
      <c r="H474" s="96">
        <v>100</v>
      </c>
      <c r="I474" s="96" t="s">
        <v>29</v>
      </c>
      <c r="J474" s="93"/>
      <c r="K474" s="93">
        <v>1947</v>
      </c>
      <c r="L474" s="103">
        <v>40</v>
      </c>
      <c r="M474" s="93">
        <v>50</v>
      </c>
      <c r="N474" s="93">
        <v>60</v>
      </c>
      <c r="O474" s="93">
        <v>70</v>
      </c>
      <c r="P474" s="93">
        <v>80</v>
      </c>
      <c r="Q474" s="93">
        <v>100</v>
      </c>
      <c r="R474" s="93">
        <v>100</v>
      </c>
      <c r="S474" s="93" t="s">
        <v>29</v>
      </c>
      <c r="T474" s="93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CA474" s="12"/>
      <c r="CB474" s="12"/>
    </row>
    <row r="475" spans="1:80" x14ac:dyDescent="0.2">
      <c r="A475" s="96">
        <v>1849</v>
      </c>
      <c r="B475" s="99">
        <v>20</v>
      </c>
      <c r="C475" s="99">
        <v>30</v>
      </c>
      <c r="D475" s="99">
        <v>40</v>
      </c>
      <c r="E475" s="96">
        <v>50</v>
      </c>
      <c r="F475" s="96">
        <v>60</v>
      </c>
      <c r="G475" s="96">
        <v>80</v>
      </c>
      <c r="H475" s="96">
        <v>100</v>
      </c>
      <c r="I475" s="96" t="s">
        <v>29</v>
      </c>
      <c r="J475" s="93"/>
      <c r="K475" s="93">
        <v>1948</v>
      </c>
      <c r="L475" s="103">
        <v>40</v>
      </c>
      <c r="M475" s="93">
        <v>50</v>
      </c>
      <c r="N475" s="93">
        <v>60</v>
      </c>
      <c r="O475" s="93">
        <v>70</v>
      </c>
      <c r="P475" s="93">
        <v>80</v>
      </c>
      <c r="Q475" s="93">
        <v>100</v>
      </c>
      <c r="R475" s="93">
        <v>100</v>
      </c>
      <c r="S475" s="93" t="s">
        <v>29</v>
      </c>
      <c r="T475" s="93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CA475" s="12"/>
      <c r="CB475" s="12"/>
    </row>
    <row r="476" spans="1:80" x14ac:dyDescent="0.2">
      <c r="A476" s="96">
        <v>1850</v>
      </c>
      <c r="B476" s="99">
        <v>20</v>
      </c>
      <c r="C476" s="99">
        <v>30</v>
      </c>
      <c r="D476" s="99">
        <v>40</v>
      </c>
      <c r="E476" s="96">
        <v>50</v>
      </c>
      <c r="F476" s="96">
        <v>60</v>
      </c>
      <c r="G476" s="96">
        <v>80</v>
      </c>
      <c r="H476" s="96">
        <v>100</v>
      </c>
      <c r="I476" s="96" t="s">
        <v>29</v>
      </c>
      <c r="J476" s="93"/>
      <c r="K476" s="93">
        <v>1949</v>
      </c>
      <c r="L476" s="103">
        <v>40</v>
      </c>
      <c r="M476" s="93">
        <v>50</v>
      </c>
      <c r="N476" s="93">
        <v>60</v>
      </c>
      <c r="O476" s="93">
        <v>70</v>
      </c>
      <c r="P476" s="93">
        <v>80</v>
      </c>
      <c r="Q476" s="93">
        <v>100</v>
      </c>
      <c r="R476" s="93">
        <v>100</v>
      </c>
      <c r="S476" s="93" t="s">
        <v>29</v>
      </c>
      <c r="T476" s="93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CA476" s="12"/>
      <c r="CB476" s="12"/>
    </row>
    <row r="477" spans="1:80" x14ac:dyDescent="0.2">
      <c r="A477" s="96">
        <v>1851</v>
      </c>
      <c r="B477" s="99">
        <v>20</v>
      </c>
      <c r="C477" s="99">
        <v>30</v>
      </c>
      <c r="D477" s="99">
        <v>40</v>
      </c>
      <c r="E477" s="96">
        <v>50</v>
      </c>
      <c r="F477" s="96">
        <v>55</v>
      </c>
      <c r="G477" s="96">
        <v>80</v>
      </c>
      <c r="H477" s="96">
        <v>95</v>
      </c>
      <c r="I477" s="96" t="s">
        <v>29</v>
      </c>
      <c r="J477" s="93"/>
      <c r="K477" s="93">
        <v>1950</v>
      </c>
      <c r="L477" s="103">
        <v>40</v>
      </c>
      <c r="M477" s="93">
        <v>50</v>
      </c>
      <c r="N477" s="93">
        <v>60</v>
      </c>
      <c r="O477" s="93">
        <v>70</v>
      </c>
      <c r="P477" s="93">
        <v>80</v>
      </c>
      <c r="Q477" s="93">
        <v>100</v>
      </c>
      <c r="R477" s="93">
        <v>100</v>
      </c>
      <c r="S477" s="93" t="s">
        <v>29</v>
      </c>
      <c r="T477" s="93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CA477" s="12"/>
      <c r="CB477" s="12"/>
    </row>
    <row r="478" spans="1:80" x14ac:dyDescent="0.2">
      <c r="A478" s="96">
        <v>1852</v>
      </c>
      <c r="B478" s="99">
        <v>20</v>
      </c>
      <c r="C478" s="99">
        <v>30</v>
      </c>
      <c r="D478" s="99">
        <v>40</v>
      </c>
      <c r="E478" s="96">
        <v>50</v>
      </c>
      <c r="F478" s="96">
        <v>55</v>
      </c>
      <c r="G478" s="96">
        <v>80</v>
      </c>
      <c r="H478" s="96">
        <v>95</v>
      </c>
      <c r="I478" s="96" t="s">
        <v>29</v>
      </c>
      <c r="J478" s="93"/>
      <c r="K478" s="93">
        <v>1951</v>
      </c>
      <c r="L478" s="103">
        <v>40</v>
      </c>
      <c r="M478" s="93">
        <v>50</v>
      </c>
      <c r="N478" s="93">
        <v>60</v>
      </c>
      <c r="O478" s="93">
        <v>70</v>
      </c>
      <c r="P478" s="93">
        <v>80</v>
      </c>
      <c r="Q478" s="93">
        <v>100</v>
      </c>
      <c r="R478" s="93">
        <v>100</v>
      </c>
      <c r="S478" s="93" t="s">
        <v>29</v>
      </c>
      <c r="T478" s="93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CA478" s="12"/>
      <c r="CB478" s="12"/>
    </row>
    <row r="479" spans="1:80" x14ac:dyDescent="0.2">
      <c r="A479" s="96">
        <v>1853</v>
      </c>
      <c r="B479" s="99">
        <v>20</v>
      </c>
      <c r="C479" s="99">
        <v>30</v>
      </c>
      <c r="D479" s="99">
        <v>40</v>
      </c>
      <c r="E479" s="96">
        <v>50</v>
      </c>
      <c r="F479" s="96">
        <v>55</v>
      </c>
      <c r="G479" s="96">
        <v>80</v>
      </c>
      <c r="H479" s="96">
        <v>95</v>
      </c>
      <c r="I479" s="96" t="s">
        <v>29</v>
      </c>
      <c r="J479" s="93"/>
      <c r="K479" s="93">
        <v>1952</v>
      </c>
      <c r="L479" s="103">
        <v>40</v>
      </c>
      <c r="M479" s="93">
        <v>50</v>
      </c>
      <c r="N479" s="93">
        <v>60</v>
      </c>
      <c r="O479" s="93">
        <v>70</v>
      </c>
      <c r="P479" s="93">
        <v>80</v>
      </c>
      <c r="Q479" s="93">
        <v>100</v>
      </c>
      <c r="R479" s="93">
        <v>100</v>
      </c>
      <c r="S479" s="93" t="s">
        <v>29</v>
      </c>
      <c r="T479" s="93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CA479" s="12"/>
      <c r="CB479" s="12"/>
    </row>
    <row r="480" spans="1:80" x14ac:dyDescent="0.2">
      <c r="A480" s="96">
        <v>1854</v>
      </c>
      <c r="B480" s="99">
        <v>20</v>
      </c>
      <c r="C480" s="99">
        <v>30</v>
      </c>
      <c r="D480" s="99">
        <v>40</v>
      </c>
      <c r="E480" s="96">
        <v>50</v>
      </c>
      <c r="F480" s="96">
        <v>55</v>
      </c>
      <c r="G480" s="96">
        <v>80</v>
      </c>
      <c r="H480" s="96">
        <v>95</v>
      </c>
      <c r="I480" s="96" t="s">
        <v>29</v>
      </c>
      <c r="J480" s="93"/>
      <c r="K480" s="93">
        <v>1953</v>
      </c>
      <c r="L480" s="103">
        <v>40</v>
      </c>
      <c r="M480" s="93">
        <v>50</v>
      </c>
      <c r="N480" s="93">
        <v>60</v>
      </c>
      <c r="O480" s="93">
        <v>70</v>
      </c>
      <c r="P480" s="93">
        <v>80</v>
      </c>
      <c r="Q480" s="93">
        <v>100</v>
      </c>
      <c r="R480" s="93">
        <v>100</v>
      </c>
      <c r="S480" s="93" t="s">
        <v>29</v>
      </c>
      <c r="T480" s="93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CA480" s="12"/>
      <c r="CB480" s="12"/>
    </row>
    <row r="481" spans="1:80" x14ac:dyDescent="0.2">
      <c r="A481" s="96">
        <v>1855</v>
      </c>
      <c r="B481" s="99">
        <v>20</v>
      </c>
      <c r="C481" s="99">
        <v>30</v>
      </c>
      <c r="D481" s="99">
        <v>40</v>
      </c>
      <c r="E481" s="96">
        <v>50</v>
      </c>
      <c r="F481" s="96">
        <v>55</v>
      </c>
      <c r="G481" s="96">
        <v>80</v>
      </c>
      <c r="H481" s="96">
        <v>95</v>
      </c>
      <c r="I481" s="96" t="s">
        <v>29</v>
      </c>
      <c r="J481" s="93"/>
      <c r="K481" s="93">
        <v>1954</v>
      </c>
      <c r="L481" s="103">
        <v>40</v>
      </c>
      <c r="M481" s="93">
        <v>50</v>
      </c>
      <c r="N481" s="93">
        <v>60</v>
      </c>
      <c r="O481" s="93">
        <v>70</v>
      </c>
      <c r="P481" s="93">
        <v>80</v>
      </c>
      <c r="Q481" s="93">
        <v>100</v>
      </c>
      <c r="R481" s="93">
        <v>100</v>
      </c>
      <c r="S481" s="93" t="s">
        <v>29</v>
      </c>
      <c r="T481" s="93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CA481" s="12"/>
      <c r="CB481" s="12"/>
    </row>
    <row r="482" spans="1:80" x14ac:dyDescent="0.2">
      <c r="A482" s="96">
        <v>1856</v>
      </c>
      <c r="B482" s="99">
        <v>20</v>
      </c>
      <c r="C482" s="99">
        <v>30</v>
      </c>
      <c r="D482" s="99">
        <v>40</v>
      </c>
      <c r="E482" s="96">
        <v>50</v>
      </c>
      <c r="F482" s="96">
        <v>55</v>
      </c>
      <c r="G482" s="96">
        <v>80</v>
      </c>
      <c r="H482" s="96">
        <v>95</v>
      </c>
      <c r="I482" s="96" t="s">
        <v>29</v>
      </c>
      <c r="J482" s="93"/>
      <c r="K482" s="93">
        <v>1955</v>
      </c>
      <c r="L482" s="103">
        <v>40</v>
      </c>
      <c r="M482" s="93">
        <v>50</v>
      </c>
      <c r="N482" s="93">
        <v>60</v>
      </c>
      <c r="O482" s="93">
        <v>70</v>
      </c>
      <c r="P482" s="93">
        <v>80</v>
      </c>
      <c r="Q482" s="93">
        <v>100</v>
      </c>
      <c r="R482" s="93">
        <v>100</v>
      </c>
      <c r="S482" s="93" t="s">
        <v>29</v>
      </c>
      <c r="T482" s="93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CA482" s="12"/>
      <c r="CB482" s="12"/>
    </row>
    <row r="483" spans="1:80" x14ac:dyDescent="0.2">
      <c r="A483" s="96">
        <v>1857</v>
      </c>
      <c r="B483" s="99">
        <v>20</v>
      </c>
      <c r="C483" s="99">
        <v>30</v>
      </c>
      <c r="D483" s="99">
        <v>40</v>
      </c>
      <c r="E483" s="96">
        <v>50</v>
      </c>
      <c r="F483" s="96">
        <v>55</v>
      </c>
      <c r="G483" s="96">
        <v>80</v>
      </c>
      <c r="H483" s="96">
        <v>95</v>
      </c>
      <c r="I483" s="96" t="s">
        <v>29</v>
      </c>
      <c r="J483" s="93"/>
      <c r="K483" s="93">
        <v>1956</v>
      </c>
      <c r="L483" s="103">
        <v>40</v>
      </c>
      <c r="M483" s="93">
        <v>50</v>
      </c>
      <c r="N483" s="93">
        <v>60</v>
      </c>
      <c r="O483" s="93">
        <v>70</v>
      </c>
      <c r="P483" s="93">
        <v>80</v>
      </c>
      <c r="Q483" s="93">
        <v>100</v>
      </c>
      <c r="R483" s="93">
        <v>100</v>
      </c>
      <c r="S483" s="93" t="s">
        <v>29</v>
      </c>
      <c r="T483" s="93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CA483" s="12"/>
      <c r="CB483" s="12"/>
    </row>
    <row r="484" spans="1:80" x14ac:dyDescent="0.2">
      <c r="A484" s="96">
        <v>1858</v>
      </c>
      <c r="B484" s="99">
        <v>20</v>
      </c>
      <c r="C484" s="99">
        <v>30</v>
      </c>
      <c r="D484" s="99">
        <v>40</v>
      </c>
      <c r="E484" s="96">
        <v>50</v>
      </c>
      <c r="F484" s="96">
        <v>55</v>
      </c>
      <c r="G484" s="96">
        <v>80</v>
      </c>
      <c r="H484" s="96">
        <v>95</v>
      </c>
      <c r="I484" s="96" t="s">
        <v>29</v>
      </c>
      <c r="J484" s="93"/>
      <c r="K484" s="93">
        <v>1957</v>
      </c>
      <c r="L484" s="103">
        <v>40</v>
      </c>
      <c r="M484" s="93">
        <v>50</v>
      </c>
      <c r="N484" s="93">
        <v>60</v>
      </c>
      <c r="O484" s="93">
        <v>70</v>
      </c>
      <c r="P484" s="93">
        <v>80</v>
      </c>
      <c r="Q484" s="93">
        <v>100</v>
      </c>
      <c r="R484" s="93">
        <v>100</v>
      </c>
      <c r="S484" s="93" t="s">
        <v>29</v>
      </c>
      <c r="T484" s="93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CA484" s="12"/>
      <c r="CB484" s="12"/>
    </row>
    <row r="485" spans="1:80" x14ac:dyDescent="0.2">
      <c r="A485" s="96">
        <v>1859</v>
      </c>
      <c r="B485" s="99">
        <v>20</v>
      </c>
      <c r="C485" s="99">
        <v>30</v>
      </c>
      <c r="D485" s="99">
        <v>40</v>
      </c>
      <c r="E485" s="96">
        <v>50</v>
      </c>
      <c r="F485" s="96">
        <v>55</v>
      </c>
      <c r="G485" s="96">
        <v>80</v>
      </c>
      <c r="H485" s="96">
        <v>95</v>
      </c>
      <c r="I485" s="96" t="s">
        <v>29</v>
      </c>
      <c r="J485" s="93"/>
      <c r="K485" s="93">
        <v>1958</v>
      </c>
      <c r="L485" s="103">
        <v>40</v>
      </c>
      <c r="M485" s="93">
        <v>50</v>
      </c>
      <c r="N485" s="93">
        <v>60</v>
      </c>
      <c r="O485" s="93">
        <v>70</v>
      </c>
      <c r="P485" s="93">
        <v>80</v>
      </c>
      <c r="Q485" s="93">
        <v>100</v>
      </c>
      <c r="R485" s="93">
        <v>100</v>
      </c>
      <c r="S485" s="93" t="s">
        <v>29</v>
      </c>
      <c r="T485" s="93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CA485" s="12"/>
      <c r="CB485" s="12"/>
    </row>
    <row r="486" spans="1:80" x14ac:dyDescent="0.2">
      <c r="A486" s="96">
        <v>1900</v>
      </c>
      <c r="B486" s="99">
        <v>20</v>
      </c>
      <c r="C486" s="99">
        <v>30</v>
      </c>
      <c r="D486" s="99">
        <v>40</v>
      </c>
      <c r="E486" s="96">
        <v>50</v>
      </c>
      <c r="F486" s="96">
        <v>55</v>
      </c>
      <c r="G486" s="96">
        <v>80</v>
      </c>
      <c r="H486" s="96">
        <v>95</v>
      </c>
      <c r="I486" s="96" t="s">
        <v>29</v>
      </c>
      <c r="J486" s="93"/>
      <c r="K486" s="93">
        <v>1959</v>
      </c>
      <c r="L486" s="103">
        <v>40</v>
      </c>
      <c r="M486" s="93">
        <v>50</v>
      </c>
      <c r="N486" s="93">
        <v>60</v>
      </c>
      <c r="O486" s="93">
        <v>70</v>
      </c>
      <c r="P486" s="93">
        <v>80</v>
      </c>
      <c r="Q486" s="93">
        <v>100</v>
      </c>
      <c r="R486" s="93">
        <v>100</v>
      </c>
      <c r="S486" s="93" t="s">
        <v>29</v>
      </c>
      <c r="T486" s="93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CA486" s="12"/>
      <c r="CB486" s="12"/>
    </row>
    <row r="487" spans="1:80" x14ac:dyDescent="0.2">
      <c r="A487" s="96">
        <v>1901</v>
      </c>
      <c r="B487" s="99">
        <v>15</v>
      </c>
      <c r="C487" s="99">
        <v>25</v>
      </c>
      <c r="D487" s="99">
        <v>35</v>
      </c>
      <c r="E487" s="99">
        <v>45</v>
      </c>
      <c r="F487" s="96">
        <v>55</v>
      </c>
      <c r="G487" s="96">
        <v>75</v>
      </c>
      <c r="H487" s="96">
        <v>95</v>
      </c>
      <c r="I487" s="96" t="s">
        <v>29</v>
      </c>
      <c r="J487" s="93"/>
      <c r="K487" s="93">
        <v>2000</v>
      </c>
      <c r="L487" s="103">
        <v>40</v>
      </c>
      <c r="M487" s="93">
        <v>50</v>
      </c>
      <c r="N487" s="93">
        <v>60</v>
      </c>
      <c r="O487" s="93">
        <v>70</v>
      </c>
      <c r="P487" s="93">
        <v>80</v>
      </c>
      <c r="Q487" s="93">
        <v>100</v>
      </c>
      <c r="R487" s="93">
        <v>100</v>
      </c>
      <c r="S487" s="93" t="s">
        <v>29</v>
      </c>
      <c r="T487" s="93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CA487" s="12"/>
      <c r="CB487" s="12"/>
    </row>
    <row r="488" spans="1:80" x14ac:dyDescent="0.2">
      <c r="A488" s="96">
        <v>1902</v>
      </c>
      <c r="B488" s="99">
        <v>15</v>
      </c>
      <c r="C488" s="99">
        <v>25</v>
      </c>
      <c r="D488" s="99">
        <v>35</v>
      </c>
      <c r="E488" s="99">
        <v>45</v>
      </c>
      <c r="F488" s="96">
        <v>55</v>
      </c>
      <c r="G488" s="96">
        <v>75</v>
      </c>
      <c r="H488" s="96">
        <v>95</v>
      </c>
      <c r="I488" s="96" t="s">
        <v>29</v>
      </c>
      <c r="J488" s="93"/>
      <c r="K488" s="93">
        <v>2001</v>
      </c>
      <c r="L488" s="103">
        <v>35</v>
      </c>
      <c r="M488" s="103">
        <v>45</v>
      </c>
      <c r="N488" s="93">
        <v>55</v>
      </c>
      <c r="O488" s="93">
        <v>65</v>
      </c>
      <c r="P488" s="93">
        <v>75</v>
      </c>
      <c r="Q488" s="93">
        <v>100</v>
      </c>
      <c r="R488" s="93">
        <v>100</v>
      </c>
      <c r="S488" s="93" t="s">
        <v>29</v>
      </c>
      <c r="T488" s="93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CA488" s="12"/>
      <c r="CB488" s="12"/>
    </row>
    <row r="489" spans="1:80" x14ac:dyDescent="0.2">
      <c r="A489" s="96">
        <v>1903</v>
      </c>
      <c r="B489" s="99">
        <v>15</v>
      </c>
      <c r="C489" s="99">
        <v>25</v>
      </c>
      <c r="D489" s="99">
        <v>35</v>
      </c>
      <c r="E489" s="99">
        <v>45</v>
      </c>
      <c r="F489" s="96">
        <v>55</v>
      </c>
      <c r="G489" s="96">
        <v>75</v>
      </c>
      <c r="H489" s="96">
        <v>95</v>
      </c>
      <c r="I489" s="96" t="s">
        <v>29</v>
      </c>
      <c r="J489" s="93"/>
      <c r="K489" s="93">
        <v>2002</v>
      </c>
      <c r="L489" s="103">
        <v>35</v>
      </c>
      <c r="M489" s="103">
        <v>45</v>
      </c>
      <c r="N489" s="93">
        <v>55</v>
      </c>
      <c r="O489" s="93">
        <v>65</v>
      </c>
      <c r="P489" s="93">
        <v>75</v>
      </c>
      <c r="Q489" s="93">
        <v>100</v>
      </c>
      <c r="R489" s="93">
        <v>100</v>
      </c>
      <c r="S489" s="93" t="s">
        <v>29</v>
      </c>
      <c r="T489" s="93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CA489" s="12"/>
      <c r="CB489" s="12"/>
    </row>
    <row r="490" spans="1:80" x14ac:dyDescent="0.2">
      <c r="A490" s="96">
        <v>1904</v>
      </c>
      <c r="B490" s="99">
        <v>15</v>
      </c>
      <c r="C490" s="99">
        <v>25</v>
      </c>
      <c r="D490" s="99">
        <v>35</v>
      </c>
      <c r="E490" s="99">
        <v>45</v>
      </c>
      <c r="F490" s="96">
        <v>55</v>
      </c>
      <c r="G490" s="96">
        <v>75</v>
      </c>
      <c r="H490" s="96">
        <v>95</v>
      </c>
      <c r="I490" s="96" t="s">
        <v>29</v>
      </c>
      <c r="J490" s="93"/>
      <c r="K490" s="93">
        <v>2003</v>
      </c>
      <c r="L490" s="103">
        <v>35</v>
      </c>
      <c r="M490" s="103">
        <v>45</v>
      </c>
      <c r="N490" s="93">
        <v>55</v>
      </c>
      <c r="O490" s="93">
        <v>65</v>
      </c>
      <c r="P490" s="93">
        <v>75</v>
      </c>
      <c r="Q490" s="93">
        <v>100</v>
      </c>
      <c r="R490" s="93">
        <v>100</v>
      </c>
      <c r="S490" s="93" t="s">
        <v>29</v>
      </c>
      <c r="T490" s="93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CA490" s="12"/>
      <c r="CB490" s="12"/>
    </row>
    <row r="491" spans="1:80" x14ac:dyDescent="0.2">
      <c r="A491" s="96">
        <v>1905</v>
      </c>
      <c r="B491" s="99">
        <v>15</v>
      </c>
      <c r="C491" s="99">
        <v>25</v>
      </c>
      <c r="D491" s="99">
        <v>35</v>
      </c>
      <c r="E491" s="99">
        <v>45</v>
      </c>
      <c r="F491" s="96">
        <v>55</v>
      </c>
      <c r="G491" s="96">
        <v>75</v>
      </c>
      <c r="H491" s="96">
        <v>95</v>
      </c>
      <c r="I491" s="96" t="s">
        <v>29</v>
      </c>
      <c r="J491" s="93"/>
      <c r="K491" s="93">
        <v>2004</v>
      </c>
      <c r="L491" s="103">
        <v>35</v>
      </c>
      <c r="M491" s="103">
        <v>45</v>
      </c>
      <c r="N491" s="93">
        <v>55</v>
      </c>
      <c r="O491" s="93">
        <v>65</v>
      </c>
      <c r="P491" s="93">
        <v>75</v>
      </c>
      <c r="Q491" s="93">
        <v>100</v>
      </c>
      <c r="R491" s="93">
        <v>100</v>
      </c>
      <c r="S491" s="93" t="s">
        <v>29</v>
      </c>
      <c r="T491" s="93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CA491" s="12"/>
      <c r="CB491" s="12"/>
    </row>
    <row r="492" spans="1:80" x14ac:dyDescent="0.2">
      <c r="A492" s="96">
        <v>1906</v>
      </c>
      <c r="B492" s="99">
        <v>15</v>
      </c>
      <c r="C492" s="99">
        <v>25</v>
      </c>
      <c r="D492" s="99">
        <v>35</v>
      </c>
      <c r="E492" s="99">
        <v>45</v>
      </c>
      <c r="F492" s="96">
        <v>55</v>
      </c>
      <c r="G492" s="96">
        <v>75</v>
      </c>
      <c r="H492" s="96">
        <v>95</v>
      </c>
      <c r="I492" s="96" t="s">
        <v>29</v>
      </c>
      <c r="J492" s="93"/>
      <c r="K492" s="93">
        <v>2005</v>
      </c>
      <c r="L492" s="103">
        <v>35</v>
      </c>
      <c r="M492" s="103">
        <v>45</v>
      </c>
      <c r="N492" s="93">
        <v>55</v>
      </c>
      <c r="O492" s="93">
        <v>65</v>
      </c>
      <c r="P492" s="93">
        <v>75</v>
      </c>
      <c r="Q492" s="93">
        <v>100</v>
      </c>
      <c r="R492" s="93">
        <v>100</v>
      </c>
      <c r="S492" s="93" t="s">
        <v>29</v>
      </c>
      <c r="T492" s="93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CA492" s="12"/>
      <c r="CB492" s="12"/>
    </row>
    <row r="493" spans="1:80" x14ac:dyDescent="0.2">
      <c r="A493" s="96">
        <v>1907</v>
      </c>
      <c r="B493" s="99">
        <v>15</v>
      </c>
      <c r="C493" s="99">
        <v>25</v>
      </c>
      <c r="D493" s="99">
        <v>35</v>
      </c>
      <c r="E493" s="99">
        <v>45</v>
      </c>
      <c r="F493" s="96">
        <v>55</v>
      </c>
      <c r="G493" s="96">
        <v>75</v>
      </c>
      <c r="H493" s="96">
        <v>95</v>
      </c>
      <c r="I493" s="96" t="s">
        <v>29</v>
      </c>
      <c r="J493" s="93"/>
      <c r="K493" s="93">
        <v>2006</v>
      </c>
      <c r="L493" s="103">
        <v>35</v>
      </c>
      <c r="M493" s="103">
        <v>45</v>
      </c>
      <c r="N493" s="93">
        <v>55</v>
      </c>
      <c r="O493" s="93">
        <v>65</v>
      </c>
      <c r="P493" s="93">
        <v>75</v>
      </c>
      <c r="Q493" s="93">
        <v>100</v>
      </c>
      <c r="R493" s="93">
        <v>100</v>
      </c>
      <c r="S493" s="93" t="s">
        <v>29</v>
      </c>
      <c r="T493" s="93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CA493" s="12"/>
      <c r="CB493" s="12"/>
    </row>
    <row r="494" spans="1:80" x14ac:dyDescent="0.2">
      <c r="A494" s="96">
        <v>1908</v>
      </c>
      <c r="B494" s="99">
        <v>15</v>
      </c>
      <c r="C494" s="99">
        <v>25</v>
      </c>
      <c r="D494" s="99">
        <v>35</v>
      </c>
      <c r="E494" s="99">
        <v>45</v>
      </c>
      <c r="F494" s="96">
        <v>55</v>
      </c>
      <c r="G494" s="96">
        <v>75</v>
      </c>
      <c r="H494" s="96">
        <v>95</v>
      </c>
      <c r="I494" s="96" t="s">
        <v>29</v>
      </c>
      <c r="J494" s="93"/>
      <c r="K494" s="93">
        <v>2007</v>
      </c>
      <c r="L494" s="103">
        <v>35</v>
      </c>
      <c r="M494" s="103">
        <v>45</v>
      </c>
      <c r="N494" s="93">
        <v>55</v>
      </c>
      <c r="O494" s="93">
        <v>65</v>
      </c>
      <c r="P494" s="93">
        <v>75</v>
      </c>
      <c r="Q494" s="93">
        <v>100</v>
      </c>
      <c r="R494" s="93">
        <v>100</v>
      </c>
      <c r="S494" s="93" t="s">
        <v>29</v>
      </c>
      <c r="T494" s="93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CA494" s="12"/>
      <c r="CB494" s="12"/>
    </row>
    <row r="495" spans="1:80" x14ac:dyDescent="0.2">
      <c r="A495" s="96">
        <v>1909</v>
      </c>
      <c r="B495" s="99">
        <v>15</v>
      </c>
      <c r="C495" s="99">
        <v>25</v>
      </c>
      <c r="D495" s="99">
        <v>35</v>
      </c>
      <c r="E495" s="99">
        <v>45</v>
      </c>
      <c r="F495" s="96">
        <v>55</v>
      </c>
      <c r="G495" s="96">
        <v>75</v>
      </c>
      <c r="H495" s="96">
        <v>95</v>
      </c>
      <c r="I495" s="96" t="s">
        <v>29</v>
      </c>
      <c r="J495" s="93"/>
      <c r="K495" s="93">
        <v>2008</v>
      </c>
      <c r="L495" s="103">
        <v>35</v>
      </c>
      <c r="M495" s="103">
        <v>45</v>
      </c>
      <c r="N495" s="93">
        <v>55</v>
      </c>
      <c r="O495" s="93">
        <v>65</v>
      </c>
      <c r="P495" s="93">
        <v>75</v>
      </c>
      <c r="Q495" s="93">
        <v>100</v>
      </c>
      <c r="R495" s="93">
        <v>100</v>
      </c>
      <c r="S495" s="93" t="s">
        <v>29</v>
      </c>
      <c r="T495" s="93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CA495" s="12"/>
      <c r="CB495" s="12"/>
    </row>
    <row r="496" spans="1:80" x14ac:dyDescent="0.2">
      <c r="A496" s="96">
        <v>1910</v>
      </c>
      <c r="B496" s="99">
        <v>15</v>
      </c>
      <c r="C496" s="99">
        <v>25</v>
      </c>
      <c r="D496" s="99">
        <v>35</v>
      </c>
      <c r="E496" s="99">
        <v>45</v>
      </c>
      <c r="F496" s="96">
        <v>55</v>
      </c>
      <c r="G496" s="96">
        <v>75</v>
      </c>
      <c r="H496" s="96">
        <v>95</v>
      </c>
      <c r="I496" s="96" t="s">
        <v>29</v>
      </c>
      <c r="J496" s="93"/>
      <c r="K496" s="93">
        <v>2009</v>
      </c>
      <c r="L496" s="103">
        <v>35</v>
      </c>
      <c r="M496" s="103">
        <v>45</v>
      </c>
      <c r="N496" s="93">
        <v>55</v>
      </c>
      <c r="O496" s="93">
        <v>65</v>
      </c>
      <c r="P496" s="93">
        <v>75</v>
      </c>
      <c r="Q496" s="93">
        <v>100</v>
      </c>
      <c r="R496" s="93">
        <v>100</v>
      </c>
      <c r="S496" s="93" t="s">
        <v>29</v>
      </c>
      <c r="T496" s="93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CA496" s="12"/>
      <c r="CB496" s="12"/>
    </row>
    <row r="497" spans="1:80" x14ac:dyDescent="0.2">
      <c r="A497" s="96">
        <v>1911</v>
      </c>
      <c r="B497" s="99">
        <v>15</v>
      </c>
      <c r="C497" s="99">
        <v>25</v>
      </c>
      <c r="D497" s="99">
        <v>35</v>
      </c>
      <c r="E497" s="99">
        <v>45</v>
      </c>
      <c r="F497" s="96">
        <v>50</v>
      </c>
      <c r="G497" s="96">
        <v>75</v>
      </c>
      <c r="H497" s="96">
        <v>90</v>
      </c>
      <c r="I497" s="96" t="s">
        <v>29</v>
      </c>
      <c r="J497" s="93"/>
      <c r="K497" s="93">
        <v>2010</v>
      </c>
      <c r="L497" s="103">
        <v>35</v>
      </c>
      <c r="M497" s="103">
        <v>45</v>
      </c>
      <c r="N497" s="93">
        <v>55</v>
      </c>
      <c r="O497" s="93">
        <v>65</v>
      </c>
      <c r="P497" s="93">
        <v>75</v>
      </c>
      <c r="Q497" s="93">
        <v>100</v>
      </c>
      <c r="R497" s="93">
        <v>100</v>
      </c>
      <c r="S497" s="93" t="s">
        <v>29</v>
      </c>
      <c r="T497" s="93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CA497" s="12"/>
      <c r="CB497" s="12"/>
    </row>
    <row r="498" spans="1:80" x14ac:dyDescent="0.2">
      <c r="A498" s="96">
        <v>1912</v>
      </c>
      <c r="B498" s="99">
        <v>15</v>
      </c>
      <c r="C498" s="99">
        <v>25</v>
      </c>
      <c r="D498" s="99">
        <v>35</v>
      </c>
      <c r="E498" s="99">
        <v>45</v>
      </c>
      <c r="F498" s="96">
        <v>50</v>
      </c>
      <c r="G498" s="96">
        <v>75</v>
      </c>
      <c r="H498" s="96">
        <v>90</v>
      </c>
      <c r="I498" s="96" t="s">
        <v>29</v>
      </c>
      <c r="J498" s="93"/>
      <c r="K498" s="93">
        <v>2011</v>
      </c>
      <c r="L498" s="103">
        <v>35</v>
      </c>
      <c r="M498" s="103">
        <v>45</v>
      </c>
      <c r="N498" s="93">
        <v>55</v>
      </c>
      <c r="O498" s="93">
        <v>65</v>
      </c>
      <c r="P498" s="93">
        <v>75</v>
      </c>
      <c r="Q498" s="93">
        <v>95</v>
      </c>
      <c r="R498" s="93">
        <v>100</v>
      </c>
      <c r="S498" s="93" t="s">
        <v>29</v>
      </c>
      <c r="T498" s="93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CA498" s="12"/>
      <c r="CB498" s="12"/>
    </row>
    <row r="499" spans="1:80" x14ac:dyDescent="0.2">
      <c r="A499" s="96">
        <v>1913</v>
      </c>
      <c r="B499" s="99">
        <v>15</v>
      </c>
      <c r="C499" s="99">
        <v>25</v>
      </c>
      <c r="D499" s="99">
        <v>35</v>
      </c>
      <c r="E499" s="99">
        <v>45</v>
      </c>
      <c r="F499" s="96">
        <v>50</v>
      </c>
      <c r="G499" s="96">
        <v>75</v>
      </c>
      <c r="H499" s="96">
        <v>90</v>
      </c>
      <c r="I499" s="96" t="s">
        <v>29</v>
      </c>
      <c r="J499" s="93"/>
      <c r="K499" s="93">
        <v>2012</v>
      </c>
      <c r="L499" s="103">
        <v>35</v>
      </c>
      <c r="M499" s="103">
        <v>45</v>
      </c>
      <c r="N499" s="93">
        <v>55</v>
      </c>
      <c r="O499" s="93">
        <v>65</v>
      </c>
      <c r="P499" s="93">
        <v>75</v>
      </c>
      <c r="Q499" s="93">
        <v>95</v>
      </c>
      <c r="R499" s="93">
        <v>100</v>
      </c>
      <c r="S499" s="93" t="s">
        <v>29</v>
      </c>
      <c r="T499" s="93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CA499" s="12"/>
      <c r="CB499" s="12"/>
    </row>
    <row r="500" spans="1:80" x14ac:dyDescent="0.2">
      <c r="A500" s="96">
        <v>1914</v>
      </c>
      <c r="B500" s="99">
        <v>15</v>
      </c>
      <c r="C500" s="99">
        <v>25</v>
      </c>
      <c r="D500" s="99">
        <v>35</v>
      </c>
      <c r="E500" s="99">
        <v>45</v>
      </c>
      <c r="F500" s="96">
        <v>50</v>
      </c>
      <c r="G500" s="96">
        <v>75</v>
      </c>
      <c r="H500" s="96">
        <v>90</v>
      </c>
      <c r="I500" s="96" t="s">
        <v>29</v>
      </c>
      <c r="J500" s="93"/>
      <c r="K500" s="93">
        <v>2013</v>
      </c>
      <c r="L500" s="103">
        <v>35</v>
      </c>
      <c r="M500" s="103">
        <v>45</v>
      </c>
      <c r="N500" s="93">
        <v>55</v>
      </c>
      <c r="O500" s="93">
        <v>65</v>
      </c>
      <c r="P500" s="93">
        <v>75</v>
      </c>
      <c r="Q500" s="93">
        <v>95</v>
      </c>
      <c r="R500" s="93">
        <v>100</v>
      </c>
      <c r="S500" s="93" t="s">
        <v>29</v>
      </c>
      <c r="T500" s="93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CA500" s="12"/>
      <c r="CB500" s="12"/>
    </row>
    <row r="501" spans="1:80" x14ac:dyDescent="0.2">
      <c r="A501" s="96">
        <v>1915</v>
      </c>
      <c r="B501" s="99">
        <v>15</v>
      </c>
      <c r="C501" s="99">
        <v>25</v>
      </c>
      <c r="D501" s="99">
        <v>35</v>
      </c>
      <c r="E501" s="99">
        <v>45</v>
      </c>
      <c r="F501" s="96">
        <v>50</v>
      </c>
      <c r="G501" s="96">
        <v>75</v>
      </c>
      <c r="H501" s="96">
        <v>90</v>
      </c>
      <c r="I501" s="96" t="s">
        <v>29</v>
      </c>
      <c r="J501" s="93"/>
      <c r="K501" s="93">
        <v>2014</v>
      </c>
      <c r="L501" s="103">
        <v>35</v>
      </c>
      <c r="M501" s="103">
        <v>45</v>
      </c>
      <c r="N501" s="93">
        <v>55</v>
      </c>
      <c r="O501" s="93">
        <v>65</v>
      </c>
      <c r="P501" s="93">
        <v>75</v>
      </c>
      <c r="Q501" s="93">
        <v>95</v>
      </c>
      <c r="R501" s="93">
        <v>100</v>
      </c>
      <c r="S501" s="93" t="s">
        <v>29</v>
      </c>
      <c r="T501" s="93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CA501" s="12"/>
      <c r="CB501" s="12"/>
    </row>
    <row r="502" spans="1:80" x14ac:dyDescent="0.2">
      <c r="A502" s="96">
        <v>1916</v>
      </c>
      <c r="B502" s="99">
        <v>15</v>
      </c>
      <c r="C502" s="99">
        <v>25</v>
      </c>
      <c r="D502" s="99">
        <v>35</v>
      </c>
      <c r="E502" s="99">
        <v>45</v>
      </c>
      <c r="F502" s="96">
        <v>50</v>
      </c>
      <c r="G502" s="96">
        <v>75</v>
      </c>
      <c r="H502" s="96">
        <v>90</v>
      </c>
      <c r="I502" s="96" t="s">
        <v>29</v>
      </c>
      <c r="J502" s="93"/>
      <c r="K502" s="93">
        <v>2015</v>
      </c>
      <c r="L502" s="103">
        <v>35</v>
      </c>
      <c r="M502" s="103">
        <v>45</v>
      </c>
      <c r="N502" s="93">
        <v>55</v>
      </c>
      <c r="O502" s="93">
        <v>65</v>
      </c>
      <c r="P502" s="93">
        <v>75</v>
      </c>
      <c r="Q502" s="93">
        <v>95</v>
      </c>
      <c r="R502" s="93">
        <v>100</v>
      </c>
      <c r="S502" s="93" t="s">
        <v>29</v>
      </c>
      <c r="T502" s="93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CA502" s="12"/>
      <c r="CB502" s="12"/>
    </row>
    <row r="503" spans="1:80" x14ac:dyDescent="0.2">
      <c r="A503" s="96">
        <v>1917</v>
      </c>
      <c r="B503" s="99">
        <v>15</v>
      </c>
      <c r="C503" s="99">
        <v>25</v>
      </c>
      <c r="D503" s="99">
        <v>35</v>
      </c>
      <c r="E503" s="99">
        <v>45</v>
      </c>
      <c r="F503" s="96">
        <v>50</v>
      </c>
      <c r="G503" s="96">
        <v>75</v>
      </c>
      <c r="H503" s="96">
        <v>90</v>
      </c>
      <c r="I503" s="96" t="s">
        <v>29</v>
      </c>
      <c r="J503" s="93"/>
      <c r="K503" s="93">
        <v>2016</v>
      </c>
      <c r="L503" s="103">
        <v>35</v>
      </c>
      <c r="M503" s="103">
        <v>45</v>
      </c>
      <c r="N503" s="93">
        <v>55</v>
      </c>
      <c r="O503" s="93">
        <v>65</v>
      </c>
      <c r="P503" s="93">
        <v>75</v>
      </c>
      <c r="Q503" s="93">
        <v>95</v>
      </c>
      <c r="R503" s="93">
        <v>100</v>
      </c>
      <c r="S503" s="93" t="s">
        <v>29</v>
      </c>
      <c r="T503" s="93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CA503" s="12"/>
      <c r="CB503" s="12"/>
    </row>
    <row r="504" spans="1:80" x14ac:dyDescent="0.2">
      <c r="A504" s="96">
        <v>1918</v>
      </c>
      <c r="B504" s="99">
        <v>15</v>
      </c>
      <c r="C504" s="99">
        <v>25</v>
      </c>
      <c r="D504" s="99">
        <v>35</v>
      </c>
      <c r="E504" s="99">
        <v>45</v>
      </c>
      <c r="F504" s="96">
        <v>50</v>
      </c>
      <c r="G504" s="96">
        <v>75</v>
      </c>
      <c r="H504" s="96">
        <v>90</v>
      </c>
      <c r="I504" s="96" t="s">
        <v>29</v>
      </c>
      <c r="J504" s="93"/>
      <c r="K504" s="93">
        <v>2017</v>
      </c>
      <c r="L504" s="103">
        <v>35</v>
      </c>
      <c r="M504" s="103">
        <v>45</v>
      </c>
      <c r="N504" s="93">
        <v>55</v>
      </c>
      <c r="O504" s="93">
        <v>65</v>
      </c>
      <c r="P504" s="93">
        <v>75</v>
      </c>
      <c r="Q504" s="93">
        <v>95</v>
      </c>
      <c r="R504" s="93">
        <v>100</v>
      </c>
      <c r="S504" s="93" t="s">
        <v>29</v>
      </c>
      <c r="T504" s="93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CA504" s="12"/>
      <c r="CB504" s="12"/>
    </row>
    <row r="505" spans="1:80" x14ac:dyDescent="0.2">
      <c r="A505" s="96">
        <v>1919</v>
      </c>
      <c r="B505" s="99">
        <v>15</v>
      </c>
      <c r="C505" s="99">
        <v>25</v>
      </c>
      <c r="D505" s="99">
        <v>35</v>
      </c>
      <c r="E505" s="99">
        <v>45</v>
      </c>
      <c r="F505" s="96">
        <v>50</v>
      </c>
      <c r="G505" s="96">
        <v>75</v>
      </c>
      <c r="H505" s="96">
        <v>90</v>
      </c>
      <c r="I505" s="96" t="s">
        <v>29</v>
      </c>
      <c r="J505" s="93"/>
      <c r="K505" s="93">
        <v>2018</v>
      </c>
      <c r="L505" s="103">
        <v>35</v>
      </c>
      <c r="M505" s="103">
        <v>45</v>
      </c>
      <c r="N505" s="93">
        <v>55</v>
      </c>
      <c r="O505" s="93">
        <v>65</v>
      </c>
      <c r="P505" s="93">
        <v>75</v>
      </c>
      <c r="Q505" s="93">
        <v>95</v>
      </c>
      <c r="R505" s="93">
        <v>100</v>
      </c>
      <c r="S505" s="93" t="s">
        <v>29</v>
      </c>
      <c r="T505" s="93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CA505" s="12"/>
      <c r="CB505" s="12"/>
    </row>
    <row r="506" spans="1:80" x14ac:dyDescent="0.2">
      <c r="A506" s="96">
        <v>1920</v>
      </c>
      <c r="B506" s="99">
        <v>15</v>
      </c>
      <c r="C506" s="99">
        <v>25</v>
      </c>
      <c r="D506" s="99">
        <v>35</v>
      </c>
      <c r="E506" s="99">
        <v>45</v>
      </c>
      <c r="F506" s="96">
        <v>50</v>
      </c>
      <c r="G506" s="96">
        <v>75</v>
      </c>
      <c r="H506" s="96">
        <v>90</v>
      </c>
      <c r="I506" s="96" t="s">
        <v>29</v>
      </c>
      <c r="J506" s="93"/>
      <c r="K506" s="93">
        <v>2019</v>
      </c>
      <c r="L506" s="103">
        <v>35</v>
      </c>
      <c r="M506" s="103">
        <v>45</v>
      </c>
      <c r="N506" s="93">
        <v>55</v>
      </c>
      <c r="O506" s="93">
        <v>65</v>
      </c>
      <c r="P506" s="93">
        <v>75</v>
      </c>
      <c r="Q506" s="93">
        <v>95</v>
      </c>
      <c r="R506" s="93">
        <v>100</v>
      </c>
      <c r="S506" s="93" t="s">
        <v>29</v>
      </c>
      <c r="T506" s="93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CA506" s="12"/>
      <c r="CB506" s="12"/>
    </row>
    <row r="507" spans="1:80" x14ac:dyDescent="0.2">
      <c r="A507" s="96">
        <v>1921</v>
      </c>
      <c r="B507" s="99">
        <v>10</v>
      </c>
      <c r="C507" s="99">
        <v>20</v>
      </c>
      <c r="D507" s="99">
        <v>30</v>
      </c>
      <c r="E507" s="99">
        <v>40</v>
      </c>
      <c r="F507" s="96">
        <v>50</v>
      </c>
      <c r="G507" s="96">
        <v>70</v>
      </c>
      <c r="H507" s="96">
        <v>90</v>
      </c>
      <c r="I507" s="96" t="s">
        <v>29</v>
      </c>
      <c r="J507" s="93"/>
      <c r="K507" s="93">
        <v>2020</v>
      </c>
      <c r="L507" s="103">
        <v>35</v>
      </c>
      <c r="M507" s="103">
        <v>45</v>
      </c>
      <c r="N507" s="93">
        <v>55</v>
      </c>
      <c r="O507" s="93">
        <v>65</v>
      </c>
      <c r="P507" s="93">
        <v>75</v>
      </c>
      <c r="Q507" s="93">
        <v>95</v>
      </c>
      <c r="R507" s="93">
        <v>100</v>
      </c>
      <c r="S507" s="93" t="s">
        <v>29</v>
      </c>
      <c r="T507" s="93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CA507" s="12"/>
      <c r="CB507" s="12"/>
    </row>
    <row r="508" spans="1:80" x14ac:dyDescent="0.2">
      <c r="A508" s="96">
        <v>1922</v>
      </c>
      <c r="B508" s="99">
        <v>10</v>
      </c>
      <c r="C508" s="99">
        <v>20</v>
      </c>
      <c r="D508" s="99">
        <v>30</v>
      </c>
      <c r="E508" s="99">
        <v>40</v>
      </c>
      <c r="F508" s="96">
        <v>50</v>
      </c>
      <c r="G508" s="96">
        <v>70</v>
      </c>
      <c r="H508" s="96">
        <v>90</v>
      </c>
      <c r="I508" s="96" t="s">
        <v>29</v>
      </c>
      <c r="J508" s="93"/>
      <c r="K508" s="93">
        <v>2021</v>
      </c>
      <c r="L508" s="103">
        <v>30</v>
      </c>
      <c r="M508" s="103">
        <v>40</v>
      </c>
      <c r="N508" s="93">
        <v>50</v>
      </c>
      <c r="O508" s="93">
        <v>60</v>
      </c>
      <c r="P508" s="93">
        <v>70</v>
      </c>
      <c r="Q508" s="93">
        <v>95</v>
      </c>
      <c r="R508" s="93">
        <v>100</v>
      </c>
      <c r="S508" s="93" t="s">
        <v>29</v>
      </c>
      <c r="T508" s="93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CA508" s="12"/>
      <c r="CB508" s="12"/>
    </row>
    <row r="509" spans="1:80" x14ac:dyDescent="0.2">
      <c r="A509" s="96">
        <v>1923</v>
      </c>
      <c r="B509" s="99">
        <v>10</v>
      </c>
      <c r="C509" s="99">
        <v>20</v>
      </c>
      <c r="D509" s="99">
        <v>30</v>
      </c>
      <c r="E509" s="99">
        <v>40</v>
      </c>
      <c r="F509" s="96">
        <v>50</v>
      </c>
      <c r="G509" s="96">
        <v>70</v>
      </c>
      <c r="H509" s="96">
        <v>90</v>
      </c>
      <c r="I509" s="96" t="s">
        <v>29</v>
      </c>
      <c r="J509" s="93"/>
      <c r="K509" s="93">
        <v>2022</v>
      </c>
      <c r="L509" s="103">
        <v>30</v>
      </c>
      <c r="M509" s="103">
        <v>40</v>
      </c>
      <c r="N509" s="93">
        <v>50</v>
      </c>
      <c r="O509" s="93">
        <v>60</v>
      </c>
      <c r="P509" s="93">
        <v>70</v>
      </c>
      <c r="Q509" s="93">
        <v>95</v>
      </c>
      <c r="R509" s="93">
        <v>100</v>
      </c>
      <c r="S509" s="93" t="s">
        <v>29</v>
      </c>
      <c r="T509" s="93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CA509" s="12"/>
      <c r="CB509" s="12"/>
    </row>
    <row r="510" spans="1:80" x14ac:dyDescent="0.2">
      <c r="A510" s="96">
        <v>1924</v>
      </c>
      <c r="B510" s="99">
        <v>10</v>
      </c>
      <c r="C510" s="99">
        <v>20</v>
      </c>
      <c r="D510" s="99">
        <v>30</v>
      </c>
      <c r="E510" s="99">
        <v>40</v>
      </c>
      <c r="F510" s="96">
        <v>50</v>
      </c>
      <c r="G510" s="96">
        <v>70</v>
      </c>
      <c r="H510" s="96">
        <v>90</v>
      </c>
      <c r="I510" s="96" t="s">
        <v>29</v>
      </c>
      <c r="J510" s="93"/>
      <c r="K510" s="93">
        <v>2023</v>
      </c>
      <c r="L510" s="103">
        <v>30</v>
      </c>
      <c r="M510" s="103">
        <v>40</v>
      </c>
      <c r="N510" s="93">
        <v>50</v>
      </c>
      <c r="O510" s="93">
        <v>60</v>
      </c>
      <c r="P510" s="93">
        <v>70</v>
      </c>
      <c r="Q510" s="93">
        <v>95</v>
      </c>
      <c r="R510" s="93">
        <v>100</v>
      </c>
      <c r="S510" s="93" t="s">
        <v>29</v>
      </c>
      <c r="T510" s="93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CA510" s="12"/>
      <c r="CB510" s="12"/>
    </row>
    <row r="511" spans="1:80" x14ac:dyDescent="0.2">
      <c r="A511" s="96">
        <v>1925</v>
      </c>
      <c r="B511" s="99">
        <v>10</v>
      </c>
      <c r="C511" s="99">
        <v>20</v>
      </c>
      <c r="D511" s="99">
        <v>30</v>
      </c>
      <c r="E511" s="99">
        <v>40</v>
      </c>
      <c r="F511" s="96">
        <v>50</v>
      </c>
      <c r="G511" s="96">
        <v>70</v>
      </c>
      <c r="H511" s="96">
        <v>90</v>
      </c>
      <c r="I511" s="96" t="s">
        <v>29</v>
      </c>
      <c r="J511" s="93"/>
      <c r="K511" s="93">
        <v>2024</v>
      </c>
      <c r="L511" s="103">
        <v>30</v>
      </c>
      <c r="M511" s="103">
        <v>40</v>
      </c>
      <c r="N511" s="93">
        <v>50</v>
      </c>
      <c r="O511" s="93">
        <v>60</v>
      </c>
      <c r="P511" s="93">
        <v>70</v>
      </c>
      <c r="Q511" s="93">
        <v>95</v>
      </c>
      <c r="R511" s="93">
        <v>100</v>
      </c>
      <c r="S511" s="93" t="s">
        <v>29</v>
      </c>
      <c r="T511" s="93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CA511" s="12"/>
      <c r="CB511" s="12"/>
    </row>
    <row r="512" spans="1:80" x14ac:dyDescent="0.2">
      <c r="A512" s="96">
        <v>1926</v>
      </c>
      <c r="B512" s="99">
        <v>10</v>
      </c>
      <c r="C512" s="99">
        <v>20</v>
      </c>
      <c r="D512" s="99">
        <v>30</v>
      </c>
      <c r="E512" s="99">
        <v>40</v>
      </c>
      <c r="F512" s="96">
        <v>50</v>
      </c>
      <c r="G512" s="96">
        <v>70</v>
      </c>
      <c r="H512" s="96">
        <v>90</v>
      </c>
      <c r="I512" s="96" t="s">
        <v>29</v>
      </c>
      <c r="J512" s="93"/>
      <c r="K512" s="93">
        <v>2025</v>
      </c>
      <c r="L512" s="103">
        <v>30</v>
      </c>
      <c r="M512" s="103">
        <v>40</v>
      </c>
      <c r="N512" s="93">
        <v>50</v>
      </c>
      <c r="O512" s="93">
        <v>60</v>
      </c>
      <c r="P512" s="93">
        <v>70</v>
      </c>
      <c r="Q512" s="93">
        <v>95</v>
      </c>
      <c r="R512" s="93">
        <v>100</v>
      </c>
      <c r="S512" s="93" t="s">
        <v>29</v>
      </c>
      <c r="T512" s="93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CA512" s="12"/>
      <c r="CB512" s="12"/>
    </row>
    <row r="513" spans="1:80" x14ac:dyDescent="0.2">
      <c r="A513" s="96">
        <v>1927</v>
      </c>
      <c r="B513" s="99">
        <v>10</v>
      </c>
      <c r="C513" s="99">
        <v>20</v>
      </c>
      <c r="D513" s="99">
        <v>30</v>
      </c>
      <c r="E513" s="99">
        <v>40</v>
      </c>
      <c r="F513" s="96">
        <v>50</v>
      </c>
      <c r="G513" s="96">
        <v>70</v>
      </c>
      <c r="H513" s="96">
        <v>90</v>
      </c>
      <c r="I513" s="96" t="s">
        <v>29</v>
      </c>
      <c r="J513" s="93"/>
      <c r="K513" s="93">
        <v>2026</v>
      </c>
      <c r="L513" s="103">
        <v>30</v>
      </c>
      <c r="M513" s="103">
        <v>40</v>
      </c>
      <c r="N513" s="93">
        <v>50</v>
      </c>
      <c r="O513" s="93">
        <v>60</v>
      </c>
      <c r="P513" s="93">
        <v>70</v>
      </c>
      <c r="Q513" s="93">
        <v>95</v>
      </c>
      <c r="R513" s="93">
        <v>100</v>
      </c>
      <c r="S513" s="93" t="s">
        <v>29</v>
      </c>
      <c r="T513" s="93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CA513" s="12"/>
      <c r="CB513" s="12"/>
    </row>
    <row r="514" spans="1:80" x14ac:dyDescent="0.2">
      <c r="A514" s="96">
        <v>1928</v>
      </c>
      <c r="B514" s="99">
        <v>10</v>
      </c>
      <c r="C514" s="99">
        <v>20</v>
      </c>
      <c r="D514" s="99">
        <v>30</v>
      </c>
      <c r="E514" s="99">
        <v>40</v>
      </c>
      <c r="F514" s="96">
        <v>50</v>
      </c>
      <c r="G514" s="96">
        <v>70</v>
      </c>
      <c r="H514" s="96">
        <v>90</v>
      </c>
      <c r="I514" s="96" t="s">
        <v>29</v>
      </c>
      <c r="J514" s="93"/>
      <c r="K514" s="93">
        <v>2027</v>
      </c>
      <c r="L514" s="103">
        <v>30</v>
      </c>
      <c r="M514" s="103">
        <v>40</v>
      </c>
      <c r="N514" s="93">
        <v>50</v>
      </c>
      <c r="O514" s="93">
        <v>60</v>
      </c>
      <c r="P514" s="93">
        <v>70</v>
      </c>
      <c r="Q514" s="93">
        <v>95</v>
      </c>
      <c r="R514" s="93">
        <v>100</v>
      </c>
      <c r="S514" s="93" t="s">
        <v>29</v>
      </c>
      <c r="T514" s="93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CA514" s="12"/>
      <c r="CB514" s="12"/>
    </row>
    <row r="515" spans="1:80" x14ac:dyDescent="0.2">
      <c r="A515" s="96">
        <v>1929</v>
      </c>
      <c r="B515" s="99">
        <v>10</v>
      </c>
      <c r="C515" s="99">
        <v>20</v>
      </c>
      <c r="D515" s="99">
        <v>30</v>
      </c>
      <c r="E515" s="99">
        <v>40</v>
      </c>
      <c r="F515" s="96">
        <v>50</v>
      </c>
      <c r="G515" s="96">
        <v>70</v>
      </c>
      <c r="H515" s="96">
        <v>90</v>
      </c>
      <c r="I515" s="96" t="s">
        <v>29</v>
      </c>
      <c r="J515" s="93"/>
      <c r="K515" s="93">
        <v>2028</v>
      </c>
      <c r="L515" s="103">
        <v>30</v>
      </c>
      <c r="M515" s="103">
        <v>40</v>
      </c>
      <c r="N515" s="93">
        <v>50</v>
      </c>
      <c r="O515" s="93">
        <v>60</v>
      </c>
      <c r="P515" s="93">
        <v>70</v>
      </c>
      <c r="Q515" s="93">
        <v>95</v>
      </c>
      <c r="R515" s="93">
        <v>100</v>
      </c>
      <c r="S515" s="93" t="s">
        <v>29</v>
      </c>
      <c r="T515" s="93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CA515" s="12"/>
      <c r="CB515" s="12"/>
    </row>
    <row r="516" spans="1:80" x14ac:dyDescent="0.2">
      <c r="A516" s="96">
        <v>1930</v>
      </c>
      <c r="B516" s="99">
        <v>10</v>
      </c>
      <c r="C516" s="99">
        <v>20</v>
      </c>
      <c r="D516" s="99">
        <v>30</v>
      </c>
      <c r="E516" s="99">
        <v>40</v>
      </c>
      <c r="F516" s="96">
        <v>50</v>
      </c>
      <c r="G516" s="96">
        <v>70</v>
      </c>
      <c r="H516" s="96">
        <v>90</v>
      </c>
      <c r="I516" s="96" t="s">
        <v>29</v>
      </c>
      <c r="J516" s="93"/>
      <c r="K516" s="93">
        <v>2029</v>
      </c>
      <c r="L516" s="103">
        <v>30</v>
      </c>
      <c r="M516" s="103">
        <v>40</v>
      </c>
      <c r="N516" s="93">
        <v>50</v>
      </c>
      <c r="O516" s="93">
        <v>60</v>
      </c>
      <c r="P516" s="93">
        <v>70</v>
      </c>
      <c r="Q516" s="93">
        <v>95</v>
      </c>
      <c r="R516" s="93">
        <v>100</v>
      </c>
      <c r="S516" s="93" t="s">
        <v>29</v>
      </c>
      <c r="T516" s="93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CA516" s="12"/>
      <c r="CB516" s="12"/>
    </row>
    <row r="517" spans="1:80" x14ac:dyDescent="0.2">
      <c r="A517" s="96">
        <v>1931</v>
      </c>
      <c r="B517" s="99">
        <v>10</v>
      </c>
      <c r="C517" s="99">
        <v>20</v>
      </c>
      <c r="D517" s="99">
        <v>30</v>
      </c>
      <c r="E517" s="99">
        <v>40</v>
      </c>
      <c r="F517" s="99">
        <v>45</v>
      </c>
      <c r="G517" s="96">
        <v>65</v>
      </c>
      <c r="H517" s="96">
        <v>85</v>
      </c>
      <c r="I517" s="96" t="s">
        <v>29</v>
      </c>
      <c r="J517" s="93"/>
      <c r="K517" s="93">
        <v>2030</v>
      </c>
      <c r="L517" s="103">
        <v>30</v>
      </c>
      <c r="M517" s="103">
        <v>40</v>
      </c>
      <c r="N517" s="93">
        <v>50</v>
      </c>
      <c r="O517" s="93">
        <v>60</v>
      </c>
      <c r="P517" s="93">
        <v>70</v>
      </c>
      <c r="Q517" s="93">
        <v>95</v>
      </c>
      <c r="R517" s="93">
        <v>100</v>
      </c>
      <c r="S517" s="93" t="s">
        <v>29</v>
      </c>
      <c r="T517" s="93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CA517" s="12"/>
      <c r="CB517" s="12"/>
    </row>
    <row r="518" spans="1:80" x14ac:dyDescent="0.2">
      <c r="A518" s="96">
        <v>1932</v>
      </c>
      <c r="B518" s="99">
        <v>10</v>
      </c>
      <c r="C518" s="99">
        <v>20</v>
      </c>
      <c r="D518" s="99">
        <v>30</v>
      </c>
      <c r="E518" s="99">
        <v>40</v>
      </c>
      <c r="F518" s="99">
        <v>45</v>
      </c>
      <c r="G518" s="96">
        <v>65</v>
      </c>
      <c r="H518" s="96">
        <v>85</v>
      </c>
      <c r="I518" s="96" t="s">
        <v>29</v>
      </c>
      <c r="J518" s="93"/>
      <c r="K518" s="93">
        <v>2031</v>
      </c>
      <c r="L518" s="103">
        <v>30</v>
      </c>
      <c r="M518" s="103">
        <v>40</v>
      </c>
      <c r="N518" s="93">
        <v>50</v>
      </c>
      <c r="O518" s="93">
        <v>60</v>
      </c>
      <c r="P518" s="93">
        <v>70</v>
      </c>
      <c r="Q518" s="93">
        <v>90</v>
      </c>
      <c r="R518" s="93">
        <v>100</v>
      </c>
      <c r="S518" s="93" t="s">
        <v>29</v>
      </c>
      <c r="T518" s="93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CA518" s="12"/>
      <c r="CB518" s="12"/>
    </row>
    <row r="519" spans="1:80" x14ac:dyDescent="0.2">
      <c r="A519" s="96">
        <v>1933</v>
      </c>
      <c r="B519" s="99">
        <v>10</v>
      </c>
      <c r="C519" s="99">
        <v>20</v>
      </c>
      <c r="D519" s="99">
        <v>30</v>
      </c>
      <c r="E519" s="99">
        <v>40</v>
      </c>
      <c r="F519" s="99">
        <v>45</v>
      </c>
      <c r="G519" s="96">
        <v>65</v>
      </c>
      <c r="H519" s="96">
        <v>85</v>
      </c>
      <c r="I519" s="96" t="s">
        <v>29</v>
      </c>
      <c r="J519" s="93"/>
      <c r="K519" s="93">
        <v>2032</v>
      </c>
      <c r="L519" s="103">
        <v>30</v>
      </c>
      <c r="M519" s="103">
        <v>40</v>
      </c>
      <c r="N519" s="93">
        <v>50</v>
      </c>
      <c r="O519" s="93">
        <v>60</v>
      </c>
      <c r="P519" s="93">
        <v>70</v>
      </c>
      <c r="Q519" s="93">
        <v>90</v>
      </c>
      <c r="R519" s="93">
        <v>100</v>
      </c>
      <c r="S519" s="93" t="s">
        <v>29</v>
      </c>
      <c r="T519" s="93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CA519" s="12"/>
      <c r="CB519" s="12"/>
    </row>
    <row r="520" spans="1:80" x14ac:dyDescent="0.2">
      <c r="A520" s="96">
        <v>1934</v>
      </c>
      <c r="B520" s="99">
        <v>10</v>
      </c>
      <c r="C520" s="99">
        <v>20</v>
      </c>
      <c r="D520" s="99">
        <v>30</v>
      </c>
      <c r="E520" s="99">
        <v>40</v>
      </c>
      <c r="F520" s="99">
        <v>45</v>
      </c>
      <c r="G520" s="96">
        <v>65</v>
      </c>
      <c r="H520" s="96">
        <v>85</v>
      </c>
      <c r="I520" s="96" t="s">
        <v>29</v>
      </c>
      <c r="J520" s="93"/>
      <c r="K520" s="93">
        <v>2033</v>
      </c>
      <c r="L520" s="103">
        <v>30</v>
      </c>
      <c r="M520" s="103">
        <v>40</v>
      </c>
      <c r="N520" s="93">
        <v>50</v>
      </c>
      <c r="O520" s="93">
        <v>60</v>
      </c>
      <c r="P520" s="93">
        <v>70</v>
      </c>
      <c r="Q520" s="93">
        <v>90</v>
      </c>
      <c r="R520" s="93">
        <v>100</v>
      </c>
      <c r="S520" s="93" t="s">
        <v>29</v>
      </c>
      <c r="T520" s="93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CA520" s="12"/>
      <c r="CB520" s="12"/>
    </row>
    <row r="521" spans="1:80" x14ac:dyDescent="0.2">
      <c r="A521" s="96">
        <v>1935</v>
      </c>
      <c r="B521" s="99">
        <v>10</v>
      </c>
      <c r="C521" s="99">
        <v>20</v>
      </c>
      <c r="D521" s="99">
        <v>30</v>
      </c>
      <c r="E521" s="99">
        <v>40</v>
      </c>
      <c r="F521" s="99">
        <v>45</v>
      </c>
      <c r="G521" s="96">
        <v>65</v>
      </c>
      <c r="H521" s="96">
        <v>85</v>
      </c>
      <c r="I521" s="96" t="s">
        <v>29</v>
      </c>
      <c r="J521" s="93"/>
      <c r="K521" s="93">
        <v>2034</v>
      </c>
      <c r="L521" s="103">
        <v>30</v>
      </c>
      <c r="M521" s="103">
        <v>40</v>
      </c>
      <c r="N521" s="93">
        <v>50</v>
      </c>
      <c r="O521" s="93">
        <v>60</v>
      </c>
      <c r="P521" s="93">
        <v>70</v>
      </c>
      <c r="Q521" s="93">
        <v>90</v>
      </c>
      <c r="R521" s="93">
        <v>100</v>
      </c>
      <c r="S521" s="93" t="s">
        <v>29</v>
      </c>
      <c r="T521" s="93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CA521" s="12"/>
      <c r="CB521" s="12"/>
    </row>
    <row r="522" spans="1:80" x14ac:dyDescent="0.2">
      <c r="A522" s="96">
        <v>1936</v>
      </c>
      <c r="B522" s="99">
        <v>10</v>
      </c>
      <c r="C522" s="99">
        <v>20</v>
      </c>
      <c r="D522" s="99">
        <v>30</v>
      </c>
      <c r="E522" s="99">
        <v>40</v>
      </c>
      <c r="F522" s="99">
        <v>45</v>
      </c>
      <c r="G522" s="96">
        <v>65</v>
      </c>
      <c r="H522" s="96">
        <v>85</v>
      </c>
      <c r="I522" s="96" t="s">
        <v>29</v>
      </c>
      <c r="J522" s="93"/>
      <c r="K522" s="93">
        <v>2035</v>
      </c>
      <c r="L522" s="103">
        <v>30</v>
      </c>
      <c r="M522" s="103">
        <v>40</v>
      </c>
      <c r="N522" s="93">
        <v>50</v>
      </c>
      <c r="O522" s="93">
        <v>60</v>
      </c>
      <c r="P522" s="93">
        <v>70</v>
      </c>
      <c r="Q522" s="93">
        <v>90</v>
      </c>
      <c r="R522" s="93">
        <v>100</v>
      </c>
      <c r="S522" s="93" t="s">
        <v>29</v>
      </c>
      <c r="T522" s="93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CA522" s="12"/>
      <c r="CB522" s="12"/>
    </row>
    <row r="523" spans="1:80" x14ac:dyDescent="0.2">
      <c r="A523" s="96">
        <v>1937</v>
      </c>
      <c r="B523" s="99">
        <v>10</v>
      </c>
      <c r="C523" s="99">
        <v>20</v>
      </c>
      <c r="D523" s="99">
        <v>30</v>
      </c>
      <c r="E523" s="99">
        <v>40</v>
      </c>
      <c r="F523" s="99">
        <v>45</v>
      </c>
      <c r="G523" s="96">
        <v>65</v>
      </c>
      <c r="H523" s="96">
        <v>85</v>
      </c>
      <c r="I523" s="96" t="s">
        <v>29</v>
      </c>
      <c r="J523" s="93"/>
      <c r="K523" s="93">
        <v>2036</v>
      </c>
      <c r="L523" s="103">
        <v>30</v>
      </c>
      <c r="M523" s="103">
        <v>40</v>
      </c>
      <c r="N523" s="93">
        <v>50</v>
      </c>
      <c r="O523" s="93">
        <v>60</v>
      </c>
      <c r="P523" s="93">
        <v>70</v>
      </c>
      <c r="Q523" s="93">
        <v>90</v>
      </c>
      <c r="R523" s="93">
        <v>100</v>
      </c>
      <c r="S523" s="93" t="s">
        <v>29</v>
      </c>
      <c r="T523" s="93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CA523" s="12"/>
      <c r="CB523" s="12"/>
    </row>
    <row r="524" spans="1:80" x14ac:dyDescent="0.2">
      <c r="A524" s="96">
        <v>1938</v>
      </c>
      <c r="B524" s="99">
        <v>10</v>
      </c>
      <c r="C524" s="99">
        <v>20</v>
      </c>
      <c r="D524" s="99">
        <v>30</v>
      </c>
      <c r="E524" s="99">
        <v>40</v>
      </c>
      <c r="F524" s="99">
        <v>45</v>
      </c>
      <c r="G524" s="96">
        <v>65</v>
      </c>
      <c r="H524" s="96">
        <v>85</v>
      </c>
      <c r="I524" s="96" t="s">
        <v>29</v>
      </c>
      <c r="J524" s="93"/>
      <c r="K524" s="93">
        <v>2037</v>
      </c>
      <c r="L524" s="103">
        <v>30</v>
      </c>
      <c r="M524" s="103">
        <v>40</v>
      </c>
      <c r="N524" s="93">
        <v>50</v>
      </c>
      <c r="O524" s="93">
        <v>60</v>
      </c>
      <c r="P524" s="93">
        <v>70</v>
      </c>
      <c r="Q524" s="93">
        <v>90</v>
      </c>
      <c r="R524" s="93">
        <v>100</v>
      </c>
      <c r="S524" s="93" t="s">
        <v>29</v>
      </c>
      <c r="T524" s="93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CA524" s="12"/>
      <c r="CB524" s="12"/>
    </row>
    <row r="525" spans="1:80" x14ac:dyDescent="0.2">
      <c r="A525" s="96">
        <v>1939</v>
      </c>
      <c r="B525" s="99">
        <v>10</v>
      </c>
      <c r="C525" s="99">
        <v>20</v>
      </c>
      <c r="D525" s="99">
        <v>30</v>
      </c>
      <c r="E525" s="99">
        <v>40</v>
      </c>
      <c r="F525" s="99">
        <v>45</v>
      </c>
      <c r="G525" s="96">
        <v>65</v>
      </c>
      <c r="H525" s="96">
        <v>85</v>
      </c>
      <c r="I525" s="96" t="s">
        <v>29</v>
      </c>
      <c r="J525" s="93"/>
      <c r="K525" s="93">
        <v>2038</v>
      </c>
      <c r="L525" s="103">
        <v>30</v>
      </c>
      <c r="M525" s="103">
        <v>40</v>
      </c>
      <c r="N525" s="93">
        <v>50</v>
      </c>
      <c r="O525" s="93">
        <v>60</v>
      </c>
      <c r="P525" s="93">
        <v>70</v>
      </c>
      <c r="Q525" s="93">
        <v>90</v>
      </c>
      <c r="R525" s="93">
        <v>100</v>
      </c>
      <c r="S525" s="93" t="s">
        <v>29</v>
      </c>
      <c r="T525" s="93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CA525" s="12"/>
      <c r="CB525" s="12"/>
    </row>
    <row r="526" spans="1:80" x14ac:dyDescent="0.2">
      <c r="A526" s="96">
        <v>1940</v>
      </c>
      <c r="B526" s="99">
        <v>10</v>
      </c>
      <c r="C526" s="99">
        <v>20</v>
      </c>
      <c r="D526" s="99">
        <v>30</v>
      </c>
      <c r="E526" s="99">
        <v>40</v>
      </c>
      <c r="F526" s="99">
        <v>45</v>
      </c>
      <c r="G526" s="96">
        <v>65</v>
      </c>
      <c r="H526" s="96">
        <v>85</v>
      </c>
      <c r="I526" s="96" t="s">
        <v>29</v>
      </c>
      <c r="J526" s="93"/>
      <c r="K526" s="93">
        <v>2039</v>
      </c>
      <c r="L526" s="103">
        <v>30</v>
      </c>
      <c r="M526" s="103">
        <v>40</v>
      </c>
      <c r="N526" s="93">
        <v>50</v>
      </c>
      <c r="O526" s="93">
        <v>60</v>
      </c>
      <c r="P526" s="93">
        <v>70</v>
      </c>
      <c r="Q526" s="93">
        <v>90</v>
      </c>
      <c r="R526" s="93">
        <v>100</v>
      </c>
      <c r="S526" s="93" t="s">
        <v>29</v>
      </c>
      <c r="T526" s="93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CA526" s="12"/>
      <c r="CB526" s="12"/>
    </row>
    <row r="527" spans="1:80" x14ac:dyDescent="0.2">
      <c r="A527" s="96">
        <v>1941</v>
      </c>
      <c r="B527" s="99">
        <v>5</v>
      </c>
      <c r="C527" s="99">
        <v>15</v>
      </c>
      <c r="D527" s="99">
        <v>25</v>
      </c>
      <c r="E527" s="99">
        <v>35</v>
      </c>
      <c r="F527" s="99">
        <v>45</v>
      </c>
      <c r="G527" s="96">
        <v>60</v>
      </c>
      <c r="H527" s="96">
        <v>85</v>
      </c>
      <c r="I527" s="96" t="s">
        <v>29</v>
      </c>
      <c r="J527" s="93"/>
      <c r="K527" s="93">
        <v>2040</v>
      </c>
      <c r="L527" s="103">
        <v>30</v>
      </c>
      <c r="M527" s="103">
        <v>40</v>
      </c>
      <c r="N527" s="93">
        <v>50</v>
      </c>
      <c r="O527" s="93">
        <v>60</v>
      </c>
      <c r="P527" s="93">
        <v>70</v>
      </c>
      <c r="Q527" s="93">
        <v>90</v>
      </c>
      <c r="R527" s="93">
        <v>100</v>
      </c>
      <c r="S527" s="93" t="s">
        <v>29</v>
      </c>
      <c r="T527" s="93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CA527" s="12"/>
      <c r="CB527" s="12"/>
    </row>
    <row r="528" spans="1:80" x14ac:dyDescent="0.2">
      <c r="A528" s="96">
        <v>1942</v>
      </c>
      <c r="B528" s="99">
        <v>5</v>
      </c>
      <c r="C528" s="99">
        <v>15</v>
      </c>
      <c r="D528" s="99">
        <v>25</v>
      </c>
      <c r="E528" s="99">
        <v>35</v>
      </c>
      <c r="F528" s="99">
        <v>45</v>
      </c>
      <c r="G528" s="96">
        <v>60</v>
      </c>
      <c r="H528" s="96">
        <v>85</v>
      </c>
      <c r="I528" s="96" t="s">
        <v>29</v>
      </c>
      <c r="J528" s="93"/>
      <c r="K528" s="93">
        <v>2041</v>
      </c>
      <c r="L528" s="103">
        <v>25</v>
      </c>
      <c r="M528" s="103">
        <v>35</v>
      </c>
      <c r="N528" s="103">
        <v>45</v>
      </c>
      <c r="O528" s="93">
        <v>55</v>
      </c>
      <c r="P528" s="93">
        <v>65</v>
      </c>
      <c r="Q528" s="93">
        <v>90</v>
      </c>
      <c r="R528" s="93">
        <v>100</v>
      </c>
      <c r="S528" s="93" t="s">
        <v>29</v>
      </c>
      <c r="T528" s="93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CA528" s="12"/>
      <c r="CB528" s="12"/>
    </row>
    <row r="529" spans="1:80" x14ac:dyDescent="0.2">
      <c r="A529" s="96">
        <v>1943</v>
      </c>
      <c r="B529" s="99">
        <v>5</v>
      </c>
      <c r="C529" s="99">
        <v>15</v>
      </c>
      <c r="D529" s="99">
        <v>25</v>
      </c>
      <c r="E529" s="99">
        <v>35</v>
      </c>
      <c r="F529" s="99">
        <v>45</v>
      </c>
      <c r="G529" s="96">
        <v>60</v>
      </c>
      <c r="H529" s="96">
        <v>85</v>
      </c>
      <c r="I529" s="96" t="s">
        <v>29</v>
      </c>
      <c r="J529" s="93"/>
      <c r="K529" s="93">
        <v>2042</v>
      </c>
      <c r="L529" s="103">
        <v>25</v>
      </c>
      <c r="M529" s="103">
        <v>35</v>
      </c>
      <c r="N529" s="103">
        <v>45</v>
      </c>
      <c r="O529" s="93">
        <v>55</v>
      </c>
      <c r="P529" s="93">
        <v>65</v>
      </c>
      <c r="Q529" s="93">
        <v>90</v>
      </c>
      <c r="R529" s="93">
        <v>100</v>
      </c>
      <c r="S529" s="93" t="s">
        <v>29</v>
      </c>
      <c r="T529" s="93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CA529" s="12"/>
      <c r="CB529" s="12"/>
    </row>
    <row r="530" spans="1:80" x14ac:dyDescent="0.2">
      <c r="A530" s="96">
        <v>1944</v>
      </c>
      <c r="B530" s="99">
        <v>5</v>
      </c>
      <c r="C530" s="99">
        <v>15</v>
      </c>
      <c r="D530" s="99">
        <v>25</v>
      </c>
      <c r="E530" s="99">
        <v>35</v>
      </c>
      <c r="F530" s="99">
        <v>45</v>
      </c>
      <c r="G530" s="96">
        <v>60</v>
      </c>
      <c r="H530" s="96">
        <v>85</v>
      </c>
      <c r="I530" s="96" t="s">
        <v>29</v>
      </c>
      <c r="J530" s="93"/>
      <c r="K530" s="93">
        <v>2043</v>
      </c>
      <c r="L530" s="103">
        <v>25</v>
      </c>
      <c r="M530" s="103">
        <v>35</v>
      </c>
      <c r="N530" s="103">
        <v>45</v>
      </c>
      <c r="O530" s="93">
        <v>55</v>
      </c>
      <c r="P530" s="93">
        <v>65</v>
      </c>
      <c r="Q530" s="93">
        <v>90</v>
      </c>
      <c r="R530" s="93">
        <v>100</v>
      </c>
      <c r="S530" s="93" t="s">
        <v>29</v>
      </c>
      <c r="T530" s="93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CA530" s="12"/>
      <c r="CB530" s="12"/>
    </row>
    <row r="531" spans="1:80" x14ac:dyDescent="0.2">
      <c r="A531" s="96">
        <v>1945</v>
      </c>
      <c r="B531" s="99">
        <v>5</v>
      </c>
      <c r="C531" s="99">
        <v>15</v>
      </c>
      <c r="D531" s="99">
        <v>25</v>
      </c>
      <c r="E531" s="99">
        <v>35</v>
      </c>
      <c r="F531" s="99">
        <v>45</v>
      </c>
      <c r="G531" s="96">
        <v>60</v>
      </c>
      <c r="H531" s="96">
        <v>85</v>
      </c>
      <c r="I531" s="96" t="s">
        <v>29</v>
      </c>
      <c r="J531" s="93"/>
      <c r="K531" s="93">
        <v>2044</v>
      </c>
      <c r="L531" s="103">
        <v>25</v>
      </c>
      <c r="M531" s="103">
        <v>35</v>
      </c>
      <c r="N531" s="103">
        <v>45</v>
      </c>
      <c r="O531" s="93">
        <v>55</v>
      </c>
      <c r="P531" s="93">
        <v>65</v>
      </c>
      <c r="Q531" s="93">
        <v>90</v>
      </c>
      <c r="R531" s="93">
        <v>100</v>
      </c>
      <c r="S531" s="93" t="s">
        <v>29</v>
      </c>
      <c r="T531" s="93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CA531" s="12"/>
      <c r="CB531" s="12"/>
    </row>
    <row r="532" spans="1:80" x14ac:dyDescent="0.2">
      <c r="A532" s="96">
        <v>1946</v>
      </c>
      <c r="B532" s="99">
        <v>5</v>
      </c>
      <c r="C532" s="99">
        <v>15</v>
      </c>
      <c r="D532" s="99">
        <v>25</v>
      </c>
      <c r="E532" s="99">
        <v>35</v>
      </c>
      <c r="F532" s="99">
        <v>45</v>
      </c>
      <c r="G532" s="96">
        <v>60</v>
      </c>
      <c r="H532" s="96">
        <v>85</v>
      </c>
      <c r="I532" s="96" t="s">
        <v>29</v>
      </c>
      <c r="J532" s="93"/>
      <c r="K532" s="93">
        <v>2045</v>
      </c>
      <c r="L532" s="103">
        <v>25</v>
      </c>
      <c r="M532" s="103">
        <v>35</v>
      </c>
      <c r="N532" s="103">
        <v>45</v>
      </c>
      <c r="O532" s="93">
        <v>55</v>
      </c>
      <c r="P532" s="93">
        <v>65</v>
      </c>
      <c r="Q532" s="93">
        <v>90</v>
      </c>
      <c r="R532" s="93">
        <v>100</v>
      </c>
      <c r="S532" s="93" t="s">
        <v>29</v>
      </c>
      <c r="T532" s="93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CA532" s="12"/>
      <c r="CB532" s="12"/>
    </row>
    <row r="533" spans="1:80" x14ac:dyDescent="0.2">
      <c r="A533" s="96">
        <v>1947</v>
      </c>
      <c r="B533" s="99">
        <v>5</v>
      </c>
      <c r="C533" s="99">
        <v>15</v>
      </c>
      <c r="D533" s="99">
        <v>25</v>
      </c>
      <c r="E533" s="99">
        <v>35</v>
      </c>
      <c r="F533" s="99">
        <v>45</v>
      </c>
      <c r="G533" s="96">
        <v>60</v>
      </c>
      <c r="H533" s="96">
        <v>85</v>
      </c>
      <c r="I533" s="96" t="s">
        <v>29</v>
      </c>
      <c r="J533" s="93"/>
      <c r="K533" s="93">
        <v>2046</v>
      </c>
      <c r="L533" s="103">
        <v>25</v>
      </c>
      <c r="M533" s="103">
        <v>35</v>
      </c>
      <c r="N533" s="103">
        <v>45</v>
      </c>
      <c r="O533" s="93">
        <v>55</v>
      </c>
      <c r="P533" s="93">
        <v>65</v>
      </c>
      <c r="Q533" s="93">
        <v>90</v>
      </c>
      <c r="R533" s="93">
        <v>100</v>
      </c>
      <c r="S533" s="93" t="s">
        <v>29</v>
      </c>
      <c r="T533" s="93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CA533" s="12"/>
      <c r="CB533" s="12"/>
    </row>
    <row r="534" spans="1:80" x14ac:dyDescent="0.2">
      <c r="A534" s="96">
        <v>1948</v>
      </c>
      <c r="B534" s="99">
        <v>5</v>
      </c>
      <c r="C534" s="99">
        <v>15</v>
      </c>
      <c r="D534" s="99">
        <v>25</v>
      </c>
      <c r="E534" s="99">
        <v>35</v>
      </c>
      <c r="F534" s="99">
        <v>45</v>
      </c>
      <c r="G534" s="96">
        <v>60</v>
      </c>
      <c r="H534" s="96">
        <v>85</v>
      </c>
      <c r="I534" s="96" t="s">
        <v>29</v>
      </c>
      <c r="J534" s="93"/>
      <c r="K534" s="93">
        <v>2047</v>
      </c>
      <c r="L534" s="103">
        <v>25</v>
      </c>
      <c r="M534" s="103">
        <v>35</v>
      </c>
      <c r="N534" s="103">
        <v>45</v>
      </c>
      <c r="O534" s="93">
        <v>55</v>
      </c>
      <c r="P534" s="93">
        <v>65</v>
      </c>
      <c r="Q534" s="93">
        <v>90</v>
      </c>
      <c r="R534" s="93">
        <v>100</v>
      </c>
      <c r="S534" s="93" t="s">
        <v>29</v>
      </c>
      <c r="T534" s="93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CA534" s="12"/>
      <c r="CB534" s="12"/>
    </row>
    <row r="535" spans="1:80" x14ac:dyDescent="0.2">
      <c r="A535" s="96">
        <v>1949</v>
      </c>
      <c r="B535" s="99">
        <v>5</v>
      </c>
      <c r="C535" s="99">
        <v>15</v>
      </c>
      <c r="D535" s="99">
        <v>25</v>
      </c>
      <c r="E535" s="99">
        <v>35</v>
      </c>
      <c r="F535" s="99">
        <v>45</v>
      </c>
      <c r="G535" s="96">
        <v>60</v>
      </c>
      <c r="H535" s="96">
        <v>85</v>
      </c>
      <c r="I535" s="96" t="s">
        <v>29</v>
      </c>
      <c r="J535" s="93"/>
      <c r="K535" s="93">
        <v>2048</v>
      </c>
      <c r="L535" s="103">
        <v>25</v>
      </c>
      <c r="M535" s="103">
        <v>35</v>
      </c>
      <c r="N535" s="103">
        <v>45</v>
      </c>
      <c r="O535" s="93">
        <v>55</v>
      </c>
      <c r="P535" s="93">
        <v>65</v>
      </c>
      <c r="Q535" s="93">
        <v>90</v>
      </c>
      <c r="R535" s="93">
        <v>100</v>
      </c>
      <c r="S535" s="93" t="s">
        <v>29</v>
      </c>
      <c r="T535" s="93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CA535" s="12"/>
      <c r="CB535" s="12"/>
    </row>
    <row r="536" spans="1:80" x14ac:dyDescent="0.2">
      <c r="A536" s="96">
        <v>1950</v>
      </c>
      <c r="B536" s="99">
        <v>5</v>
      </c>
      <c r="C536" s="99">
        <v>15</v>
      </c>
      <c r="D536" s="99">
        <v>25</v>
      </c>
      <c r="E536" s="99">
        <v>35</v>
      </c>
      <c r="F536" s="99">
        <v>45</v>
      </c>
      <c r="G536" s="96">
        <v>60</v>
      </c>
      <c r="H536" s="96">
        <v>85</v>
      </c>
      <c r="I536" s="96" t="s">
        <v>29</v>
      </c>
      <c r="J536" s="93"/>
      <c r="K536" s="93">
        <v>2049</v>
      </c>
      <c r="L536" s="103">
        <v>25</v>
      </c>
      <c r="M536" s="103">
        <v>35</v>
      </c>
      <c r="N536" s="103">
        <v>45</v>
      </c>
      <c r="O536" s="93">
        <v>55</v>
      </c>
      <c r="P536" s="93">
        <v>65</v>
      </c>
      <c r="Q536" s="93">
        <v>90</v>
      </c>
      <c r="R536" s="93">
        <v>100</v>
      </c>
      <c r="S536" s="93" t="s">
        <v>29</v>
      </c>
      <c r="T536" s="93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CA536" s="12"/>
      <c r="CB536" s="12"/>
    </row>
    <row r="537" spans="1:80" x14ac:dyDescent="0.2">
      <c r="A537" s="96">
        <v>1951</v>
      </c>
      <c r="B537" s="99">
        <v>5</v>
      </c>
      <c r="C537" s="99">
        <v>15</v>
      </c>
      <c r="D537" s="99">
        <v>25</v>
      </c>
      <c r="E537" s="99">
        <v>35</v>
      </c>
      <c r="F537" s="99">
        <v>40</v>
      </c>
      <c r="G537" s="96">
        <v>55</v>
      </c>
      <c r="H537" s="96">
        <v>80</v>
      </c>
      <c r="I537" s="96" t="s">
        <v>29</v>
      </c>
      <c r="J537" s="93"/>
      <c r="K537" s="93">
        <v>2050</v>
      </c>
      <c r="L537" s="103">
        <v>25</v>
      </c>
      <c r="M537" s="103">
        <v>35</v>
      </c>
      <c r="N537" s="103">
        <v>45</v>
      </c>
      <c r="O537" s="93">
        <v>55</v>
      </c>
      <c r="P537" s="93">
        <v>65</v>
      </c>
      <c r="Q537" s="93">
        <v>90</v>
      </c>
      <c r="R537" s="93">
        <v>100</v>
      </c>
      <c r="S537" s="93" t="s">
        <v>29</v>
      </c>
      <c r="T537" s="93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CA537" s="12"/>
      <c r="CB537" s="12"/>
    </row>
    <row r="538" spans="1:80" x14ac:dyDescent="0.2">
      <c r="A538" s="96">
        <v>1952</v>
      </c>
      <c r="B538" s="99">
        <v>5</v>
      </c>
      <c r="C538" s="99">
        <v>15</v>
      </c>
      <c r="D538" s="99">
        <v>25</v>
      </c>
      <c r="E538" s="99">
        <v>35</v>
      </c>
      <c r="F538" s="99">
        <v>40</v>
      </c>
      <c r="G538" s="96">
        <v>55</v>
      </c>
      <c r="H538" s="96">
        <v>80</v>
      </c>
      <c r="I538" s="96" t="s">
        <v>29</v>
      </c>
      <c r="J538" s="93"/>
      <c r="K538" s="93">
        <v>2051</v>
      </c>
      <c r="L538" s="103">
        <v>25</v>
      </c>
      <c r="M538" s="103">
        <v>35</v>
      </c>
      <c r="N538" s="103">
        <v>45</v>
      </c>
      <c r="O538" s="93">
        <v>55</v>
      </c>
      <c r="P538" s="93">
        <v>65</v>
      </c>
      <c r="Q538" s="93">
        <v>85</v>
      </c>
      <c r="R538" s="93">
        <v>100</v>
      </c>
      <c r="S538" s="93" t="s">
        <v>29</v>
      </c>
      <c r="T538" s="93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CA538" s="12"/>
      <c r="CB538" s="12"/>
    </row>
    <row r="539" spans="1:80" x14ac:dyDescent="0.2">
      <c r="A539" s="96">
        <v>1953</v>
      </c>
      <c r="B539" s="99">
        <v>5</v>
      </c>
      <c r="C539" s="99">
        <v>15</v>
      </c>
      <c r="D539" s="99">
        <v>25</v>
      </c>
      <c r="E539" s="99">
        <v>35</v>
      </c>
      <c r="F539" s="99">
        <v>40</v>
      </c>
      <c r="G539" s="96">
        <v>55</v>
      </c>
      <c r="H539" s="96">
        <v>80</v>
      </c>
      <c r="I539" s="96" t="s">
        <v>29</v>
      </c>
      <c r="J539" s="93"/>
      <c r="K539" s="93">
        <v>2052</v>
      </c>
      <c r="L539" s="103">
        <v>25</v>
      </c>
      <c r="M539" s="103">
        <v>35</v>
      </c>
      <c r="N539" s="103">
        <v>45</v>
      </c>
      <c r="O539" s="93">
        <v>55</v>
      </c>
      <c r="P539" s="93">
        <v>65</v>
      </c>
      <c r="Q539" s="93">
        <v>85</v>
      </c>
      <c r="R539" s="93">
        <v>100</v>
      </c>
      <c r="S539" s="93" t="s">
        <v>29</v>
      </c>
      <c r="T539" s="93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CA539" s="12"/>
      <c r="CB539" s="12"/>
    </row>
    <row r="540" spans="1:80" x14ac:dyDescent="0.2">
      <c r="A540" s="96">
        <v>1954</v>
      </c>
      <c r="B540" s="99">
        <v>5</v>
      </c>
      <c r="C540" s="99">
        <v>15</v>
      </c>
      <c r="D540" s="99">
        <v>25</v>
      </c>
      <c r="E540" s="99">
        <v>35</v>
      </c>
      <c r="F540" s="99">
        <v>40</v>
      </c>
      <c r="G540" s="96">
        <v>55</v>
      </c>
      <c r="H540" s="96">
        <v>80</v>
      </c>
      <c r="I540" s="96" t="s">
        <v>29</v>
      </c>
      <c r="J540" s="93"/>
      <c r="K540" s="93">
        <v>2053</v>
      </c>
      <c r="L540" s="103">
        <v>25</v>
      </c>
      <c r="M540" s="103">
        <v>35</v>
      </c>
      <c r="N540" s="103">
        <v>45</v>
      </c>
      <c r="O540" s="93">
        <v>55</v>
      </c>
      <c r="P540" s="93">
        <v>65</v>
      </c>
      <c r="Q540" s="93">
        <v>85</v>
      </c>
      <c r="R540" s="93">
        <v>100</v>
      </c>
      <c r="S540" s="93" t="s">
        <v>29</v>
      </c>
      <c r="T540" s="93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CA540" s="12"/>
      <c r="CB540" s="12"/>
    </row>
    <row r="541" spans="1:80" x14ac:dyDescent="0.2">
      <c r="A541" s="96">
        <v>1955</v>
      </c>
      <c r="B541" s="99">
        <v>5</v>
      </c>
      <c r="C541" s="99">
        <v>15</v>
      </c>
      <c r="D541" s="99">
        <v>25</v>
      </c>
      <c r="E541" s="99">
        <v>35</v>
      </c>
      <c r="F541" s="99">
        <v>40</v>
      </c>
      <c r="G541" s="96">
        <v>55</v>
      </c>
      <c r="H541" s="96">
        <v>80</v>
      </c>
      <c r="I541" s="96" t="s">
        <v>29</v>
      </c>
      <c r="J541" s="93"/>
      <c r="K541" s="93">
        <v>2054</v>
      </c>
      <c r="L541" s="103">
        <v>25</v>
      </c>
      <c r="M541" s="103">
        <v>35</v>
      </c>
      <c r="N541" s="103">
        <v>45</v>
      </c>
      <c r="O541" s="93">
        <v>55</v>
      </c>
      <c r="P541" s="93">
        <v>65</v>
      </c>
      <c r="Q541" s="93">
        <v>85</v>
      </c>
      <c r="R541" s="93">
        <v>100</v>
      </c>
      <c r="S541" s="93" t="s">
        <v>29</v>
      </c>
      <c r="T541" s="93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CA541" s="12"/>
      <c r="CB541" s="12"/>
    </row>
    <row r="542" spans="1:80" x14ac:dyDescent="0.2">
      <c r="A542" s="96">
        <v>1956</v>
      </c>
      <c r="B542" s="99">
        <v>5</v>
      </c>
      <c r="C542" s="99">
        <v>15</v>
      </c>
      <c r="D542" s="99">
        <v>25</v>
      </c>
      <c r="E542" s="99">
        <v>35</v>
      </c>
      <c r="F542" s="99">
        <v>40</v>
      </c>
      <c r="G542" s="96">
        <v>55</v>
      </c>
      <c r="H542" s="96">
        <v>80</v>
      </c>
      <c r="I542" s="96" t="s">
        <v>29</v>
      </c>
      <c r="J542" s="93"/>
      <c r="K542" s="93">
        <v>2055</v>
      </c>
      <c r="L542" s="103">
        <v>25</v>
      </c>
      <c r="M542" s="103">
        <v>35</v>
      </c>
      <c r="N542" s="103">
        <v>45</v>
      </c>
      <c r="O542" s="93">
        <v>55</v>
      </c>
      <c r="P542" s="93">
        <v>65</v>
      </c>
      <c r="Q542" s="93">
        <v>85</v>
      </c>
      <c r="R542" s="93">
        <v>100</v>
      </c>
      <c r="S542" s="93" t="s">
        <v>29</v>
      </c>
      <c r="T542" s="93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CA542" s="12"/>
      <c r="CB542" s="12"/>
    </row>
    <row r="543" spans="1:80" x14ac:dyDescent="0.2">
      <c r="A543" s="96">
        <v>1957</v>
      </c>
      <c r="B543" s="99">
        <v>5</v>
      </c>
      <c r="C543" s="99">
        <v>15</v>
      </c>
      <c r="D543" s="99">
        <v>25</v>
      </c>
      <c r="E543" s="99">
        <v>35</v>
      </c>
      <c r="F543" s="99">
        <v>40</v>
      </c>
      <c r="G543" s="96">
        <v>55</v>
      </c>
      <c r="H543" s="96">
        <v>80</v>
      </c>
      <c r="I543" s="96" t="s">
        <v>29</v>
      </c>
      <c r="J543" s="93"/>
      <c r="K543" s="93">
        <v>2056</v>
      </c>
      <c r="L543" s="103">
        <v>25</v>
      </c>
      <c r="M543" s="103">
        <v>35</v>
      </c>
      <c r="N543" s="103">
        <v>45</v>
      </c>
      <c r="O543" s="93">
        <v>55</v>
      </c>
      <c r="P543" s="93">
        <v>65</v>
      </c>
      <c r="Q543" s="93">
        <v>85</v>
      </c>
      <c r="R543" s="93">
        <v>100</v>
      </c>
      <c r="S543" s="93" t="s">
        <v>29</v>
      </c>
      <c r="T543" s="93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CA543" s="12"/>
      <c r="CB543" s="12"/>
    </row>
    <row r="544" spans="1:80" x14ac:dyDescent="0.2">
      <c r="A544" s="96">
        <v>1958</v>
      </c>
      <c r="B544" s="99">
        <v>5</v>
      </c>
      <c r="C544" s="99">
        <v>15</v>
      </c>
      <c r="D544" s="99">
        <v>25</v>
      </c>
      <c r="E544" s="99">
        <v>35</v>
      </c>
      <c r="F544" s="99">
        <v>40</v>
      </c>
      <c r="G544" s="96">
        <v>55</v>
      </c>
      <c r="H544" s="96">
        <v>80</v>
      </c>
      <c r="I544" s="96" t="s">
        <v>29</v>
      </c>
      <c r="J544" s="93"/>
      <c r="K544" s="93">
        <v>2057</v>
      </c>
      <c r="L544" s="103">
        <v>25</v>
      </c>
      <c r="M544" s="103">
        <v>35</v>
      </c>
      <c r="N544" s="103">
        <v>45</v>
      </c>
      <c r="O544" s="93">
        <v>55</v>
      </c>
      <c r="P544" s="93">
        <v>65</v>
      </c>
      <c r="Q544" s="93">
        <v>85</v>
      </c>
      <c r="R544" s="93">
        <v>100</v>
      </c>
      <c r="S544" s="93" t="s">
        <v>29</v>
      </c>
      <c r="T544" s="93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CA544" s="12"/>
      <c r="CB544" s="12"/>
    </row>
    <row r="545" spans="1:80" x14ac:dyDescent="0.2">
      <c r="A545" s="96">
        <v>1959</v>
      </c>
      <c r="B545" s="99">
        <v>5</v>
      </c>
      <c r="C545" s="99">
        <v>15</v>
      </c>
      <c r="D545" s="99">
        <v>25</v>
      </c>
      <c r="E545" s="99">
        <v>35</v>
      </c>
      <c r="F545" s="99">
        <v>40</v>
      </c>
      <c r="G545" s="96">
        <v>55</v>
      </c>
      <c r="H545" s="96">
        <v>80</v>
      </c>
      <c r="I545" s="96" t="s">
        <v>29</v>
      </c>
      <c r="J545" s="93"/>
      <c r="K545" s="93">
        <v>2058</v>
      </c>
      <c r="L545" s="103">
        <v>25</v>
      </c>
      <c r="M545" s="103">
        <v>35</v>
      </c>
      <c r="N545" s="103">
        <v>45</v>
      </c>
      <c r="O545" s="93">
        <v>55</v>
      </c>
      <c r="P545" s="93">
        <v>65</v>
      </c>
      <c r="Q545" s="93">
        <v>85</v>
      </c>
      <c r="R545" s="93">
        <v>100</v>
      </c>
      <c r="S545" s="93" t="s">
        <v>29</v>
      </c>
      <c r="T545" s="93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CA545" s="12"/>
      <c r="CB545" s="12"/>
    </row>
    <row r="546" spans="1:80" x14ac:dyDescent="0.2">
      <c r="A546" s="96">
        <v>2000</v>
      </c>
      <c r="B546" s="99">
        <v>5</v>
      </c>
      <c r="C546" s="99">
        <v>15</v>
      </c>
      <c r="D546" s="99">
        <v>25</v>
      </c>
      <c r="E546" s="99">
        <v>35</v>
      </c>
      <c r="F546" s="99">
        <v>40</v>
      </c>
      <c r="G546" s="96">
        <v>55</v>
      </c>
      <c r="H546" s="96">
        <v>80</v>
      </c>
      <c r="I546" s="96" t="s">
        <v>29</v>
      </c>
      <c r="J546" s="93"/>
      <c r="K546" s="93">
        <v>2059</v>
      </c>
      <c r="L546" s="103">
        <v>25</v>
      </c>
      <c r="M546" s="103">
        <v>35</v>
      </c>
      <c r="N546" s="103">
        <v>45</v>
      </c>
      <c r="O546" s="93">
        <v>55</v>
      </c>
      <c r="P546" s="93">
        <v>65</v>
      </c>
      <c r="Q546" s="93">
        <v>85</v>
      </c>
      <c r="R546" s="93">
        <v>100</v>
      </c>
      <c r="S546" s="93" t="s">
        <v>29</v>
      </c>
      <c r="T546" s="93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CA546" s="12"/>
      <c r="CB546" s="12"/>
    </row>
    <row r="547" spans="1:80" x14ac:dyDescent="0.2">
      <c r="A547" s="96">
        <v>2001</v>
      </c>
      <c r="B547" s="99">
        <v>0</v>
      </c>
      <c r="C547" s="99">
        <v>10</v>
      </c>
      <c r="D547" s="99">
        <v>20</v>
      </c>
      <c r="E547" s="99">
        <v>30</v>
      </c>
      <c r="F547" s="99">
        <v>40</v>
      </c>
      <c r="G547" s="96">
        <v>50</v>
      </c>
      <c r="H547" s="96">
        <v>80</v>
      </c>
      <c r="I547" s="96" t="s">
        <v>29</v>
      </c>
      <c r="J547" s="93"/>
      <c r="K547" s="93">
        <v>2100</v>
      </c>
      <c r="L547" s="103">
        <v>25</v>
      </c>
      <c r="M547" s="103">
        <v>35</v>
      </c>
      <c r="N547" s="103">
        <v>45</v>
      </c>
      <c r="O547" s="93">
        <v>55</v>
      </c>
      <c r="P547" s="93">
        <v>65</v>
      </c>
      <c r="Q547" s="93">
        <v>85</v>
      </c>
      <c r="R547" s="93">
        <v>100</v>
      </c>
      <c r="S547" s="93" t="s">
        <v>29</v>
      </c>
      <c r="T547" s="93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CA547" s="12"/>
      <c r="CB547" s="12"/>
    </row>
    <row r="548" spans="1:80" x14ac:dyDescent="0.2">
      <c r="A548" s="96">
        <v>2002</v>
      </c>
      <c r="B548" s="99">
        <v>0</v>
      </c>
      <c r="C548" s="99">
        <v>10</v>
      </c>
      <c r="D548" s="99">
        <v>20</v>
      </c>
      <c r="E548" s="99">
        <v>30</v>
      </c>
      <c r="F548" s="99">
        <v>40</v>
      </c>
      <c r="G548" s="96">
        <v>50</v>
      </c>
      <c r="H548" s="96">
        <v>80</v>
      </c>
      <c r="I548" s="96" t="s">
        <v>29</v>
      </c>
      <c r="J548" s="93"/>
      <c r="K548" s="93">
        <v>2101</v>
      </c>
      <c r="L548" s="103">
        <v>20</v>
      </c>
      <c r="M548" s="103">
        <v>30</v>
      </c>
      <c r="N548" s="103">
        <v>40</v>
      </c>
      <c r="O548" s="93">
        <v>50</v>
      </c>
      <c r="P548" s="93">
        <v>60</v>
      </c>
      <c r="Q548" s="93">
        <v>85</v>
      </c>
      <c r="R548" s="93">
        <v>100</v>
      </c>
      <c r="S548" s="93" t="s">
        <v>29</v>
      </c>
      <c r="T548" s="93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CA548" s="12"/>
      <c r="CB548" s="12"/>
    </row>
    <row r="549" spans="1:80" x14ac:dyDescent="0.2">
      <c r="A549" s="96">
        <v>2003</v>
      </c>
      <c r="B549" s="99">
        <v>0</v>
      </c>
      <c r="C549" s="99">
        <v>10</v>
      </c>
      <c r="D549" s="99">
        <v>20</v>
      </c>
      <c r="E549" s="99">
        <v>30</v>
      </c>
      <c r="F549" s="99">
        <v>40</v>
      </c>
      <c r="G549" s="96">
        <v>50</v>
      </c>
      <c r="H549" s="96">
        <v>80</v>
      </c>
      <c r="I549" s="96" t="s">
        <v>29</v>
      </c>
      <c r="J549" s="93"/>
      <c r="K549" s="93">
        <v>2102</v>
      </c>
      <c r="L549" s="103">
        <v>20</v>
      </c>
      <c r="M549" s="103">
        <v>30</v>
      </c>
      <c r="N549" s="103">
        <v>40</v>
      </c>
      <c r="O549" s="93">
        <v>50</v>
      </c>
      <c r="P549" s="93">
        <v>60</v>
      </c>
      <c r="Q549" s="93">
        <v>85</v>
      </c>
      <c r="R549" s="93">
        <v>100</v>
      </c>
      <c r="S549" s="93" t="s">
        <v>29</v>
      </c>
      <c r="T549" s="93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CA549" s="12"/>
      <c r="CB549" s="12"/>
    </row>
    <row r="550" spans="1:80" x14ac:dyDescent="0.2">
      <c r="A550" s="96">
        <v>2004</v>
      </c>
      <c r="B550" s="99">
        <v>0</v>
      </c>
      <c r="C550" s="99">
        <v>10</v>
      </c>
      <c r="D550" s="99">
        <v>20</v>
      </c>
      <c r="E550" s="99">
        <v>30</v>
      </c>
      <c r="F550" s="99">
        <v>40</v>
      </c>
      <c r="G550" s="96">
        <v>50</v>
      </c>
      <c r="H550" s="96">
        <v>80</v>
      </c>
      <c r="I550" s="96" t="s">
        <v>29</v>
      </c>
      <c r="J550" s="93"/>
      <c r="K550" s="93">
        <v>2103</v>
      </c>
      <c r="L550" s="103">
        <v>20</v>
      </c>
      <c r="M550" s="103">
        <v>30</v>
      </c>
      <c r="N550" s="103">
        <v>40</v>
      </c>
      <c r="O550" s="93">
        <v>50</v>
      </c>
      <c r="P550" s="93">
        <v>60</v>
      </c>
      <c r="Q550" s="93">
        <v>85</v>
      </c>
      <c r="R550" s="93">
        <v>100</v>
      </c>
      <c r="S550" s="93" t="s">
        <v>29</v>
      </c>
      <c r="T550" s="93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CA550" s="12"/>
      <c r="CB550" s="12"/>
    </row>
    <row r="551" spans="1:80" x14ac:dyDescent="0.2">
      <c r="A551" s="96">
        <v>2005</v>
      </c>
      <c r="B551" s="99">
        <v>0</v>
      </c>
      <c r="C551" s="99">
        <v>10</v>
      </c>
      <c r="D551" s="99">
        <v>20</v>
      </c>
      <c r="E551" s="99">
        <v>30</v>
      </c>
      <c r="F551" s="99">
        <v>40</v>
      </c>
      <c r="G551" s="96">
        <v>50</v>
      </c>
      <c r="H551" s="96">
        <v>80</v>
      </c>
      <c r="I551" s="96" t="s">
        <v>29</v>
      </c>
      <c r="J551" s="93"/>
      <c r="K551" s="93">
        <v>2104</v>
      </c>
      <c r="L551" s="103">
        <v>20</v>
      </c>
      <c r="M551" s="103">
        <v>30</v>
      </c>
      <c r="N551" s="103">
        <v>40</v>
      </c>
      <c r="O551" s="93">
        <v>50</v>
      </c>
      <c r="P551" s="93">
        <v>60</v>
      </c>
      <c r="Q551" s="93">
        <v>85</v>
      </c>
      <c r="R551" s="93">
        <v>100</v>
      </c>
      <c r="S551" s="93" t="s">
        <v>29</v>
      </c>
      <c r="T551" s="93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CA551" s="12"/>
      <c r="CB551" s="12"/>
    </row>
    <row r="552" spans="1:80" x14ac:dyDescent="0.2">
      <c r="A552" s="96">
        <v>2006</v>
      </c>
      <c r="B552" s="99">
        <v>0</v>
      </c>
      <c r="C552" s="99">
        <v>10</v>
      </c>
      <c r="D552" s="99">
        <v>20</v>
      </c>
      <c r="E552" s="99">
        <v>30</v>
      </c>
      <c r="F552" s="99">
        <v>40</v>
      </c>
      <c r="G552" s="96">
        <v>50</v>
      </c>
      <c r="H552" s="96">
        <v>80</v>
      </c>
      <c r="I552" s="96" t="s">
        <v>29</v>
      </c>
      <c r="J552" s="93"/>
      <c r="K552" s="93">
        <v>2105</v>
      </c>
      <c r="L552" s="103">
        <v>20</v>
      </c>
      <c r="M552" s="103">
        <v>30</v>
      </c>
      <c r="N552" s="103">
        <v>40</v>
      </c>
      <c r="O552" s="93">
        <v>50</v>
      </c>
      <c r="P552" s="93">
        <v>60</v>
      </c>
      <c r="Q552" s="93">
        <v>85</v>
      </c>
      <c r="R552" s="93">
        <v>100</v>
      </c>
      <c r="S552" s="93" t="s">
        <v>29</v>
      </c>
      <c r="T552" s="93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CA552" s="12"/>
      <c r="CB552" s="12"/>
    </row>
    <row r="553" spans="1:80" x14ac:dyDescent="0.2">
      <c r="A553" s="96">
        <v>2007</v>
      </c>
      <c r="B553" s="99">
        <v>0</v>
      </c>
      <c r="C553" s="99">
        <v>10</v>
      </c>
      <c r="D553" s="99">
        <v>20</v>
      </c>
      <c r="E553" s="99">
        <v>30</v>
      </c>
      <c r="F553" s="99">
        <v>40</v>
      </c>
      <c r="G553" s="96">
        <v>50</v>
      </c>
      <c r="H553" s="96">
        <v>80</v>
      </c>
      <c r="I553" s="96" t="s">
        <v>29</v>
      </c>
      <c r="J553" s="93"/>
      <c r="K553" s="93">
        <v>2106</v>
      </c>
      <c r="L553" s="103">
        <v>20</v>
      </c>
      <c r="M553" s="103">
        <v>30</v>
      </c>
      <c r="N553" s="103">
        <v>40</v>
      </c>
      <c r="O553" s="93">
        <v>50</v>
      </c>
      <c r="P553" s="93">
        <v>60</v>
      </c>
      <c r="Q553" s="93">
        <v>85</v>
      </c>
      <c r="R553" s="93">
        <v>100</v>
      </c>
      <c r="S553" s="93" t="s">
        <v>29</v>
      </c>
      <c r="T553" s="93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CA553" s="12"/>
      <c r="CB553" s="12"/>
    </row>
    <row r="554" spans="1:80" x14ac:dyDescent="0.2">
      <c r="A554" s="96">
        <v>2008</v>
      </c>
      <c r="B554" s="99">
        <v>0</v>
      </c>
      <c r="C554" s="99">
        <v>10</v>
      </c>
      <c r="D554" s="99">
        <v>20</v>
      </c>
      <c r="E554" s="99">
        <v>30</v>
      </c>
      <c r="F554" s="99">
        <v>40</v>
      </c>
      <c r="G554" s="96">
        <v>50</v>
      </c>
      <c r="H554" s="96">
        <v>80</v>
      </c>
      <c r="I554" s="96" t="s">
        <v>29</v>
      </c>
      <c r="J554" s="93"/>
      <c r="K554" s="93">
        <v>2107</v>
      </c>
      <c r="L554" s="103">
        <v>20</v>
      </c>
      <c r="M554" s="103">
        <v>30</v>
      </c>
      <c r="N554" s="103">
        <v>40</v>
      </c>
      <c r="O554" s="93">
        <v>50</v>
      </c>
      <c r="P554" s="93">
        <v>60</v>
      </c>
      <c r="Q554" s="93">
        <v>85</v>
      </c>
      <c r="R554" s="93">
        <v>100</v>
      </c>
      <c r="S554" s="93" t="s">
        <v>29</v>
      </c>
      <c r="T554" s="93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CA554" s="12"/>
      <c r="CB554" s="12"/>
    </row>
    <row r="555" spans="1:80" x14ac:dyDescent="0.2">
      <c r="A555" s="96">
        <v>2009</v>
      </c>
      <c r="B555" s="99">
        <v>0</v>
      </c>
      <c r="C555" s="99">
        <v>10</v>
      </c>
      <c r="D555" s="99">
        <v>20</v>
      </c>
      <c r="E555" s="99">
        <v>30</v>
      </c>
      <c r="F555" s="99">
        <v>40</v>
      </c>
      <c r="G555" s="96">
        <v>50</v>
      </c>
      <c r="H555" s="96">
        <v>80</v>
      </c>
      <c r="I555" s="96" t="s">
        <v>29</v>
      </c>
      <c r="J555" s="93"/>
      <c r="K555" s="93">
        <v>2108</v>
      </c>
      <c r="L555" s="103">
        <v>20</v>
      </c>
      <c r="M555" s="103">
        <v>30</v>
      </c>
      <c r="N555" s="103">
        <v>40</v>
      </c>
      <c r="O555" s="93">
        <v>50</v>
      </c>
      <c r="P555" s="93">
        <v>60</v>
      </c>
      <c r="Q555" s="93">
        <v>85</v>
      </c>
      <c r="R555" s="93">
        <v>100</v>
      </c>
      <c r="S555" s="93" t="s">
        <v>29</v>
      </c>
      <c r="T555" s="93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CA555" s="12"/>
      <c r="CB555" s="12"/>
    </row>
    <row r="556" spans="1:80" x14ac:dyDescent="0.2">
      <c r="A556" s="96">
        <v>2010</v>
      </c>
      <c r="B556" s="99">
        <v>0</v>
      </c>
      <c r="C556" s="99">
        <v>10</v>
      </c>
      <c r="D556" s="99">
        <v>20</v>
      </c>
      <c r="E556" s="99">
        <v>30</v>
      </c>
      <c r="F556" s="99">
        <v>40</v>
      </c>
      <c r="G556" s="96">
        <v>50</v>
      </c>
      <c r="H556" s="96">
        <v>80</v>
      </c>
      <c r="I556" s="96" t="s">
        <v>29</v>
      </c>
      <c r="J556" s="93"/>
      <c r="K556" s="93">
        <v>2109</v>
      </c>
      <c r="L556" s="103">
        <v>20</v>
      </c>
      <c r="M556" s="103">
        <v>30</v>
      </c>
      <c r="N556" s="103">
        <v>40</v>
      </c>
      <c r="O556" s="93">
        <v>50</v>
      </c>
      <c r="P556" s="93">
        <v>60</v>
      </c>
      <c r="Q556" s="93">
        <v>85</v>
      </c>
      <c r="R556" s="93">
        <v>100</v>
      </c>
      <c r="S556" s="93" t="s">
        <v>29</v>
      </c>
      <c r="T556" s="93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CA556" s="12"/>
      <c r="CB556" s="12"/>
    </row>
    <row r="557" spans="1:80" x14ac:dyDescent="0.2">
      <c r="A557" s="96">
        <v>2011</v>
      </c>
      <c r="B557" s="99">
        <v>0</v>
      </c>
      <c r="C557" s="99">
        <v>10</v>
      </c>
      <c r="D557" s="99">
        <v>20</v>
      </c>
      <c r="E557" s="99">
        <v>30</v>
      </c>
      <c r="F557" s="99">
        <v>35</v>
      </c>
      <c r="G557" s="99">
        <v>45</v>
      </c>
      <c r="H557" s="96">
        <v>75</v>
      </c>
      <c r="I557" s="96" t="s">
        <v>29</v>
      </c>
      <c r="J557" s="93"/>
      <c r="K557" s="93">
        <v>2110</v>
      </c>
      <c r="L557" s="103">
        <v>20</v>
      </c>
      <c r="M557" s="103">
        <v>30</v>
      </c>
      <c r="N557" s="103">
        <v>40</v>
      </c>
      <c r="O557" s="93">
        <v>50</v>
      </c>
      <c r="P557" s="93">
        <v>60</v>
      </c>
      <c r="Q557" s="93">
        <v>85</v>
      </c>
      <c r="R557" s="93">
        <v>100</v>
      </c>
      <c r="S557" s="93" t="s">
        <v>29</v>
      </c>
      <c r="T557" s="93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CA557" s="12"/>
      <c r="CB557" s="12"/>
    </row>
    <row r="558" spans="1:80" x14ac:dyDescent="0.2">
      <c r="A558" s="96">
        <v>2012</v>
      </c>
      <c r="B558" s="99">
        <v>0</v>
      </c>
      <c r="C558" s="99">
        <v>10</v>
      </c>
      <c r="D558" s="99">
        <v>20</v>
      </c>
      <c r="E558" s="99">
        <v>30</v>
      </c>
      <c r="F558" s="99">
        <v>35</v>
      </c>
      <c r="G558" s="99">
        <v>45</v>
      </c>
      <c r="H558" s="96">
        <v>75</v>
      </c>
      <c r="I558" s="96" t="s">
        <v>29</v>
      </c>
      <c r="J558" s="93"/>
      <c r="K558" s="93">
        <v>2111</v>
      </c>
      <c r="L558" s="103">
        <v>20</v>
      </c>
      <c r="M558" s="103">
        <v>30</v>
      </c>
      <c r="N558" s="103">
        <v>40</v>
      </c>
      <c r="O558" s="93">
        <v>50</v>
      </c>
      <c r="P558" s="93">
        <v>60</v>
      </c>
      <c r="Q558" s="93">
        <v>80</v>
      </c>
      <c r="R558" s="93">
        <v>100</v>
      </c>
      <c r="S558" s="93" t="s">
        <v>29</v>
      </c>
      <c r="T558" s="93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CA558" s="12"/>
      <c r="CB558" s="12"/>
    </row>
    <row r="559" spans="1:80" x14ac:dyDescent="0.2">
      <c r="A559" s="96">
        <v>2013</v>
      </c>
      <c r="B559" s="99">
        <v>0</v>
      </c>
      <c r="C559" s="99">
        <v>10</v>
      </c>
      <c r="D559" s="99">
        <v>20</v>
      </c>
      <c r="E559" s="99">
        <v>30</v>
      </c>
      <c r="F559" s="99">
        <v>35</v>
      </c>
      <c r="G559" s="99">
        <v>45</v>
      </c>
      <c r="H559" s="96">
        <v>75</v>
      </c>
      <c r="I559" s="96" t="s">
        <v>29</v>
      </c>
      <c r="J559" s="93"/>
      <c r="K559" s="93">
        <v>2112</v>
      </c>
      <c r="L559" s="103">
        <v>20</v>
      </c>
      <c r="M559" s="103">
        <v>30</v>
      </c>
      <c r="N559" s="103">
        <v>40</v>
      </c>
      <c r="O559" s="93">
        <v>50</v>
      </c>
      <c r="P559" s="93">
        <v>60</v>
      </c>
      <c r="Q559" s="93">
        <v>80</v>
      </c>
      <c r="R559" s="93">
        <v>100</v>
      </c>
      <c r="S559" s="93" t="s">
        <v>29</v>
      </c>
      <c r="T559" s="93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CA559" s="12"/>
      <c r="CB559" s="12"/>
    </row>
    <row r="560" spans="1:80" x14ac:dyDescent="0.2">
      <c r="A560" s="96">
        <v>2014</v>
      </c>
      <c r="B560" s="99">
        <v>0</v>
      </c>
      <c r="C560" s="99">
        <v>10</v>
      </c>
      <c r="D560" s="99">
        <v>20</v>
      </c>
      <c r="E560" s="99">
        <v>30</v>
      </c>
      <c r="F560" s="99">
        <v>35</v>
      </c>
      <c r="G560" s="99">
        <v>45</v>
      </c>
      <c r="H560" s="96">
        <v>75</v>
      </c>
      <c r="I560" s="96" t="s">
        <v>29</v>
      </c>
      <c r="J560" s="93"/>
      <c r="K560" s="93">
        <v>2113</v>
      </c>
      <c r="L560" s="103">
        <v>20</v>
      </c>
      <c r="M560" s="103">
        <v>30</v>
      </c>
      <c r="N560" s="103">
        <v>40</v>
      </c>
      <c r="O560" s="93">
        <v>50</v>
      </c>
      <c r="P560" s="93">
        <v>60</v>
      </c>
      <c r="Q560" s="93">
        <v>80</v>
      </c>
      <c r="R560" s="93">
        <v>100</v>
      </c>
      <c r="S560" s="93" t="s">
        <v>29</v>
      </c>
      <c r="T560" s="93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CA560" s="12"/>
      <c r="CB560" s="12"/>
    </row>
    <row r="561" spans="1:80" x14ac:dyDescent="0.2">
      <c r="A561" s="96">
        <v>2015</v>
      </c>
      <c r="B561" s="99">
        <v>0</v>
      </c>
      <c r="C561" s="99">
        <v>10</v>
      </c>
      <c r="D561" s="99">
        <v>20</v>
      </c>
      <c r="E561" s="99">
        <v>30</v>
      </c>
      <c r="F561" s="99">
        <v>35</v>
      </c>
      <c r="G561" s="99">
        <v>45</v>
      </c>
      <c r="H561" s="96">
        <v>75</v>
      </c>
      <c r="I561" s="96" t="s">
        <v>29</v>
      </c>
      <c r="J561" s="93"/>
      <c r="K561" s="93">
        <v>2114</v>
      </c>
      <c r="L561" s="103">
        <v>20</v>
      </c>
      <c r="M561" s="103">
        <v>30</v>
      </c>
      <c r="N561" s="103">
        <v>40</v>
      </c>
      <c r="O561" s="93">
        <v>50</v>
      </c>
      <c r="P561" s="93">
        <v>60</v>
      </c>
      <c r="Q561" s="93">
        <v>80</v>
      </c>
      <c r="R561" s="93">
        <v>100</v>
      </c>
      <c r="S561" s="93" t="s">
        <v>29</v>
      </c>
      <c r="T561" s="93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CA561" s="12"/>
      <c r="CB561" s="12"/>
    </row>
    <row r="562" spans="1:80" x14ac:dyDescent="0.2">
      <c r="A562" s="96">
        <v>2016</v>
      </c>
      <c r="B562" s="99">
        <v>0</v>
      </c>
      <c r="C562" s="99">
        <v>10</v>
      </c>
      <c r="D562" s="99">
        <v>20</v>
      </c>
      <c r="E562" s="99">
        <v>30</v>
      </c>
      <c r="F562" s="99">
        <v>35</v>
      </c>
      <c r="G562" s="99">
        <v>45</v>
      </c>
      <c r="H562" s="96">
        <v>75</v>
      </c>
      <c r="I562" s="96" t="s">
        <v>29</v>
      </c>
      <c r="J562" s="93"/>
      <c r="K562" s="93">
        <v>2115</v>
      </c>
      <c r="L562" s="103">
        <v>20</v>
      </c>
      <c r="M562" s="103">
        <v>30</v>
      </c>
      <c r="N562" s="103">
        <v>40</v>
      </c>
      <c r="O562" s="93">
        <v>50</v>
      </c>
      <c r="P562" s="93">
        <v>60</v>
      </c>
      <c r="Q562" s="93">
        <v>80</v>
      </c>
      <c r="R562" s="93">
        <v>100</v>
      </c>
      <c r="S562" s="93" t="s">
        <v>29</v>
      </c>
      <c r="T562" s="93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CA562" s="12"/>
      <c r="CB562" s="12"/>
    </row>
    <row r="563" spans="1:80" x14ac:dyDescent="0.2">
      <c r="A563" s="96">
        <v>2017</v>
      </c>
      <c r="B563" s="99">
        <v>0</v>
      </c>
      <c r="C563" s="99">
        <v>10</v>
      </c>
      <c r="D563" s="99">
        <v>20</v>
      </c>
      <c r="E563" s="99">
        <v>30</v>
      </c>
      <c r="F563" s="99">
        <v>35</v>
      </c>
      <c r="G563" s="99">
        <v>45</v>
      </c>
      <c r="H563" s="96">
        <v>75</v>
      </c>
      <c r="I563" s="96" t="s">
        <v>29</v>
      </c>
      <c r="J563" s="93"/>
      <c r="K563" s="93">
        <v>2116</v>
      </c>
      <c r="L563" s="103">
        <v>20</v>
      </c>
      <c r="M563" s="103">
        <v>30</v>
      </c>
      <c r="N563" s="103">
        <v>40</v>
      </c>
      <c r="O563" s="93">
        <v>50</v>
      </c>
      <c r="P563" s="93">
        <v>60</v>
      </c>
      <c r="Q563" s="93">
        <v>80</v>
      </c>
      <c r="R563" s="93">
        <v>100</v>
      </c>
      <c r="S563" s="93" t="s">
        <v>29</v>
      </c>
      <c r="T563" s="93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CA563" s="12"/>
      <c r="CB563" s="12"/>
    </row>
    <row r="564" spans="1:80" x14ac:dyDescent="0.2">
      <c r="A564" s="96">
        <v>2018</v>
      </c>
      <c r="B564" s="99">
        <v>0</v>
      </c>
      <c r="C564" s="99">
        <v>10</v>
      </c>
      <c r="D564" s="99">
        <v>20</v>
      </c>
      <c r="E564" s="99">
        <v>30</v>
      </c>
      <c r="F564" s="99">
        <v>35</v>
      </c>
      <c r="G564" s="99">
        <v>45</v>
      </c>
      <c r="H564" s="96">
        <v>75</v>
      </c>
      <c r="I564" s="96" t="s">
        <v>29</v>
      </c>
      <c r="J564" s="93"/>
      <c r="K564" s="93">
        <v>2117</v>
      </c>
      <c r="L564" s="103">
        <v>20</v>
      </c>
      <c r="M564" s="103">
        <v>30</v>
      </c>
      <c r="N564" s="103">
        <v>40</v>
      </c>
      <c r="O564" s="93">
        <v>50</v>
      </c>
      <c r="P564" s="93">
        <v>60</v>
      </c>
      <c r="Q564" s="93">
        <v>80</v>
      </c>
      <c r="R564" s="93">
        <v>100</v>
      </c>
      <c r="S564" s="93" t="s">
        <v>29</v>
      </c>
      <c r="T564" s="93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CA564" s="12"/>
      <c r="CB564" s="12"/>
    </row>
    <row r="565" spans="1:80" x14ac:dyDescent="0.2">
      <c r="A565" s="96">
        <v>2019</v>
      </c>
      <c r="B565" s="99">
        <v>0</v>
      </c>
      <c r="C565" s="99">
        <v>10</v>
      </c>
      <c r="D565" s="99">
        <v>20</v>
      </c>
      <c r="E565" s="99">
        <v>30</v>
      </c>
      <c r="F565" s="99">
        <v>35</v>
      </c>
      <c r="G565" s="99">
        <v>45</v>
      </c>
      <c r="H565" s="96">
        <v>75</v>
      </c>
      <c r="I565" s="96" t="s">
        <v>29</v>
      </c>
      <c r="J565" s="93"/>
      <c r="K565" s="93">
        <v>2118</v>
      </c>
      <c r="L565" s="103">
        <v>20</v>
      </c>
      <c r="M565" s="103">
        <v>30</v>
      </c>
      <c r="N565" s="103">
        <v>40</v>
      </c>
      <c r="O565" s="93">
        <v>50</v>
      </c>
      <c r="P565" s="93">
        <v>60</v>
      </c>
      <c r="Q565" s="93">
        <v>80</v>
      </c>
      <c r="R565" s="93">
        <v>100</v>
      </c>
      <c r="S565" s="93" t="s">
        <v>29</v>
      </c>
      <c r="T565" s="93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CA565" s="12"/>
      <c r="CB565" s="12"/>
    </row>
    <row r="566" spans="1:80" x14ac:dyDescent="0.2">
      <c r="A566" s="96">
        <v>2020</v>
      </c>
      <c r="B566" s="99">
        <v>0</v>
      </c>
      <c r="C566" s="99">
        <v>10</v>
      </c>
      <c r="D566" s="99">
        <v>20</v>
      </c>
      <c r="E566" s="99">
        <v>30</v>
      </c>
      <c r="F566" s="99">
        <v>35</v>
      </c>
      <c r="G566" s="99">
        <v>45</v>
      </c>
      <c r="H566" s="96">
        <v>75</v>
      </c>
      <c r="I566" s="96" t="s">
        <v>29</v>
      </c>
      <c r="J566" s="93"/>
      <c r="K566" s="93">
        <v>2119</v>
      </c>
      <c r="L566" s="103">
        <v>20</v>
      </c>
      <c r="M566" s="103">
        <v>30</v>
      </c>
      <c r="N566" s="103">
        <v>40</v>
      </c>
      <c r="O566" s="93">
        <v>50</v>
      </c>
      <c r="P566" s="93">
        <v>60</v>
      </c>
      <c r="Q566" s="93">
        <v>80</v>
      </c>
      <c r="R566" s="93">
        <v>100</v>
      </c>
      <c r="S566" s="93" t="s">
        <v>29</v>
      </c>
      <c r="T566" s="93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CA566" s="12"/>
      <c r="CB566" s="12"/>
    </row>
    <row r="567" spans="1:80" x14ac:dyDescent="0.2">
      <c r="A567" s="96">
        <v>2021</v>
      </c>
      <c r="B567" s="99">
        <v>0</v>
      </c>
      <c r="C567" s="99">
        <v>5</v>
      </c>
      <c r="D567" s="99">
        <v>15</v>
      </c>
      <c r="E567" s="99">
        <v>25</v>
      </c>
      <c r="F567" s="99">
        <v>35</v>
      </c>
      <c r="G567" s="99">
        <v>40</v>
      </c>
      <c r="H567" s="96">
        <v>75</v>
      </c>
      <c r="I567" s="96" t="s">
        <v>29</v>
      </c>
      <c r="J567" s="93"/>
      <c r="K567" s="93">
        <v>2120</v>
      </c>
      <c r="L567" s="103">
        <v>20</v>
      </c>
      <c r="M567" s="103">
        <v>30</v>
      </c>
      <c r="N567" s="103">
        <v>40</v>
      </c>
      <c r="O567" s="93">
        <v>50</v>
      </c>
      <c r="P567" s="93">
        <v>60</v>
      </c>
      <c r="Q567" s="93">
        <v>80</v>
      </c>
      <c r="R567" s="93">
        <v>100</v>
      </c>
      <c r="S567" s="93" t="s">
        <v>29</v>
      </c>
      <c r="T567" s="93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CA567" s="12"/>
      <c r="CB567" s="12"/>
    </row>
    <row r="568" spans="1:80" x14ac:dyDescent="0.2">
      <c r="A568" s="96">
        <v>2022</v>
      </c>
      <c r="B568" s="99">
        <v>0</v>
      </c>
      <c r="C568" s="99">
        <v>5</v>
      </c>
      <c r="D568" s="99">
        <v>15</v>
      </c>
      <c r="E568" s="99">
        <v>25</v>
      </c>
      <c r="F568" s="99">
        <v>35</v>
      </c>
      <c r="G568" s="99">
        <v>40</v>
      </c>
      <c r="H568" s="96">
        <v>75</v>
      </c>
      <c r="I568" s="96" t="s">
        <v>29</v>
      </c>
      <c r="J568" s="93"/>
      <c r="K568" s="93">
        <v>2121</v>
      </c>
      <c r="L568" s="103">
        <v>15</v>
      </c>
      <c r="M568" s="103">
        <v>25</v>
      </c>
      <c r="N568" s="103">
        <v>35</v>
      </c>
      <c r="O568" s="103">
        <v>45</v>
      </c>
      <c r="P568" s="93">
        <v>55</v>
      </c>
      <c r="Q568" s="93">
        <v>80</v>
      </c>
      <c r="R568" s="93">
        <v>100</v>
      </c>
      <c r="S568" s="93" t="s">
        <v>29</v>
      </c>
      <c r="T568" s="93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CA568" s="12"/>
      <c r="CB568" s="12"/>
    </row>
    <row r="569" spans="1:80" x14ac:dyDescent="0.2">
      <c r="A569" s="96">
        <v>2023</v>
      </c>
      <c r="B569" s="99">
        <v>0</v>
      </c>
      <c r="C569" s="99">
        <v>5</v>
      </c>
      <c r="D569" s="99">
        <v>15</v>
      </c>
      <c r="E569" s="99">
        <v>25</v>
      </c>
      <c r="F569" s="99">
        <v>35</v>
      </c>
      <c r="G569" s="99">
        <v>40</v>
      </c>
      <c r="H569" s="96">
        <v>75</v>
      </c>
      <c r="I569" s="96" t="s">
        <v>29</v>
      </c>
      <c r="J569" s="93"/>
      <c r="K569" s="93">
        <v>2122</v>
      </c>
      <c r="L569" s="103">
        <v>15</v>
      </c>
      <c r="M569" s="103">
        <v>25</v>
      </c>
      <c r="N569" s="103">
        <v>35</v>
      </c>
      <c r="O569" s="103">
        <v>45</v>
      </c>
      <c r="P569" s="93">
        <v>55</v>
      </c>
      <c r="Q569" s="93">
        <v>80</v>
      </c>
      <c r="R569" s="93">
        <v>100</v>
      </c>
      <c r="S569" s="93" t="s">
        <v>29</v>
      </c>
      <c r="T569" s="93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CA569" s="12"/>
      <c r="CB569" s="12"/>
    </row>
    <row r="570" spans="1:80" x14ac:dyDescent="0.2">
      <c r="A570" s="96">
        <v>2024</v>
      </c>
      <c r="B570" s="99">
        <v>0</v>
      </c>
      <c r="C570" s="99">
        <v>5</v>
      </c>
      <c r="D570" s="99">
        <v>15</v>
      </c>
      <c r="E570" s="99">
        <v>25</v>
      </c>
      <c r="F570" s="99">
        <v>35</v>
      </c>
      <c r="G570" s="99">
        <v>40</v>
      </c>
      <c r="H570" s="96">
        <v>75</v>
      </c>
      <c r="I570" s="96" t="s">
        <v>29</v>
      </c>
      <c r="J570" s="93"/>
      <c r="K570" s="93">
        <v>2123</v>
      </c>
      <c r="L570" s="103">
        <v>15</v>
      </c>
      <c r="M570" s="103">
        <v>25</v>
      </c>
      <c r="N570" s="103">
        <v>35</v>
      </c>
      <c r="O570" s="103">
        <v>45</v>
      </c>
      <c r="P570" s="93">
        <v>55</v>
      </c>
      <c r="Q570" s="93">
        <v>80</v>
      </c>
      <c r="R570" s="93">
        <v>100</v>
      </c>
      <c r="S570" s="93" t="s">
        <v>29</v>
      </c>
      <c r="T570" s="93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CA570" s="12"/>
      <c r="CB570" s="12"/>
    </row>
    <row r="571" spans="1:80" x14ac:dyDescent="0.2">
      <c r="A571" s="96">
        <v>2025</v>
      </c>
      <c r="B571" s="99">
        <v>0</v>
      </c>
      <c r="C571" s="99">
        <v>5</v>
      </c>
      <c r="D571" s="99">
        <v>15</v>
      </c>
      <c r="E571" s="99">
        <v>25</v>
      </c>
      <c r="F571" s="99">
        <v>35</v>
      </c>
      <c r="G571" s="99">
        <v>40</v>
      </c>
      <c r="H571" s="96">
        <v>75</v>
      </c>
      <c r="I571" s="96" t="s">
        <v>29</v>
      </c>
      <c r="J571" s="93"/>
      <c r="K571" s="93">
        <v>2124</v>
      </c>
      <c r="L571" s="103">
        <v>15</v>
      </c>
      <c r="M571" s="103">
        <v>25</v>
      </c>
      <c r="N571" s="103">
        <v>35</v>
      </c>
      <c r="O571" s="103">
        <v>45</v>
      </c>
      <c r="P571" s="93">
        <v>55</v>
      </c>
      <c r="Q571" s="93">
        <v>80</v>
      </c>
      <c r="R571" s="93">
        <v>100</v>
      </c>
      <c r="S571" s="93" t="s">
        <v>29</v>
      </c>
      <c r="T571" s="93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CA571" s="12"/>
      <c r="CB571" s="12"/>
    </row>
    <row r="572" spans="1:80" x14ac:dyDescent="0.2">
      <c r="A572" s="96">
        <v>2026</v>
      </c>
      <c r="B572" s="99">
        <v>0</v>
      </c>
      <c r="C572" s="99">
        <v>5</v>
      </c>
      <c r="D572" s="99">
        <v>15</v>
      </c>
      <c r="E572" s="99">
        <v>25</v>
      </c>
      <c r="F572" s="99">
        <v>35</v>
      </c>
      <c r="G572" s="99">
        <v>40</v>
      </c>
      <c r="H572" s="96">
        <v>75</v>
      </c>
      <c r="I572" s="96" t="s">
        <v>29</v>
      </c>
      <c r="J572" s="93"/>
      <c r="K572" s="93">
        <v>2125</v>
      </c>
      <c r="L572" s="103">
        <v>15</v>
      </c>
      <c r="M572" s="103">
        <v>25</v>
      </c>
      <c r="N572" s="103">
        <v>35</v>
      </c>
      <c r="O572" s="103">
        <v>45</v>
      </c>
      <c r="P572" s="93">
        <v>55</v>
      </c>
      <c r="Q572" s="93">
        <v>80</v>
      </c>
      <c r="R572" s="93">
        <v>100</v>
      </c>
      <c r="S572" s="93" t="s">
        <v>29</v>
      </c>
      <c r="T572" s="93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CA572" s="12"/>
      <c r="CB572" s="12"/>
    </row>
    <row r="573" spans="1:80" x14ac:dyDescent="0.2">
      <c r="A573" s="96">
        <v>2027</v>
      </c>
      <c r="B573" s="99">
        <v>0</v>
      </c>
      <c r="C573" s="99">
        <v>5</v>
      </c>
      <c r="D573" s="99">
        <v>15</v>
      </c>
      <c r="E573" s="99">
        <v>25</v>
      </c>
      <c r="F573" s="99">
        <v>35</v>
      </c>
      <c r="G573" s="99">
        <v>40</v>
      </c>
      <c r="H573" s="96">
        <v>75</v>
      </c>
      <c r="I573" s="96" t="s">
        <v>29</v>
      </c>
      <c r="J573" s="93"/>
      <c r="K573" s="93">
        <v>2126</v>
      </c>
      <c r="L573" s="103">
        <v>15</v>
      </c>
      <c r="M573" s="103">
        <v>25</v>
      </c>
      <c r="N573" s="103">
        <v>35</v>
      </c>
      <c r="O573" s="103">
        <v>45</v>
      </c>
      <c r="P573" s="93">
        <v>55</v>
      </c>
      <c r="Q573" s="93">
        <v>80</v>
      </c>
      <c r="R573" s="93">
        <v>100</v>
      </c>
      <c r="S573" s="93" t="s">
        <v>29</v>
      </c>
      <c r="T573" s="93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CA573" s="12"/>
      <c r="CB573" s="12"/>
    </row>
    <row r="574" spans="1:80" x14ac:dyDescent="0.2">
      <c r="A574" s="96">
        <v>2028</v>
      </c>
      <c r="B574" s="99">
        <v>0</v>
      </c>
      <c r="C574" s="99">
        <v>5</v>
      </c>
      <c r="D574" s="99">
        <v>15</v>
      </c>
      <c r="E574" s="99">
        <v>25</v>
      </c>
      <c r="F574" s="99">
        <v>35</v>
      </c>
      <c r="G574" s="99">
        <v>40</v>
      </c>
      <c r="H574" s="96">
        <v>75</v>
      </c>
      <c r="I574" s="96" t="s">
        <v>29</v>
      </c>
      <c r="J574" s="93"/>
      <c r="K574" s="93">
        <v>2127</v>
      </c>
      <c r="L574" s="103">
        <v>15</v>
      </c>
      <c r="M574" s="103">
        <v>25</v>
      </c>
      <c r="N574" s="103">
        <v>35</v>
      </c>
      <c r="O574" s="103">
        <v>45</v>
      </c>
      <c r="P574" s="93">
        <v>55</v>
      </c>
      <c r="Q574" s="93">
        <v>80</v>
      </c>
      <c r="R574" s="93">
        <v>100</v>
      </c>
      <c r="S574" s="93" t="s">
        <v>29</v>
      </c>
      <c r="T574" s="93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CA574" s="12"/>
      <c r="CB574" s="12"/>
    </row>
    <row r="575" spans="1:80" x14ac:dyDescent="0.2">
      <c r="A575" s="96">
        <v>2029</v>
      </c>
      <c r="B575" s="99">
        <v>0</v>
      </c>
      <c r="C575" s="99">
        <v>5</v>
      </c>
      <c r="D575" s="99">
        <v>15</v>
      </c>
      <c r="E575" s="99">
        <v>25</v>
      </c>
      <c r="F575" s="99">
        <v>35</v>
      </c>
      <c r="G575" s="99">
        <v>40</v>
      </c>
      <c r="H575" s="96">
        <v>75</v>
      </c>
      <c r="I575" s="96" t="s">
        <v>29</v>
      </c>
      <c r="J575" s="93"/>
      <c r="K575" s="93">
        <v>2128</v>
      </c>
      <c r="L575" s="103">
        <v>15</v>
      </c>
      <c r="M575" s="103">
        <v>25</v>
      </c>
      <c r="N575" s="103">
        <v>35</v>
      </c>
      <c r="O575" s="103">
        <v>45</v>
      </c>
      <c r="P575" s="93">
        <v>55</v>
      </c>
      <c r="Q575" s="93">
        <v>80</v>
      </c>
      <c r="R575" s="93">
        <v>100</v>
      </c>
      <c r="S575" s="93" t="s">
        <v>29</v>
      </c>
      <c r="T575" s="93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CA575" s="12"/>
      <c r="CB575" s="12"/>
    </row>
    <row r="576" spans="1:80" x14ac:dyDescent="0.2">
      <c r="A576" s="96">
        <v>2030</v>
      </c>
      <c r="B576" s="99">
        <v>0</v>
      </c>
      <c r="C576" s="99">
        <v>5</v>
      </c>
      <c r="D576" s="99">
        <v>15</v>
      </c>
      <c r="E576" s="99">
        <v>25</v>
      </c>
      <c r="F576" s="99">
        <v>35</v>
      </c>
      <c r="G576" s="99">
        <v>40</v>
      </c>
      <c r="H576" s="96">
        <v>75</v>
      </c>
      <c r="I576" s="96" t="s">
        <v>29</v>
      </c>
      <c r="J576" s="93"/>
      <c r="K576" s="93">
        <v>2129</v>
      </c>
      <c r="L576" s="103">
        <v>15</v>
      </c>
      <c r="M576" s="103">
        <v>25</v>
      </c>
      <c r="N576" s="103">
        <v>35</v>
      </c>
      <c r="O576" s="103">
        <v>45</v>
      </c>
      <c r="P576" s="93">
        <v>55</v>
      </c>
      <c r="Q576" s="93">
        <v>80</v>
      </c>
      <c r="R576" s="93">
        <v>100</v>
      </c>
      <c r="S576" s="93" t="s">
        <v>29</v>
      </c>
      <c r="T576" s="93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CA576" s="12"/>
      <c r="CB576" s="12"/>
    </row>
    <row r="577" spans="1:80" x14ac:dyDescent="0.2">
      <c r="A577" s="96">
        <v>2031</v>
      </c>
      <c r="B577" s="99">
        <v>0</v>
      </c>
      <c r="C577" s="99">
        <v>5</v>
      </c>
      <c r="D577" s="99">
        <v>15</v>
      </c>
      <c r="E577" s="99">
        <v>25</v>
      </c>
      <c r="F577" s="99">
        <v>30</v>
      </c>
      <c r="G577" s="99">
        <v>40</v>
      </c>
      <c r="H577" s="96">
        <v>70</v>
      </c>
      <c r="I577" s="96" t="s">
        <v>29</v>
      </c>
      <c r="J577" s="93"/>
      <c r="K577" s="93">
        <v>2130</v>
      </c>
      <c r="L577" s="103">
        <v>15</v>
      </c>
      <c r="M577" s="103">
        <v>25</v>
      </c>
      <c r="N577" s="103">
        <v>35</v>
      </c>
      <c r="O577" s="103">
        <v>45</v>
      </c>
      <c r="P577" s="93">
        <v>55</v>
      </c>
      <c r="Q577" s="93">
        <v>80</v>
      </c>
      <c r="R577" s="93">
        <v>100</v>
      </c>
      <c r="S577" s="93" t="s">
        <v>29</v>
      </c>
      <c r="T577" s="93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CA577" s="12"/>
      <c r="CB577" s="12"/>
    </row>
    <row r="578" spans="1:80" x14ac:dyDescent="0.2">
      <c r="A578" s="96">
        <v>2032</v>
      </c>
      <c r="B578" s="99">
        <v>0</v>
      </c>
      <c r="C578" s="99">
        <v>5</v>
      </c>
      <c r="D578" s="99">
        <v>15</v>
      </c>
      <c r="E578" s="99">
        <v>25</v>
      </c>
      <c r="F578" s="99">
        <v>30</v>
      </c>
      <c r="G578" s="99">
        <v>40</v>
      </c>
      <c r="H578" s="96">
        <v>70</v>
      </c>
      <c r="I578" s="96" t="s">
        <v>29</v>
      </c>
      <c r="J578" s="93"/>
      <c r="K578" s="93">
        <v>2131</v>
      </c>
      <c r="L578" s="103">
        <v>15</v>
      </c>
      <c r="M578" s="103">
        <v>25</v>
      </c>
      <c r="N578" s="103">
        <v>35</v>
      </c>
      <c r="O578" s="103">
        <v>45</v>
      </c>
      <c r="P578" s="93">
        <v>55</v>
      </c>
      <c r="Q578" s="93">
        <v>75</v>
      </c>
      <c r="R578" s="93">
        <v>95</v>
      </c>
      <c r="S578" s="93" t="s">
        <v>29</v>
      </c>
      <c r="T578" s="93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CA578" s="12"/>
      <c r="CB578" s="12"/>
    </row>
    <row r="579" spans="1:80" x14ac:dyDescent="0.2">
      <c r="A579" s="96">
        <v>2033</v>
      </c>
      <c r="B579" s="99">
        <v>0</v>
      </c>
      <c r="C579" s="99">
        <v>5</v>
      </c>
      <c r="D579" s="99">
        <v>15</v>
      </c>
      <c r="E579" s="99">
        <v>25</v>
      </c>
      <c r="F579" s="99">
        <v>30</v>
      </c>
      <c r="G579" s="99">
        <v>40</v>
      </c>
      <c r="H579" s="96">
        <v>70</v>
      </c>
      <c r="I579" s="96" t="s">
        <v>29</v>
      </c>
      <c r="J579" s="93"/>
      <c r="K579" s="93">
        <v>2132</v>
      </c>
      <c r="L579" s="103">
        <v>15</v>
      </c>
      <c r="M579" s="103">
        <v>25</v>
      </c>
      <c r="N579" s="103">
        <v>35</v>
      </c>
      <c r="O579" s="103">
        <v>45</v>
      </c>
      <c r="P579" s="93">
        <v>55</v>
      </c>
      <c r="Q579" s="93">
        <v>75</v>
      </c>
      <c r="R579" s="93">
        <v>95</v>
      </c>
      <c r="S579" s="93" t="s">
        <v>29</v>
      </c>
      <c r="T579" s="93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CA579" s="12"/>
      <c r="CB579" s="12"/>
    </row>
    <row r="580" spans="1:80" x14ac:dyDescent="0.2">
      <c r="A580" s="96">
        <v>2034</v>
      </c>
      <c r="B580" s="99">
        <v>0</v>
      </c>
      <c r="C580" s="99">
        <v>5</v>
      </c>
      <c r="D580" s="99">
        <v>15</v>
      </c>
      <c r="E580" s="99">
        <v>25</v>
      </c>
      <c r="F580" s="99">
        <v>30</v>
      </c>
      <c r="G580" s="99">
        <v>40</v>
      </c>
      <c r="H580" s="96">
        <v>70</v>
      </c>
      <c r="I580" s="96" t="s">
        <v>29</v>
      </c>
      <c r="J580" s="93"/>
      <c r="K580" s="93">
        <v>2133</v>
      </c>
      <c r="L580" s="103">
        <v>15</v>
      </c>
      <c r="M580" s="103">
        <v>25</v>
      </c>
      <c r="N580" s="103">
        <v>35</v>
      </c>
      <c r="O580" s="103">
        <v>45</v>
      </c>
      <c r="P580" s="93">
        <v>55</v>
      </c>
      <c r="Q580" s="93">
        <v>75</v>
      </c>
      <c r="R580" s="93">
        <v>95</v>
      </c>
      <c r="S580" s="93" t="s">
        <v>29</v>
      </c>
      <c r="T580" s="93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CA580" s="12"/>
      <c r="CB580" s="12"/>
    </row>
    <row r="581" spans="1:80" x14ac:dyDescent="0.2">
      <c r="A581" s="96">
        <v>2035</v>
      </c>
      <c r="B581" s="99">
        <v>0</v>
      </c>
      <c r="C581" s="99">
        <v>5</v>
      </c>
      <c r="D581" s="99">
        <v>15</v>
      </c>
      <c r="E581" s="99">
        <v>25</v>
      </c>
      <c r="F581" s="99">
        <v>30</v>
      </c>
      <c r="G581" s="99">
        <v>40</v>
      </c>
      <c r="H581" s="96">
        <v>70</v>
      </c>
      <c r="I581" s="96" t="s">
        <v>29</v>
      </c>
      <c r="J581" s="93"/>
      <c r="K581" s="93">
        <v>2134</v>
      </c>
      <c r="L581" s="103">
        <v>15</v>
      </c>
      <c r="M581" s="103">
        <v>25</v>
      </c>
      <c r="N581" s="103">
        <v>35</v>
      </c>
      <c r="O581" s="103">
        <v>45</v>
      </c>
      <c r="P581" s="93">
        <v>55</v>
      </c>
      <c r="Q581" s="93">
        <v>75</v>
      </c>
      <c r="R581" s="93">
        <v>95</v>
      </c>
      <c r="S581" s="93" t="s">
        <v>29</v>
      </c>
      <c r="T581" s="93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CA581" s="12"/>
      <c r="CB581" s="12"/>
    </row>
    <row r="582" spans="1:80" x14ac:dyDescent="0.2">
      <c r="A582" s="96">
        <v>2036</v>
      </c>
      <c r="B582" s="99">
        <v>0</v>
      </c>
      <c r="C582" s="99">
        <v>5</v>
      </c>
      <c r="D582" s="99">
        <v>15</v>
      </c>
      <c r="E582" s="99">
        <v>25</v>
      </c>
      <c r="F582" s="99">
        <v>30</v>
      </c>
      <c r="G582" s="99">
        <v>40</v>
      </c>
      <c r="H582" s="96">
        <v>70</v>
      </c>
      <c r="I582" s="96" t="s">
        <v>29</v>
      </c>
      <c r="J582" s="93"/>
      <c r="K582" s="93">
        <v>2135</v>
      </c>
      <c r="L582" s="103">
        <v>15</v>
      </c>
      <c r="M582" s="103">
        <v>25</v>
      </c>
      <c r="N582" s="103">
        <v>35</v>
      </c>
      <c r="O582" s="103">
        <v>45</v>
      </c>
      <c r="P582" s="93">
        <v>55</v>
      </c>
      <c r="Q582" s="93">
        <v>75</v>
      </c>
      <c r="R582" s="93">
        <v>95</v>
      </c>
      <c r="S582" s="93" t="s">
        <v>29</v>
      </c>
      <c r="T582" s="93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CA582" s="12"/>
      <c r="CB582" s="12"/>
    </row>
    <row r="583" spans="1:80" x14ac:dyDescent="0.2">
      <c r="A583" s="96">
        <v>2037</v>
      </c>
      <c r="B583" s="99">
        <v>0</v>
      </c>
      <c r="C583" s="99">
        <v>5</v>
      </c>
      <c r="D583" s="99">
        <v>15</v>
      </c>
      <c r="E583" s="99">
        <v>25</v>
      </c>
      <c r="F583" s="99">
        <v>30</v>
      </c>
      <c r="G583" s="99">
        <v>40</v>
      </c>
      <c r="H583" s="96">
        <v>70</v>
      </c>
      <c r="I583" s="96" t="s">
        <v>29</v>
      </c>
      <c r="J583" s="93"/>
      <c r="K583" s="93">
        <v>2136</v>
      </c>
      <c r="L583" s="103">
        <v>15</v>
      </c>
      <c r="M583" s="103">
        <v>25</v>
      </c>
      <c r="N583" s="103">
        <v>35</v>
      </c>
      <c r="O583" s="103">
        <v>45</v>
      </c>
      <c r="P583" s="93">
        <v>55</v>
      </c>
      <c r="Q583" s="93">
        <v>75</v>
      </c>
      <c r="R583" s="93">
        <v>95</v>
      </c>
      <c r="S583" s="93" t="s">
        <v>29</v>
      </c>
      <c r="T583" s="93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CA583" s="12"/>
      <c r="CB583" s="12"/>
    </row>
    <row r="584" spans="1:80" x14ac:dyDescent="0.2">
      <c r="A584" s="96">
        <v>2038</v>
      </c>
      <c r="B584" s="99">
        <v>0</v>
      </c>
      <c r="C584" s="99">
        <v>5</v>
      </c>
      <c r="D584" s="99">
        <v>15</v>
      </c>
      <c r="E584" s="99">
        <v>25</v>
      </c>
      <c r="F584" s="99">
        <v>30</v>
      </c>
      <c r="G584" s="99">
        <v>40</v>
      </c>
      <c r="H584" s="96">
        <v>70</v>
      </c>
      <c r="I584" s="96" t="s">
        <v>29</v>
      </c>
      <c r="J584" s="93"/>
      <c r="K584" s="93">
        <v>2137</v>
      </c>
      <c r="L584" s="103">
        <v>15</v>
      </c>
      <c r="M584" s="103">
        <v>25</v>
      </c>
      <c r="N584" s="103">
        <v>35</v>
      </c>
      <c r="O584" s="103">
        <v>45</v>
      </c>
      <c r="P584" s="93">
        <v>55</v>
      </c>
      <c r="Q584" s="93">
        <v>75</v>
      </c>
      <c r="R584" s="93">
        <v>95</v>
      </c>
      <c r="S584" s="93" t="s">
        <v>29</v>
      </c>
      <c r="T584" s="93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CA584" s="12"/>
      <c r="CB584" s="12"/>
    </row>
    <row r="585" spans="1:80" x14ac:dyDescent="0.2">
      <c r="A585" s="96">
        <v>2039</v>
      </c>
      <c r="B585" s="99">
        <v>0</v>
      </c>
      <c r="C585" s="99">
        <v>5</v>
      </c>
      <c r="D585" s="99">
        <v>15</v>
      </c>
      <c r="E585" s="99">
        <v>25</v>
      </c>
      <c r="F585" s="99">
        <v>30</v>
      </c>
      <c r="G585" s="99">
        <v>40</v>
      </c>
      <c r="H585" s="96">
        <v>70</v>
      </c>
      <c r="I585" s="96" t="s">
        <v>29</v>
      </c>
      <c r="J585" s="93"/>
      <c r="K585" s="93">
        <v>2138</v>
      </c>
      <c r="L585" s="103">
        <v>15</v>
      </c>
      <c r="M585" s="103">
        <v>25</v>
      </c>
      <c r="N585" s="103">
        <v>35</v>
      </c>
      <c r="O585" s="103">
        <v>45</v>
      </c>
      <c r="P585" s="93">
        <v>55</v>
      </c>
      <c r="Q585" s="93">
        <v>75</v>
      </c>
      <c r="R585" s="93">
        <v>95</v>
      </c>
      <c r="S585" s="93" t="s">
        <v>29</v>
      </c>
      <c r="T585" s="93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CA585" s="12"/>
      <c r="CB585" s="12"/>
    </row>
    <row r="586" spans="1:80" x14ac:dyDescent="0.2">
      <c r="A586" s="96">
        <v>2040</v>
      </c>
      <c r="B586" s="99">
        <v>0</v>
      </c>
      <c r="C586" s="99">
        <v>5</v>
      </c>
      <c r="D586" s="99">
        <v>15</v>
      </c>
      <c r="E586" s="99">
        <v>25</v>
      </c>
      <c r="F586" s="99">
        <v>30</v>
      </c>
      <c r="G586" s="99">
        <v>40</v>
      </c>
      <c r="H586" s="96">
        <v>70</v>
      </c>
      <c r="I586" s="96" t="s">
        <v>29</v>
      </c>
      <c r="J586" s="93"/>
      <c r="K586" s="93">
        <v>2139</v>
      </c>
      <c r="L586" s="103">
        <v>15</v>
      </c>
      <c r="M586" s="103">
        <v>25</v>
      </c>
      <c r="N586" s="103">
        <v>35</v>
      </c>
      <c r="O586" s="103">
        <v>45</v>
      </c>
      <c r="P586" s="93">
        <v>55</v>
      </c>
      <c r="Q586" s="93">
        <v>75</v>
      </c>
      <c r="R586" s="93">
        <v>95</v>
      </c>
      <c r="S586" s="93" t="s">
        <v>29</v>
      </c>
      <c r="T586" s="93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CA586" s="12"/>
      <c r="CB586" s="12"/>
    </row>
    <row r="587" spans="1:80" x14ac:dyDescent="0.2">
      <c r="A587" s="96">
        <v>2041</v>
      </c>
      <c r="B587" s="99">
        <v>0</v>
      </c>
      <c r="C587" s="99">
        <v>0</v>
      </c>
      <c r="D587" s="99">
        <v>10</v>
      </c>
      <c r="E587" s="99">
        <v>20</v>
      </c>
      <c r="F587" s="99">
        <v>30</v>
      </c>
      <c r="G587" s="99">
        <v>35</v>
      </c>
      <c r="H587" s="96">
        <v>65</v>
      </c>
      <c r="I587" s="96" t="s">
        <v>29</v>
      </c>
      <c r="J587" s="93"/>
      <c r="K587" s="93">
        <v>2140</v>
      </c>
      <c r="L587" s="103">
        <v>15</v>
      </c>
      <c r="M587" s="103">
        <v>25</v>
      </c>
      <c r="N587" s="103">
        <v>35</v>
      </c>
      <c r="O587" s="103">
        <v>45</v>
      </c>
      <c r="P587" s="93">
        <v>55</v>
      </c>
      <c r="Q587" s="93">
        <v>75</v>
      </c>
      <c r="R587" s="93">
        <v>90</v>
      </c>
      <c r="S587" s="93" t="s">
        <v>29</v>
      </c>
      <c r="T587" s="93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CA587" s="12"/>
      <c r="CB587" s="12"/>
    </row>
    <row r="588" spans="1:80" x14ac:dyDescent="0.2">
      <c r="A588" s="96">
        <v>2042</v>
      </c>
      <c r="B588" s="99">
        <v>0</v>
      </c>
      <c r="C588" s="99">
        <v>0</v>
      </c>
      <c r="D588" s="99">
        <v>10</v>
      </c>
      <c r="E588" s="99">
        <v>20</v>
      </c>
      <c r="F588" s="99">
        <v>30</v>
      </c>
      <c r="G588" s="99">
        <v>35</v>
      </c>
      <c r="H588" s="96">
        <v>65</v>
      </c>
      <c r="I588" s="96" t="s">
        <v>29</v>
      </c>
      <c r="J588" s="93"/>
      <c r="K588" s="93">
        <v>2141</v>
      </c>
      <c r="L588" s="103">
        <v>10</v>
      </c>
      <c r="M588" s="103">
        <v>20</v>
      </c>
      <c r="N588" s="103">
        <v>30</v>
      </c>
      <c r="O588" s="103">
        <v>40</v>
      </c>
      <c r="P588" s="93">
        <v>50</v>
      </c>
      <c r="Q588" s="93">
        <v>75</v>
      </c>
      <c r="R588" s="93">
        <v>90</v>
      </c>
      <c r="S588" s="93" t="s">
        <v>29</v>
      </c>
      <c r="T588" s="93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CA588" s="12"/>
      <c r="CB588" s="12"/>
    </row>
    <row r="589" spans="1:80" x14ac:dyDescent="0.2">
      <c r="A589" s="96">
        <v>2043</v>
      </c>
      <c r="B589" s="99">
        <v>0</v>
      </c>
      <c r="C589" s="99">
        <v>0</v>
      </c>
      <c r="D589" s="99">
        <v>10</v>
      </c>
      <c r="E589" s="99">
        <v>20</v>
      </c>
      <c r="F589" s="99">
        <v>30</v>
      </c>
      <c r="G589" s="99">
        <v>35</v>
      </c>
      <c r="H589" s="96">
        <v>65</v>
      </c>
      <c r="I589" s="96" t="s">
        <v>29</v>
      </c>
      <c r="J589" s="93"/>
      <c r="K589" s="93">
        <v>2142</v>
      </c>
      <c r="L589" s="103">
        <v>10</v>
      </c>
      <c r="M589" s="103">
        <v>20</v>
      </c>
      <c r="N589" s="103">
        <v>30</v>
      </c>
      <c r="O589" s="103">
        <v>40</v>
      </c>
      <c r="P589" s="93">
        <v>50</v>
      </c>
      <c r="Q589" s="93">
        <v>75</v>
      </c>
      <c r="R589" s="93">
        <v>90</v>
      </c>
      <c r="S589" s="93" t="s">
        <v>29</v>
      </c>
      <c r="T589" s="93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CA589" s="12"/>
      <c r="CB589" s="12"/>
    </row>
    <row r="590" spans="1:80" x14ac:dyDescent="0.2">
      <c r="A590" s="96">
        <v>2044</v>
      </c>
      <c r="B590" s="99">
        <v>0</v>
      </c>
      <c r="C590" s="99">
        <v>0</v>
      </c>
      <c r="D590" s="99">
        <v>10</v>
      </c>
      <c r="E590" s="99">
        <v>20</v>
      </c>
      <c r="F590" s="99">
        <v>30</v>
      </c>
      <c r="G590" s="99">
        <v>35</v>
      </c>
      <c r="H590" s="96">
        <v>65</v>
      </c>
      <c r="I590" s="96" t="s">
        <v>29</v>
      </c>
      <c r="J590" s="93"/>
      <c r="K590" s="93">
        <v>2143</v>
      </c>
      <c r="L590" s="103">
        <v>10</v>
      </c>
      <c r="M590" s="103">
        <v>20</v>
      </c>
      <c r="N590" s="103">
        <v>30</v>
      </c>
      <c r="O590" s="103">
        <v>40</v>
      </c>
      <c r="P590" s="93">
        <v>50</v>
      </c>
      <c r="Q590" s="93">
        <v>75</v>
      </c>
      <c r="R590" s="93">
        <v>90</v>
      </c>
      <c r="S590" s="93" t="s">
        <v>29</v>
      </c>
      <c r="T590" s="93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CA590" s="12"/>
      <c r="CB590" s="12"/>
    </row>
    <row r="591" spans="1:80" x14ac:dyDescent="0.2">
      <c r="A591" s="96">
        <v>2045</v>
      </c>
      <c r="B591" s="99">
        <v>0</v>
      </c>
      <c r="C591" s="99">
        <v>0</v>
      </c>
      <c r="D591" s="99">
        <v>10</v>
      </c>
      <c r="E591" s="99">
        <v>20</v>
      </c>
      <c r="F591" s="99">
        <v>30</v>
      </c>
      <c r="G591" s="99">
        <v>35</v>
      </c>
      <c r="H591" s="96">
        <v>65</v>
      </c>
      <c r="I591" s="96" t="s">
        <v>29</v>
      </c>
      <c r="J591" s="93"/>
      <c r="K591" s="93">
        <v>2144</v>
      </c>
      <c r="L591" s="103">
        <v>10</v>
      </c>
      <c r="M591" s="103">
        <v>20</v>
      </c>
      <c r="N591" s="103">
        <v>30</v>
      </c>
      <c r="O591" s="103">
        <v>40</v>
      </c>
      <c r="P591" s="93">
        <v>50</v>
      </c>
      <c r="Q591" s="93">
        <v>75</v>
      </c>
      <c r="R591" s="93">
        <v>90</v>
      </c>
      <c r="S591" s="93" t="s">
        <v>29</v>
      </c>
      <c r="T591" s="93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CA591" s="12"/>
      <c r="CB591" s="12"/>
    </row>
    <row r="592" spans="1:80" x14ac:dyDescent="0.2">
      <c r="A592" s="96">
        <v>2046</v>
      </c>
      <c r="B592" s="99">
        <v>0</v>
      </c>
      <c r="C592" s="99">
        <v>0</v>
      </c>
      <c r="D592" s="99">
        <v>10</v>
      </c>
      <c r="E592" s="99">
        <v>20</v>
      </c>
      <c r="F592" s="99">
        <v>30</v>
      </c>
      <c r="G592" s="99">
        <v>35</v>
      </c>
      <c r="H592" s="96">
        <v>65</v>
      </c>
      <c r="I592" s="96" t="s">
        <v>29</v>
      </c>
      <c r="J592" s="93"/>
      <c r="K592" s="93">
        <v>2145</v>
      </c>
      <c r="L592" s="103">
        <v>10</v>
      </c>
      <c r="M592" s="103">
        <v>20</v>
      </c>
      <c r="N592" s="103">
        <v>30</v>
      </c>
      <c r="O592" s="103">
        <v>40</v>
      </c>
      <c r="P592" s="93">
        <v>50</v>
      </c>
      <c r="Q592" s="93">
        <v>75</v>
      </c>
      <c r="R592" s="93">
        <v>90</v>
      </c>
      <c r="S592" s="93" t="s">
        <v>29</v>
      </c>
      <c r="T592" s="93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CA592" s="12"/>
      <c r="CB592" s="12"/>
    </row>
    <row r="593" spans="1:80" x14ac:dyDescent="0.2">
      <c r="A593" s="96">
        <v>2047</v>
      </c>
      <c r="B593" s="99">
        <v>0</v>
      </c>
      <c r="C593" s="99">
        <v>0</v>
      </c>
      <c r="D593" s="99">
        <v>10</v>
      </c>
      <c r="E593" s="99">
        <v>20</v>
      </c>
      <c r="F593" s="99">
        <v>30</v>
      </c>
      <c r="G593" s="99">
        <v>35</v>
      </c>
      <c r="H593" s="96">
        <v>65</v>
      </c>
      <c r="I593" s="96" t="s">
        <v>29</v>
      </c>
      <c r="J593" s="93"/>
      <c r="K593" s="93">
        <v>2146</v>
      </c>
      <c r="L593" s="103">
        <v>10</v>
      </c>
      <c r="M593" s="103">
        <v>20</v>
      </c>
      <c r="N593" s="103">
        <v>30</v>
      </c>
      <c r="O593" s="103">
        <v>40</v>
      </c>
      <c r="P593" s="93">
        <v>50</v>
      </c>
      <c r="Q593" s="93">
        <v>75</v>
      </c>
      <c r="R593" s="93">
        <v>90</v>
      </c>
      <c r="S593" s="93" t="s">
        <v>29</v>
      </c>
      <c r="T593" s="93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CA593" s="12"/>
      <c r="CB593" s="12"/>
    </row>
    <row r="594" spans="1:80" x14ac:dyDescent="0.2">
      <c r="A594" s="96">
        <v>2048</v>
      </c>
      <c r="B594" s="99">
        <v>0</v>
      </c>
      <c r="C594" s="99">
        <v>0</v>
      </c>
      <c r="D594" s="99">
        <v>10</v>
      </c>
      <c r="E594" s="99">
        <v>20</v>
      </c>
      <c r="F594" s="99">
        <v>30</v>
      </c>
      <c r="G594" s="99">
        <v>35</v>
      </c>
      <c r="H594" s="96">
        <v>65</v>
      </c>
      <c r="I594" s="96" t="s">
        <v>29</v>
      </c>
      <c r="J594" s="93"/>
      <c r="K594" s="93">
        <v>2147</v>
      </c>
      <c r="L594" s="103">
        <v>10</v>
      </c>
      <c r="M594" s="103">
        <v>20</v>
      </c>
      <c r="N594" s="103">
        <v>30</v>
      </c>
      <c r="O594" s="103">
        <v>40</v>
      </c>
      <c r="P594" s="93">
        <v>50</v>
      </c>
      <c r="Q594" s="93">
        <v>75</v>
      </c>
      <c r="R594" s="93">
        <v>90</v>
      </c>
      <c r="S594" s="93" t="s">
        <v>29</v>
      </c>
      <c r="T594" s="93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CA594" s="12"/>
      <c r="CB594" s="12"/>
    </row>
    <row r="595" spans="1:80" x14ac:dyDescent="0.2">
      <c r="A595" s="96">
        <v>2049</v>
      </c>
      <c r="B595" s="99">
        <v>0</v>
      </c>
      <c r="C595" s="99">
        <v>0</v>
      </c>
      <c r="D595" s="99">
        <v>10</v>
      </c>
      <c r="E595" s="99">
        <v>20</v>
      </c>
      <c r="F595" s="99">
        <v>30</v>
      </c>
      <c r="G595" s="99">
        <v>35</v>
      </c>
      <c r="H595" s="96">
        <v>65</v>
      </c>
      <c r="I595" s="96" t="s">
        <v>29</v>
      </c>
      <c r="J595" s="93"/>
      <c r="K595" s="93">
        <v>2148</v>
      </c>
      <c r="L595" s="103">
        <v>10</v>
      </c>
      <c r="M595" s="103">
        <v>20</v>
      </c>
      <c r="N595" s="103">
        <v>30</v>
      </c>
      <c r="O595" s="103">
        <v>40</v>
      </c>
      <c r="P595" s="93">
        <v>50</v>
      </c>
      <c r="Q595" s="93">
        <v>75</v>
      </c>
      <c r="R595" s="93">
        <v>90</v>
      </c>
      <c r="S595" s="93" t="s">
        <v>29</v>
      </c>
      <c r="T595" s="93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CA595" s="12"/>
      <c r="CB595" s="12"/>
    </row>
    <row r="596" spans="1:80" x14ac:dyDescent="0.2">
      <c r="A596" s="96">
        <v>2050</v>
      </c>
      <c r="B596" s="99">
        <v>0</v>
      </c>
      <c r="C596" s="99">
        <v>0</v>
      </c>
      <c r="D596" s="99">
        <v>10</v>
      </c>
      <c r="E596" s="99">
        <v>20</v>
      </c>
      <c r="F596" s="99">
        <v>30</v>
      </c>
      <c r="G596" s="99">
        <v>35</v>
      </c>
      <c r="H596" s="96">
        <v>65</v>
      </c>
      <c r="I596" s="96" t="s">
        <v>29</v>
      </c>
      <c r="J596" s="93"/>
      <c r="K596" s="93">
        <v>2149</v>
      </c>
      <c r="L596" s="103">
        <v>10</v>
      </c>
      <c r="M596" s="103">
        <v>20</v>
      </c>
      <c r="N596" s="103">
        <v>30</v>
      </c>
      <c r="O596" s="103">
        <v>40</v>
      </c>
      <c r="P596" s="93">
        <v>50</v>
      </c>
      <c r="Q596" s="93">
        <v>75</v>
      </c>
      <c r="R596" s="93">
        <v>90</v>
      </c>
      <c r="S596" s="93" t="s">
        <v>29</v>
      </c>
      <c r="T596" s="93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CA596" s="12"/>
      <c r="CB596" s="12"/>
    </row>
    <row r="597" spans="1:80" x14ac:dyDescent="0.2">
      <c r="A597" s="96">
        <v>2051</v>
      </c>
      <c r="B597" s="99">
        <v>0</v>
      </c>
      <c r="C597" s="99">
        <v>0</v>
      </c>
      <c r="D597" s="99">
        <v>10</v>
      </c>
      <c r="E597" s="99">
        <v>20</v>
      </c>
      <c r="F597" s="99">
        <v>25</v>
      </c>
      <c r="G597" s="99">
        <v>35</v>
      </c>
      <c r="H597" s="96">
        <v>60</v>
      </c>
      <c r="I597" s="96" t="s">
        <v>29</v>
      </c>
      <c r="J597" s="93"/>
      <c r="K597" s="93">
        <v>2150</v>
      </c>
      <c r="L597" s="103">
        <v>10</v>
      </c>
      <c r="M597" s="103">
        <v>20</v>
      </c>
      <c r="N597" s="103">
        <v>30</v>
      </c>
      <c r="O597" s="103">
        <v>40</v>
      </c>
      <c r="P597" s="93">
        <v>50</v>
      </c>
      <c r="Q597" s="93">
        <v>75</v>
      </c>
      <c r="R597" s="93">
        <v>90</v>
      </c>
      <c r="S597" s="93" t="s">
        <v>29</v>
      </c>
      <c r="T597" s="93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CA597" s="12"/>
      <c r="CB597" s="12"/>
    </row>
    <row r="598" spans="1:80" x14ac:dyDescent="0.2">
      <c r="A598" s="96">
        <v>2052</v>
      </c>
      <c r="B598" s="99">
        <v>0</v>
      </c>
      <c r="C598" s="99">
        <v>0</v>
      </c>
      <c r="D598" s="99">
        <v>10</v>
      </c>
      <c r="E598" s="99">
        <v>20</v>
      </c>
      <c r="F598" s="99">
        <v>25</v>
      </c>
      <c r="G598" s="99">
        <v>35</v>
      </c>
      <c r="H598" s="96">
        <v>60</v>
      </c>
      <c r="I598" s="96" t="s">
        <v>29</v>
      </c>
      <c r="J598" s="93"/>
      <c r="K598" s="93">
        <v>2151</v>
      </c>
      <c r="L598" s="103">
        <v>10</v>
      </c>
      <c r="M598" s="103">
        <v>20</v>
      </c>
      <c r="N598" s="103">
        <v>30</v>
      </c>
      <c r="O598" s="103">
        <v>40</v>
      </c>
      <c r="P598" s="93">
        <v>50</v>
      </c>
      <c r="Q598" s="93">
        <v>70</v>
      </c>
      <c r="R598" s="93">
        <v>90</v>
      </c>
      <c r="S598" s="93" t="s">
        <v>29</v>
      </c>
      <c r="T598" s="93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CA598" s="12"/>
      <c r="CB598" s="12"/>
    </row>
    <row r="599" spans="1:80" x14ac:dyDescent="0.2">
      <c r="A599" s="96">
        <v>2053</v>
      </c>
      <c r="B599" s="99">
        <v>0</v>
      </c>
      <c r="C599" s="99">
        <v>0</v>
      </c>
      <c r="D599" s="99">
        <v>10</v>
      </c>
      <c r="E599" s="99">
        <v>20</v>
      </c>
      <c r="F599" s="99">
        <v>25</v>
      </c>
      <c r="G599" s="99">
        <v>35</v>
      </c>
      <c r="H599" s="96">
        <v>60</v>
      </c>
      <c r="I599" s="96" t="s">
        <v>29</v>
      </c>
      <c r="J599" s="93"/>
      <c r="K599" s="93">
        <v>2152</v>
      </c>
      <c r="L599" s="103">
        <v>10</v>
      </c>
      <c r="M599" s="103">
        <v>20</v>
      </c>
      <c r="N599" s="103">
        <v>30</v>
      </c>
      <c r="O599" s="103">
        <v>40</v>
      </c>
      <c r="P599" s="93">
        <v>50</v>
      </c>
      <c r="Q599" s="93">
        <v>70</v>
      </c>
      <c r="R599" s="93">
        <v>90</v>
      </c>
      <c r="S599" s="93" t="s">
        <v>29</v>
      </c>
      <c r="T599" s="93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CA599" s="12"/>
      <c r="CB599" s="12"/>
    </row>
    <row r="600" spans="1:80" x14ac:dyDescent="0.2">
      <c r="A600" s="96">
        <v>2054</v>
      </c>
      <c r="B600" s="99">
        <v>0</v>
      </c>
      <c r="C600" s="99">
        <v>0</v>
      </c>
      <c r="D600" s="99">
        <v>10</v>
      </c>
      <c r="E600" s="99">
        <v>20</v>
      </c>
      <c r="F600" s="99">
        <v>25</v>
      </c>
      <c r="G600" s="99">
        <v>35</v>
      </c>
      <c r="H600" s="96">
        <v>60</v>
      </c>
      <c r="I600" s="96" t="s">
        <v>29</v>
      </c>
      <c r="J600" s="93"/>
      <c r="K600" s="93">
        <v>2153</v>
      </c>
      <c r="L600" s="103">
        <v>10</v>
      </c>
      <c r="M600" s="103">
        <v>20</v>
      </c>
      <c r="N600" s="103">
        <v>30</v>
      </c>
      <c r="O600" s="103">
        <v>40</v>
      </c>
      <c r="P600" s="93">
        <v>50</v>
      </c>
      <c r="Q600" s="93">
        <v>70</v>
      </c>
      <c r="R600" s="93">
        <v>90</v>
      </c>
      <c r="S600" s="93" t="s">
        <v>29</v>
      </c>
      <c r="T600" s="93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CA600" s="12"/>
      <c r="CB600" s="12"/>
    </row>
    <row r="601" spans="1:80" x14ac:dyDescent="0.2">
      <c r="A601" s="96">
        <v>2055</v>
      </c>
      <c r="B601" s="99">
        <v>0</v>
      </c>
      <c r="C601" s="99">
        <v>0</v>
      </c>
      <c r="D601" s="99">
        <v>10</v>
      </c>
      <c r="E601" s="99">
        <v>20</v>
      </c>
      <c r="F601" s="99">
        <v>25</v>
      </c>
      <c r="G601" s="99">
        <v>35</v>
      </c>
      <c r="H601" s="96">
        <v>60</v>
      </c>
      <c r="I601" s="96" t="s">
        <v>29</v>
      </c>
      <c r="J601" s="93"/>
      <c r="K601" s="93">
        <v>2154</v>
      </c>
      <c r="L601" s="103">
        <v>10</v>
      </c>
      <c r="M601" s="103">
        <v>20</v>
      </c>
      <c r="N601" s="103">
        <v>30</v>
      </c>
      <c r="O601" s="103">
        <v>40</v>
      </c>
      <c r="P601" s="93">
        <v>50</v>
      </c>
      <c r="Q601" s="93">
        <v>70</v>
      </c>
      <c r="R601" s="93">
        <v>90</v>
      </c>
      <c r="S601" s="93" t="s">
        <v>29</v>
      </c>
      <c r="T601" s="93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CA601" s="12"/>
      <c r="CB601" s="12"/>
    </row>
    <row r="602" spans="1:80" x14ac:dyDescent="0.2">
      <c r="A602" s="96">
        <v>2056</v>
      </c>
      <c r="B602" s="99">
        <v>0</v>
      </c>
      <c r="C602" s="99">
        <v>0</v>
      </c>
      <c r="D602" s="99">
        <v>10</v>
      </c>
      <c r="E602" s="99">
        <v>20</v>
      </c>
      <c r="F602" s="99">
        <v>25</v>
      </c>
      <c r="G602" s="99">
        <v>35</v>
      </c>
      <c r="H602" s="96">
        <v>60</v>
      </c>
      <c r="I602" s="96" t="s">
        <v>29</v>
      </c>
      <c r="J602" s="93"/>
      <c r="K602" s="93">
        <v>2155</v>
      </c>
      <c r="L602" s="103">
        <v>10</v>
      </c>
      <c r="M602" s="103">
        <v>20</v>
      </c>
      <c r="N602" s="103">
        <v>30</v>
      </c>
      <c r="O602" s="103">
        <v>40</v>
      </c>
      <c r="P602" s="93">
        <v>50</v>
      </c>
      <c r="Q602" s="93">
        <v>70</v>
      </c>
      <c r="R602" s="93">
        <v>90</v>
      </c>
      <c r="S602" s="93" t="s">
        <v>29</v>
      </c>
      <c r="T602" s="93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CA602" s="12"/>
      <c r="CB602" s="12"/>
    </row>
    <row r="603" spans="1:80" x14ac:dyDescent="0.2">
      <c r="A603" s="96">
        <v>2057</v>
      </c>
      <c r="B603" s="99">
        <v>0</v>
      </c>
      <c r="C603" s="99">
        <v>0</v>
      </c>
      <c r="D603" s="99">
        <v>10</v>
      </c>
      <c r="E603" s="99">
        <v>20</v>
      </c>
      <c r="F603" s="99">
        <v>25</v>
      </c>
      <c r="G603" s="99">
        <v>35</v>
      </c>
      <c r="H603" s="96">
        <v>60</v>
      </c>
      <c r="I603" s="96" t="s">
        <v>29</v>
      </c>
      <c r="J603" s="93"/>
      <c r="K603" s="93">
        <v>2156</v>
      </c>
      <c r="L603" s="103">
        <v>10</v>
      </c>
      <c r="M603" s="103">
        <v>20</v>
      </c>
      <c r="N603" s="103">
        <v>30</v>
      </c>
      <c r="O603" s="103">
        <v>40</v>
      </c>
      <c r="P603" s="93">
        <v>50</v>
      </c>
      <c r="Q603" s="93">
        <v>70</v>
      </c>
      <c r="R603" s="93">
        <v>90</v>
      </c>
      <c r="S603" s="93" t="s">
        <v>29</v>
      </c>
      <c r="T603" s="93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CA603" s="12"/>
      <c r="CB603" s="12"/>
    </row>
    <row r="604" spans="1:80" x14ac:dyDescent="0.2">
      <c r="A604" s="96">
        <v>2058</v>
      </c>
      <c r="B604" s="99">
        <v>0</v>
      </c>
      <c r="C604" s="99">
        <v>0</v>
      </c>
      <c r="D604" s="99">
        <v>10</v>
      </c>
      <c r="E604" s="99">
        <v>20</v>
      </c>
      <c r="F604" s="99">
        <v>25</v>
      </c>
      <c r="G604" s="99">
        <v>35</v>
      </c>
      <c r="H604" s="96">
        <v>60</v>
      </c>
      <c r="I604" s="96" t="s">
        <v>29</v>
      </c>
      <c r="J604" s="93"/>
      <c r="K604" s="93">
        <v>2157</v>
      </c>
      <c r="L604" s="103">
        <v>10</v>
      </c>
      <c r="M604" s="103">
        <v>20</v>
      </c>
      <c r="N604" s="103">
        <v>30</v>
      </c>
      <c r="O604" s="103">
        <v>40</v>
      </c>
      <c r="P604" s="93">
        <v>50</v>
      </c>
      <c r="Q604" s="93">
        <v>70</v>
      </c>
      <c r="R604" s="93">
        <v>90</v>
      </c>
      <c r="S604" s="93" t="s">
        <v>29</v>
      </c>
      <c r="T604" s="93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CA604" s="12"/>
      <c r="CB604" s="12"/>
    </row>
    <row r="605" spans="1:80" x14ac:dyDescent="0.2">
      <c r="A605" s="96">
        <v>2059</v>
      </c>
      <c r="B605" s="99">
        <v>0</v>
      </c>
      <c r="C605" s="99">
        <v>0</v>
      </c>
      <c r="D605" s="99">
        <v>10</v>
      </c>
      <c r="E605" s="99">
        <v>20</v>
      </c>
      <c r="F605" s="99">
        <v>25</v>
      </c>
      <c r="G605" s="99">
        <v>35</v>
      </c>
      <c r="H605" s="96">
        <v>60</v>
      </c>
      <c r="I605" s="96" t="s">
        <v>29</v>
      </c>
      <c r="J605" s="93"/>
      <c r="K605" s="93">
        <v>2158</v>
      </c>
      <c r="L605" s="103">
        <v>10</v>
      </c>
      <c r="M605" s="103">
        <v>20</v>
      </c>
      <c r="N605" s="103">
        <v>30</v>
      </c>
      <c r="O605" s="103">
        <v>40</v>
      </c>
      <c r="P605" s="93">
        <v>50</v>
      </c>
      <c r="Q605" s="93">
        <v>70</v>
      </c>
      <c r="R605" s="93">
        <v>90</v>
      </c>
      <c r="S605" s="93" t="s">
        <v>29</v>
      </c>
      <c r="T605" s="93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CA605" s="12"/>
      <c r="CB605" s="12"/>
    </row>
    <row r="606" spans="1:80" x14ac:dyDescent="0.2">
      <c r="A606" s="96">
        <v>2100</v>
      </c>
      <c r="B606" s="99">
        <v>0</v>
      </c>
      <c r="C606" s="99">
        <v>0</v>
      </c>
      <c r="D606" s="99">
        <v>10</v>
      </c>
      <c r="E606" s="99">
        <v>20</v>
      </c>
      <c r="F606" s="99">
        <v>25</v>
      </c>
      <c r="G606" s="99">
        <v>35</v>
      </c>
      <c r="H606" s="96">
        <v>60</v>
      </c>
      <c r="I606" s="96" t="s">
        <v>29</v>
      </c>
      <c r="J606" s="93"/>
      <c r="K606" s="93">
        <v>2159</v>
      </c>
      <c r="L606" s="103">
        <v>10</v>
      </c>
      <c r="M606" s="103">
        <v>20</v>
      </c>
      <c r="N606" s="103">
        <v>30</v>
      </c>
      <c r="O606" s="103">
        <v>40</v>
      </c>
      <c r="P606" s="93">
        <v>50</v>
      </c>
      <c r="Q606" s="93">
        <v>70</v>
      </c>
      <c r="R606" s="93">
        <v>90</v>
      </c>
      <c r="S606" s="93" t="s">
        <v>29</v>
      </c>
      <c r="T606" s="93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CA606" s="12"/>
      <c r="CB606" s="12"/>
    </row>
    <row r="607" spans="1:80" x14ac:dyDescent="0.2">
      <c r="A607" s="96">
        <v>2101</v>
      </c>
      <c r="B607" s="99">
        <v>0</v>
      </c>
      <c r="C607" s="99">
        <v>0</v>
      </c>
      <c r="D607" s="99">
        <v>5</v>
      </c>
      <c r="E607" s="99">
        <v>15</v>
      </c>
      <c r="F607" s="99">
        <v>25</v>
      </c>
      <c r="G607" s="99">
        <v>30</v>
      </c>
      <c r="H607" s="96">
        <v>55</v>
      </c>
      <c r="I607" s="96" t="s">
        <v>29</v>
      </c>
      <c r="J607" s="93"/>
      <c r="K607" s="93">
        <v>2200</v>
      </c>
      <c r="L607" s="103">
        <v>10</v>
      </c>
      <c r="M607" s="103">
        <v>20</v>
      </c>
      <c r="N607" s="103">
        <v>30</v>
      </c>
      <c r="O607" s="103">
        <v>40</v>
      </c>
      <c r="P607" s="93">
        <v>50</v>
      </c>
      <c r="Q607" s="93">
        <v>70</v>
      </c>
      <c r="R607" s="93">
        <v>90</v>
      </c>
      <c r="S607" s="93" t="s">
        <v>29</v>
      </c>
      <c r="T607" s="93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CA607" s="12"/>
      <c r="CB607" s="12"/>
    </row>
    <row r="608" spans="1:80" x14ac:dyDescent="0.2">
      <c r="A608" s="96">
        <v>2102</v>
      </c>
      <c r="B608" s="99">
        <v>0</v>
      </c>
      <c r="C608" s="99">
        <v>0</v>
      </c>
      <c r="D608" s="99">
        <v>5</v>
      </c>
      <c r="E608" s="99">
        <v>15</v>
      </c>
      <c r="F608" s="99">
        <v>25</v>
      </c>
      <c r="G608" s="99">
        <v>30</v>
      </c>
      <c r="H608" s="96">
        <v>55</v>
      </c>
      <c r="I608" s="96" t="s">
        <v>29</v>
      </c>
      <c r="J608" s="93"/>
      <c r="K608" s="93">
        <v>2201</v>
      </c>
      <c r="L608" s="103">
        <v>5</v>
      </c>
      <c r="M608" s="103">
        <v>15</v>
      </c>
      <c r="N608" s="103">
        <v>25</v>
      </c>
      <c r="O608" s="103">
        <v>35</v>
      </c>
      <c r="P608" s="103">
        <v>45</v>
      </c>
      <c r="Q608" s="93">
        <v>70</v>
      </c>
      <c r="R608" s="93">
        <v>85</v>
      </c>
      <c r="S608" s="93" t="s">
        <v>29</v>
      </c>
      <c r="T608" s="93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CA608" s="12"/>
      <c r="CB608" s="12"/>
    </row>
    <row r="609" spans="1:80" x14ac:dyDescent="0.2">
      <c r="A609" s="96">
        <v>2103</v>
      </c>
      <c r="B609" s="99">
        <v>0</v>
      </c>
      <c r="C609" s="99">
        <v>0</v>
      </c>
      <c r="D609" s="99">
        <v>5</v>
      </c>
      <c r="E609" s="99">
        <v>15</v>
      </c>
      <c r="F609" s="99">
        <v>25</v>
      </c>
      <c r="G609" s="99">
        <v>30</v>
      </c>
      <c r="H609" s="96">
        <v>55</v>
      </c>
      <c r="I609" s="96" t="s">
        <v>29</v>
      </c>
      <c r="J609" s="93"/>
      <c r="K609" s="93">
        <v>2202</v>
      </c>
      <c r="L609" s="103">
        <v>5</v>
      </c>
      <c r="M609" s="103">
        <v>15</v>
      </c>
      <c r="N609" s="103">
        <v>25</v>
      </c>
      <c r="O609" s="103">
        <v>35</v>
      </c>
      <c r="P609" s="103">
        <v>45</v>
      </c>
      <c r="Q609" s="93">
        <v>70</v>
      </c>
      <c r="R609" s="93">
        <v>85</v>
      </c>
      <c r="S609" s="93" t="s">
        <v>29</v>
      </c>
      <c r="T609" s="93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CA609" s="12"/>
      <c r="CB609" s="12"/>
    </row>
    <row r="610" spans="1:80" x14ac:dyDescent="0.2">
      <c r="A610" s="96">
        <v>2104</v>
      </c>
      <c r="B610" s="99">
        <v>0</v>
      </c>
      <c r="C610" s="99">
        <v>0</v>
      </c>
      <c r="D610" s="99">
        <v>5</v>
      </c>
      <c r="E610" s="99">
        <v>15</v>
      </c>
      <c r="F610" s="99">
        <v>25</v>
      </c>
      <c r="G610" s="99">
        <v>30</v>
      </c>
      <c r="H610" s="96">
        <v>55</v>
      </c>
      <c r="I610" s="96" t="s">
        <v>29</v>
      </c>
      <c r="J610" s="93"/>
      <c r="K610" s="93">
        <v>2203</v>
      </c>
      <c r="L610" s="103">
        <v>5</v>
      </c>
      <c r="M610" s="103">
        <v>15</v>
      </c>
      <c r="N610" s="103">
        <v>25</v>
      </c>
      <c r="O610" s="103">
        <v>35</v>
      </c>
      <c r="P610" s="103">
        <v>45</v>
      </c>
      <c r="Q610" s="93">
        <v>70</v>
      </c>
      <c r="R610" s="93">
        <v>85</v>
      </c>
      <c r="S610" s="93" t="s">
        <v>29</v>
      </c>
      <c r="T610" s="93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CA610" s="12"/>
      <c r="CB610" s="12"/>
    </row>
    <row r="611" spans="1:80" x14ac:dyDescent="0.2">
      <c r="A611" s="96">
        <v>2105</v>
      </c>
      <c r="B611" s="99">
        <v>0</v>
      </c>
      <c r="C611" s="99">
        <v>0</v>
      </c>
      <c r="D611" s="99">
        <v>5</v>
      </c>
      <c r="E611" s="99">
        <v>15</v>
      </c>
      <c r="F611" s="99">
        <v>25</v>
      </c>
      <c r="G611" s="99">
        <v>30</v>
      </c>
      <c r="H611" s="96">
        <v>55</v>
      </c>
      <c r="I611" s="96" t="s">
        <v>29</v>
      </c>
      <c r="J611" s="93"/>
      <c r="K611" s="93">
        <v>2204</v>
      </c>
      <c r="L611" s="103">
        <v>5</v>
      </c>
      <c r="M611" s="103">
        <v>15</v>
      </c>
      <c r="N611" s="103">
        <v>25</v>
      </c>
      <c r="O611" s="103">
        <v>35</v>
      </c>
      <c r="P611" s="103">
        <v>45</v>
      </c>
      <c r="Q611" s="93">
        <v>70</v>
      </c>
      <c r="R611" s="93">
        <v>85</v>
      </c>
      <c r="S611" s="93" t="s">
        <v>29</v>
      </c>
      <c r="T611" s="93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CA611" s="12"/>
      <c r="CB611" s="12"/>
    </row>
    <row r="612" spans="1:80" x14ac:dyDescent="0.2">
      <c r="A612" s="96">
        <v>2106</v>
      </c>
      <c r="B612" s="99">
        <v>0</v>
      </c>
      <c r="C612" s="99">
        <v>0</v>
      </c>
      <c r="D612" s="99">
        <v>5</v>
      </c>
      <c r="E612" s="99">
        <v>15</v>
      </c>
      <c r="F612" s="99">
        <v>25</v>
      </c>
      <c r="G612" s="99">
        <v>30</v>
      </c>
      <c r="H612" s="96">
        <v>55</v>
      </c>
      <c r="I612" s="96" t="s">
        <v>29</v>
      </c>
      <c r="J612" s="93"/>
      <c r="K612" s="93">
        <v>2205</v>
      </c>
      <c r="L612" s="103">
        <v>5</v>
      </c>
      <c r="M612" s="103">
        <v>15</v>
      </c>
      <c r="N612" s="103">
        <v>25</v>
      </c>
      <c r="O612" s="103">
        <v>35</v>
      </c>
      <c r="P612" s="103">
        <v>45</v>
      </c>
      <c r="Q612" s="93">
        <v>70</v>
      </c>
      <c r="R612" s="93">
        <v>85</v>
      </c>
      <c r="S612" s="93" t="s">
        <v>29</v>
      </c>
      <c r="T612" s="93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CA612" s="12"/>
      <c r="CB612" s="12"/>
    </row>
    <row r="613" spans="1:80" x14ac:dyDescent="0.2">
      <c r="A613" s="96">
        <v>2107</v>
      </c>
      <c r="B613" s="99">
        <v>0</v>
      </c>
      <c r="C613" s="99">
        <v>0</v>
      </c>
      <c r="D613" s="99">
        <v>5</v>
      </c>
      <c r="E613" s="99">
        <v>15</v>
      </c>
      <c r="F613" s="99">
        <v>25</v>
      </c>
      <c r="G613" s="99">
        <v>30</v>
      </c>
      <c r="H613" s="96">
        <v>55</v>
      </c>
      <c r="I613" s="96" t="s">
        <v>29</v>
      </c>
      <c r="J613" s="93"/>
      <c r="K613" s="93">
        <v>2206</v>
      </c>
      <c r="L613" s="103">
        <v>5</v>
      </c>
      <c r="M613" s="103">
        <v>15</v>
      </c>
      <c r="N613" s="103">
        <v>25</v>
      </c>
      <c r="O613" s="103">
        <v>35</v>
      </c>
      <c r="P613" s="103">
        <v>45</v>
      </c>
      <c r="Q613" s="93">
        <v>70</v>
      </c>
      <c r="R613" s="93">
        <v>85</v>
      </c>
      <c r="S613" s="93" t="s">
        <v>29</v>
      </c>
      <c r="T613" s="93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CA613" s="12"/>
      <c r="CB613" s="12"/>
    </row>
    <row r="614" spans="1:80" x14ac:dyDescent="0.2">
      <c r="A614" s="96">
        <v>2108</v>
      </c>
      <c r="B614" s="99">
        <v>0</v>
      </c>
      <c r="C614" s="99">
        <v>0</v>
      </c>
      <c r="D614" s="99">
        <v>5</v>
      </c>
      <c r="E614" s="99">
        <v>15</v>
      </c>
      <c r="F614" s="99">
        <v>25</v>
      </c>
      <c r="G614" s="99">
        <v>30</v>
      </c>
      <c r="H614" s="96">
        <v>55</v>
      </c>
      <c r="I614" s="96" t="s">
        <v>29</v>
      </c>
      <c r="J614" s="93"/>
      <c r="K614" s="93">
        <v>2207</v>
      </c>
      <c r="L614" s="103">
        <v>5</v>
      </c>
      <c r="M614" s="103">
        <v>15</v>
      </c>
      <c r="N614" s="103">
        <v>25</v>
      </c>
      <c r="O614" s="103">
        <v>35</v>
      </c>
      <c r="P614" s="103">
        <v>45</v>
      </c>
      <c r="Q614" s="93">
        <v>70</v>
      </c>
      <c r="R614" s="93">
        <v>85</v>
      </c>
      <c r="S614" s="93" t="s">
        <v>29</v>
      </c>
      <c r="T614" s="93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CA614" s="12"/>
      <c r="CB614" s="12"/>
    </row>
    <row r="615" spans="1:80" x14ac:dyDescent="0.2">
      <c r="A615" s="96">
        <v>2109</v>
      </c>
      <c r="B615" s="99">
        <v>0</v>
      </c>
      <c r="C615" s="99">
        <v>0</v>
      </c>
      <c r="D615" s="99">
        <v>5</v>
      </c>
      <c r="E615" s="99">
        <v>15</v>
      </c>
      <c r="F615" s="99">
        <v>25</v>
      </c>
      <c r="G615" s="99">
        <v>30</v>
      </c>
      <c r="H615" s="96">
        <v>55</v>
      </c>
      <c r="I615" s="96" t="s">
        <v>29</v>
      </c>
      <c r="J615" s="93"/>
      <c r="K615" s="93">
        <v>2208</v>
      </c>
      <c r="L615" s="103">
        <v>5</v>
      </c>
      <c r="M615" s="103">
        <v>15</v>
      </c>
      <c r="N615" s="103">
        <v>25</v>
      </c>
      <c r="O615" s="103">
        <v>35</v>
      </c>
      <c r="P615" s="103">
        <v>45</v>
      </c>
      <c r="Q615" s="93">
        <v>70</v>
      </c>
      <c r="R615" s="93">
        <v>85</v>
      </c>
      <c r="S615" s="93" t="s">
        <v>29</v>
      </c>
      <c r="T615" s="93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CA615" s="12"/>
      <c r="CB615" s="12"/>
    </row>
    <row r="616" spans="1:80" x14ac:dyDescent="0.2">
      <c r="A616" s="96">
        <v>2110</v>
      </c>
      <c r="B616" s="99">
        <v>0</v>
      </c>
      <c r="C616" s="99">
        <v>0</v>
      </c>
      <c r="D616" s="99">
        <v>5</v>
      </c>
      <c r="E616" s="99">
        <v>15</v>
      </c>
      <c r="F616" s="99">
        <v>25</v>
      </c>
      <c r="G616" s="99">
        <v>30</v>
      </c>
      <c r="H616" s="96">
        <v>55</v>
      </c>
      <c r="I616" s="96" t="s">
        <v>29</v>
      </c>
      <c r="J616" s="93"/>
      <c r="K616" s="93">
        <v>2209</v>
      </c>
      <c r="L616" s="103">
        <v>5</v>
      </c>
      <c r="M616" s="103">
        <v>15</v>
      </c>
      <c r="N616" s="103">
        <v>25</v>
      </c>
      <c r="O616" s="103">
        <v>35</v>
      </c>
      <c r="P616" s="103">
        <v>45</v>
      </c>
      <c r="Q616" s="93">
        <v>70</v>
      </c>
      <c r="R616" s="93">
        <v>85</v>
      </c>
      <c r="S616" s="93" t="s">
        <v>29</v>
      </c>
      <c r="T616" s="93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CA616" s="12"/>
      <c r="CB616" s="12"/>
    </row>
    <row r="617" spans="1:80" x14ac:dyDescent="0.2">
      <c r="A617" s="96">
        <v>2111</v>
      </c>
      <c r="B617" s="99">
        <v>0</v>
      </c>
      <c r="C617" s="99">
        <v>0</v>
      </c>
      <c r="D617" s="99">
        <v>5</v>
      </c>
      <c r="E617" s="99">
        <v>15</v>
      </c>
      <c r="F617" s="99">
        <v>20</v>
      </c>
      <c r="G617" s="99">
        <v>30</v>
      </c>
      <c r="H617" s="96">
        <v>50</v>
      </c>
      <c r="I617" s="96" t="s">
        <v>29</v>
      </c>
      <c r="J617" s="93"/>
      <c r="K617" s="93">
        <v>2210</v>
      </c>
      <c r="L617" s="103">
        <v>5</v>
      </c>
      <c r="M617" s="103">
        <v>15</v>
      </c>
      <c r="N617" s="103">
        <v>25</v>
      </c>
      <c r="O617" s="103">
        <v>35</v>
      </c>
      <c r="P617" s="103">
        <v>45</v>
      </c>
      <c r="Q617" s="93">
        <v>70</v>
      </c>
      <c r="R617" s="93">
        <v>85</v>
      </c>
      <c r="S617" s="93" t="s">
        <v>29</v>
      </c>
      <c r="T617" s="93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CA617" s="12"/>
      <c r="CB617" s="12"/>
    </row>
    <row r="618" spans="1:80" x14ac:dyDescent="0.2">
      <c r="A618" s="96">
        <v>2112</v>
      </c>
      <c r="B618" s="99">
        <v>0</v>
      </c>
      <c r="C618" s="99">
        <v>0</v>
      </c>
      <c r="D618" s="99">
        <v>5</v>
      </c>
      <c r="E618" s="99">
        <v>15</v>
      </c>
      <c r="F618" s="99">
        <v>20</v>
      </c>
      <c r="G618" s="99">
        <v>30</v>
      </c>
      <c r="H618" s="96">
        <v>50</v>
      </c>
      <c r="I618" s="96" t="s">
        <v>29</v>
      </c>
      <c r="J618" s="93"/>
      <c r="K618" s="93">
        <v>2211</v>
      </c>
      <c r="L618" s="103">
        <v>5</v>
      </c>
      <c r="M618" s="103">
        <v>15</v>
      </c>
      <c r="N618" s="103">
        <v>25</v>
      </c>
      <c r="O618" s="103">
        <v>35</v>
      </c>
      <c r="P618" s="103">
        <v>45</v>
      </c>
      <c r="Q618" s="93">
        <v>65</v>
      </c>
      <c r="R618" s="93">
        <v>80</v>
      </c>
      <c r="S618" s="93" t="s">
        <v>29</v>
      </c>
      <c r="T618" s="93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CA618" s="12"/>
      <c r="CB618" s="12"/>
    </row>
    <row r="619" spans="1:80" x14ac:dyDescent="0.2">
      <c r="A619" s="96">
        <v>2113</v>
      </c>
      <c r="B619" s="99">
        <v>0</v>
      </c>
      <c r="C619" s="99">
        <v>0</v>
      </c>
      <c r="D619" s="99">
        <v>5</v>
      </c>
      <c r="E619" s="99">
        <v>15</v>
      </c>
      <c r="F619" s="99">
        <v>20</v>
      </c>
      <c r="G619" s="99">
        <v>30</v>
      </c>
      <c r="H619" s="96">
        <v>50</v>
      </c>
      <c r="I619" s="96" t="s">
        <v>29</v>
      </c>
      <c r="J619" s="93"/>
      <c r="K619" s="93">
        <v>2212</v>
      </c>
      <c r="L619" s="103">
        <v>5</v>
      </c>
      <c r="M619" s="103">
        <v>15</v>
      </c>
      <c r="N619" s="103">
        <v>25</v>
      </c>
      <c r="O619" s="103">
        <v>35</v>
      </c>
      <c r="P619" s="103">
        <v>45</v>
      </c>
      <c r="Q619" s="93">
        <v>65</v>
      </c>
      <c r="R619" s="93">
        <v>80</v>
      </c>
      <c r="S619" s="93" t="s">
        <v>29</v>
      </c>
      <c r="T619" s="93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CA619" s="12"/>
      <c r="CB619" s="12"/>
    </row>
    <row r="620" spans="1:80" x14ac:dyDescent="0.2">
      <c r="A620" s="96">
        <v>2114</v>
      </c>
      <c r="B620" s="99">
        <v>0</v>
      </c>
      <c r="C620" s="99">
        <v>0</v>
      </c>
      <c r="D620" s="99">
        <v>5</v>
      </c>
      <c r="E620" s="99">
        <v>15</v>
      </c>
      <c r="F620" s="99">
        <v>20</v>
      </c>
      <c r="G620" s="99">
        <v>30</v>
      </c>
      <c r="H620" s="96">
        <v>50</v>
      </c>
      <c r="I620" s="96" t="s">
        <v>29</v>
      </c>
      <c r="J620" s="93"/>
      <c r="K620" s="93">
        <v>2213</v>
      </c>
      <c r="L620" s="103">
        <v>5</v>
      </c>
      <c r="M620" s="103">
        <v>15</v>
      </c>
      <c r="N620" s="103">
        <v>25</v>
      </c>
      <c r="O620" s="103">
        <v>35</v>
      </c>
      <c r="P620" s="103">
        <v>45</v>
      </c>
      <c r="Q620" s="93">
        <v>65</v>
      </c>
      <c r="R620" s="93">
        <v>80</v>
      </c>
      <c r="S620" s="93" t="s">
        <v>29</v>
      </c>
      <c r="T620" s="93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CA620" s="12"/>
      <c r="CB620" s="12"/>
    </row>
    <row r="621" spans="1:80" x14ac:dyDescent="0.2">
      <c r="A621" s="96">
        <v>2115</v>
      </c>
      <c r="B621" s="99">
        <v>0</v>
      </c>
      <c r="C621" s="99">
        <v>0</v>
      </c>
      <c r="D621" s="99">
        <v>5</v>
      </c>
      <c r="E621" s="99">
        <v>15</v>
      </c>
      <c r="F621" s="99">
        <v>20</v>
      </c>
      <c r="G621" s="99">
        <v>30</v>
      </c>
      <c r="H621" s="96">
        <v>50</v>
      </c>
      <c r="I621" s="96" t="s">
        <v>29</v>
      </c>
      <c r="J621" s="93"/>
      <c r="K621" s="93">
        <v>2214</v>
      </c>
      <c r="L621" s="103">
        <v>5</v>
      </c>
      <c r="M621" s="103">
        <v>15</v>
      </c>
      <c r="N621" s="103">
        <v>25</v>
      </c>
      <c r="O621" s="103">
        <v>35</v>
      </c>
      <c r="P621" s="103">
        <v>45</v>
      </c>
      <c r="Q621" s="93">
        <v>65</v>
      </c>
      <c r="R621" s="93">
        <v>80</v>
      </c>
      <c r="S621" s="93" t="s">
        <v>29</v>
      </c>
      <c r="T621" s="93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CA621" s="12"/>
      <c r="CB621" s="12"/>
    </row>
    <row r="622" spans="1:80" x14ac:dyDescent="0.2">
      <c r="A622" s="96">
        <v>2116</v>
      </c>
      <c r="B622" s="99">
        <v>0</v>
      </c>
      <c r="C622" s="99">
        <v>0</v>
      </c>
      <c r="D622" s="99">
        <v>5</v>
      </c>
      <c r="E622" s="99">
        <v>15</v>
      </c>
      <c r="F622" s="99">
        <v>20</v>
      </c>
      <c r="G622" s="99">
        <v>30</v>
      </c>
      <c r="H622" s="96">
        <v>50</v>
      </c>
      <c r="I622" s="96" t="s">
        <v>29</v>
      </c>
      <c r="J622" s="93"/>
      <c r="K622" s="93">
        <v>2215</v>
      </c>
      <c r="L622" s="103">
        <v>5</v>
      </c>
      <c r="M622" s="103">
        <v>15</v>
      </c>
      <c r="N622" s="103">
        <v>25</v>
      </c>
      <c r="O622" s="103">
        <v>35</v>
      </c>
      <c r="P622" s="103">
        <v>45</v>
      </c>
      <c r="Q622" s="93">
        <v>65</v>
      </c>
      <c r="R622" s="93">
        <v>80</v>
      </c>
      <c r="S622" s="93" t="s">
        <v>29</v>
      </c>
      <c r="T622" s="93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CA622" s="12"/>
      <c r="CB622" s="12"/>
    </row>
    <row r="623" spans="1:80" x14ac:dyDescent="0.2">
      <c r="A623" s="96">
        <v>2117</v>
      </c>
      <c r="B623" s="99">
        <v>0</v>
      </c>
      <c r="C623" s="99">
        <v>0</v>
      </c>
      <c r="D623" s="99">
        <v>5</v>
      </c>
      <c r="E623" s="99">
        <v>15</v>
      </c>
      <c r="F623" s="99">
        <v>20</v>
      </c>
      <c r="G623" s="99">
        <v>30</v>
      </c>
      <c r="H623" s="96">
        <v>50</v>
      </c>
      <c r="I623" s="96" t="s">
        <v>29</v>
      </c>
      <c r="J623" s="93"/>
      <c r="K623" s="93">
        <v>2216</v>
      </c>
      <c r="L623" s="103">
        <v>5</v>
      </c>
      <c r="M623" s="103">
        <v>15</v>
      </c>
      <c r="N623" s="103">
        <v>25</v>
      </c>
      <c r="O623" s="103">
        <v>35</v>
      </c>
      <c r="P623" s="103">
        <v>45</v>
      </c>
      <c r="Q623" s="93">
        <v>65</v>
      </c>
      <c r="R623" s="93">
        <v>80</v>
      </c>
      <c r="S623" s="93" t="s">
        <v>29</v>
      </c>
      <c r="T623" s="93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CA623" s="12"/>
      <c r="CB623" s="12"/>
    </row>
    <row r="624" spans="1:80" x14ac:dyDescent="0.2">
      <c r="A624" s="96">
        <v>2118</v>
      </c>
      <c r="B624" s="99">
        <v>0</v>
      </c>
      <c r="C624" s="99">
        <v>0</v>
      </c>
      <c r="D624" s="99">
        <v>5</v>
      </c>
      <c r="E624" s="99">
        <v>15</v>
      </c>
      <c r="F624" s="99">
        <v>20</v>
      </c>
      <c r="G624" s="99">
        <v>30</v>
      </c>
      <c r="H624" s="96">
        <v>50</v>
      </c>
      <c r="I624" s="96" t="s">
        <v>29</v>
      </c>
      <c r="J624" s="93"/>
      <c r="K624" s="93">
        <v>2217</v>
      </c>
      <c r="L624" s="103">
        <v>5</v>
      </c>
      <c r="M624" s="103">
        <v>15</v>
      </c>
      <c r="N624" s="103">
        <v>25</v>
      </c>
      <c r="O624" s="103">
        <v>35</v>
      </c>
      <c r="P624" s="103">
        <v>45</v>
      </c>
      <c r="Q624" s="93">
        <v>65</v>
      </c>
      <c r="R624" s="93">
        <v>80</v>
      </c>
      <c r="S624" s="93" t="s">
        <v>29</v>
      </c>
      <c r="T624" s="93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CA624" s="12"/>
      <c r="CB624" s="12"/>
    </row>
    <row r="625" spans="1:80" x14ac:dyDescent="0.2">
      <c r="A625" s="96">
        <v>2119</v>
      </c>
      <c r="B625" s="99">
        <v>0</v>
      </c>
      <c r="C625" s="99">
        <v>0</v>
      </c>
      <c r="D625" s="99">
        <v>5</v>
      </c>
      <c r="E625" s="99">
        <v>15</v>
      </c>
      <c r="F625" s="99">
        <v>20</v>
      </c>
      <c r="G625" s="99">
        <v>30</v>
      </c>
      <c r="H625" s="96">
        <v>50</v>
      </c>
      <c r="I625" s="96" t="s">
        <v>29</v>
      </c>
      <c r="J625" s="93"/>
      <c r="K625" s="93">
        <v>2218</v>
      </c>
      <c r="L625" s="103">
        <v>5</v>
      </c>
      <c r="M625" s="103">
        <v>15</v>
      </c>
      <c r="N625" s="103">
        <v>25</v>
      </c>
      <c r="O625" s="103">
        <v>35</v>
      </c>
      <c r="P625" s="103">
        <v>45</v>
      </c>
      <c r="Q625" s="93">
        <v>65</v>
      </c>
      <c r="R625" s="93">
        <v>80</v>
      </c>
      <c r="S625" s="93" t="s">
        <v>29</v>
      </c>
      <c r="T625" s="93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CA625" s="12"/>
      <c r="CB625" s="12"/>
    </row>
    <row r="626" spans="1:80" x14ac:dyDescent="0.2">
      <c r="A626" s="96">
        <v>2120</v>
      </c>
      <c r="B626" s="99">
        <v>0</v>
      </c>
      <c r="C626" s="99">
        <v>0</v>
      </c>
      <c r="D626" s="99">
        <v>5</v>
      </c>
      <c r="E626" s="99">
        <v>15</v>
      </c>
      <c r="F626" s="99">
        <v>20</v>
      </c>
      <c r="G626" s="99">
        <v>30</v>
      </c>
      <c r="H626" s="96">
        <v>50</v>
      </c>
      <c r="I626" s="96" t="s">
        <v>29</v>
      </c>
      <c r="J626" s="93"/>
      <c r="K626" s="93">
        <v>2219</v>
      </c>
      <c r="L626" s="103">
        <v>5</v>
      </c>
      <c r="M626" s="103">
        <v>15</v>
      </c>
      <c r="N626" s="103">
        <v>25</v>
      </c>
      <c r="O626" s="103">
        <v>35</v>
      </c>
      <c r="P626" s="103">
        <v>45</v>
      </c>
      <c r="Q626" s="93">
        <v>65</v>
      </c>
      <c r="R626" s="93">
        <v>80</v>
      </c>
      <c r="S626" s="93" t="s">
        <v>29</v>
      </c>
      <c r="T626" s="93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CA626" s="12"/>
      <c r="CB626" s="12"/>
    </row>
    <row r="627" spans="1:80" x14ac:dyDescent="0.2">
      <c r="A627" s="96">
        <v>2121</v>
      </c>
      <c r="B627" s="99">
        <v>0</v>
      </c>
      <c r="C627" s="99">
        <v>0</v>
      </c>
      <c r="D627" s="99">
        <v>0</v>
      </c>
      <c r="E627" s="99">
        <v>10</v>
      </c>
      <c r="F627" s="99">
        <v>20</v>
      </c>
      <c r="G627" s="99">
        <v>25</v>
      </c>
      <c r="H627" s="99">
        <v>45</v>
      </c>
      <c r="I627" s="96" t="s">
        <v>29</v>
      </c>
      <c r="J627" s="93"/>
      <c r="K627" s="93">
        <v>2220</v>
      </c>
      <c r="L627" s="103">
        <v>5</v>
      </c>
      <c r="M627" s="103">
        <v>15</v>
      </c>
      <c r="N627" s="103">
        <v>25</v>
      </c>
      <c r="O627" s="103">
        <v>35</v>
      </c>
      <c r="P627" s="103">
        <v>45</v>
      </c>
      <c r="Q627" s="93">
        <v>65</v>
      </c>
      <c r="R627" s="93">
        <v>80</v>
      </c>
      <c r="S627" s="93" t="s">
        <v>29</v>
      </c>
      <c r="T627" s="93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CA627" s="12"/>
      <c r="CB627" s="12"/>
    </row>
    <row r="628" spans="1:80" x14ac:dyDescent="0.2">
      <c r="A628" s="96">
        <v>2122</v>
      </c>
      <c r="B628" s="99">
        <v>0</v>
      </c>
      <c r="C628" s="99">
        <v>0</v>
      </c>
      <c r="D628" s="99">
        <v>0</v>
      </c>
      <c r="E628" s="99">
        <v>10</v>
      </c>
      <c r="F628" s="99">
        <v>20</v>
      </c>
      <c r="G628" s="99">
        <v>25</v>
      </c>
      <c r="H628" s="99">
        <v>45</v>
      </c>
      <c r="I628" s="96" t="s">
        <v>29</v>
      </c>
      <c r="J628" s="93"/>
      <c r="K628" s="93">
        <v>2221</v>
      </c>
      <c r="L628" s="103">
        <v>0</v>
      </c>
      <c r="M628" s="103">
        <v>10</v>
      </c>
      <c r="N628" s="103">
        <v>20</v>
      </c>
      <c r="O628" s="103">
        <v>30</v>
      </c>
      <c r="P628" s="103">
        <v>40</v>
      </c>
      <c r="Q628" s="93">
        <v>60</v>
      </c>
      <c r="R628" s="93">
        <v>75</v>
      </c>
      <c r="S628" s="93" t="s">
        <v>29</v>
      </c>
      <c r="T628" s="93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CA628" s="12"/>
      <c r="CB628" s="12"/>
    </row>
    <row r="629" spans="1:80" x14ac:dyDescent="0.2">
      <c r="A629" s="96">
        <v>2123</v>
      </c>
      <c r="B629" s="99">
        <v>0</v>
      </c>
      <c r="C629" s="99">
        <v>0</v>
      </c>
      <c r="D629" s="99">
        <v>0</v>
      </c>
      <c r="E629" s="99">
        <v>10</v>
      </c>
      <c r="F629" s="99">
        <v>20</v>
      </c>
      <c r="G629" s="99">
        <v>25</v>
      </c>
      <c r="H629" s="99">
        <v>45</v>
      </c>
      <c r="I629" s="96" t="s">
        <v>29</v>
      </c>
      <c r="J629" s="93"/>
      <c r="K629" s="93">
        <v>2222</v>
      </c>
      <c r="L629" s="103">
        <v>0</v>
      </c>
      <c r="M629" s="103">
        <v>10</v>
      </c>
      <c r="N629" s="103">
        <v>20</v>
      </c>
      <c r="O629" s="103">
        <v>30</v>
      </c>
      <c r="P629" s="103">
        <v>40</v>
      </c>
      <c r="Q629" s="93">
        <v>60</v>
      </c>
      <c r="R629" s="93">
        <v>75</v>
      </c>
      <c r="S629" s="93" t="s">
        <v>29</v>
      </c>
      <c r="T629" s="93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CA629" s="12"/>
      <c r="CB629" s="12"/>
    </row>
    <row r="630" spans="1:80" x14ac:dyDescent="0.2">
      <c r="A630" s="96">
        <v>2124</v>
      </c>
      <c r="B630" s="99">
        <v>0</v>
      </c>
      <c r="C630" s="99">
        <v>0</v>
      </c>
      <c r="D630" s="99">
        <v>0</v>
      </c>
      <c r="E630" s="99">
        <v>10</v>
      </c>
      <c r="F630" s="99">
        <v>20</v>
      </c>
      <c r="G630" s="99">
        <v>25</v>
      </c>
      <c r="H630" s="99">
        <v>45</v>
      </c>
      <c r="I630" s="96" t="s">
        <v>29</v>
      </c>
      <c r="J630" s="93"/>
      <c r="K630" s="93">
        <v>2223</v>
      </c>
      <c r="L630" s="103">
        <v>0</v>
      </c>
      <c r="M630" s="103">
        <v>10</v>
      </c>
      <c r="N630" s="103">
        <v>20</v>
      </c>
      <c r="O630" s="103">
        <v>30</v>
      </c>
      <c r="P630" s="103">
        <v>40</v>
      </c>
      <c r="Q630" s="93">
        <v>60</v>
      </c>
      <c r="R630" s="93">
        <v>75</v>
      </c>
      <c r="S630" s="93" t="s">
        <v>29</v>
      </c>
      <c r="T630" s="93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CA630" s="12"/>
      <c r="CB630" s="12"/>
    </row>
    <row r="631" spans="1:80" x14ac:dyDescent="0.2">
      <c r="A631" s="96">
        <v>2125</v>
      </c>
      <c r="B631" s="99">
        <v>0</v>
      </c>
      <c r="C631" s="99">
        <v>0</v>
      </c>
      <c r="D631" s="99">
        <v>0</v>
      </c>
      <c r="E631" s="99">
        <v>10</v>
      </c>
      <c r="F631" s="99">
        <v>20</v>
      </c>
      <c r="G631" s="99">
        <v>25</v>
      </c>
      <c r="H631" s="99">
        <v>45</v>
      </c>
      <c r="I631" s="96" t="s">
        <v>29</v>
      </c>
      <c r="J631" s="93"/>
      <c r="K631" s="93">
        <v>2224</v>
      </c>
      <c r="L631" s="103">
        <v>0</v>
      </c>
      <c r="M631" s="103">
        <v>10</v>
      </c>
      <c r="N631" s="103">
        <v>20</v>
      </c>
      <c r="O631" s="103">
        <v>30</v>
      </c>
      <c r="P631" s="103">
        <v>40</v>
      </c>
      <c r="Q631" s="93">
        <v>60</v>
      </c>
      <c r="R631" s="93">
        <v>75</v>
      </c>
      <c r="S631" s="93" t="s">
        <v>29</v>
      </c>
      <c r="T631" s="93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CA631" s="12"/>
      <c r="CB631" s="12"/>
    </row>
    <row r="632" spans="1:80" x14ac:dyDescent="0.2">
      <c r="A632" s="96">
        <v>2126</v>
      </c>
      <c r="B632" s="99">
        <v>0</v>
      </c>
      <c r="C632" s="99">
        <v>0</v>
      </c>
      <c r="D632" s="99">
        <v>0</v>
      </c>
      <c r="E632" s="99">
        <v>10</v>
      </c>
      <c r="F632" s="99">
        <v>20</v>
      </c>
      <c r="G632" s="99">
        <v>25</v>
      </c>
      <c r="H632" s="99">
        <v>45</v>
      </c>
      <c r="I632" s="96" t="s">
        <v>29</v>
      </c>
      <c r="J632" s="93"/>
      <c r="K632" s="93">
        <v>2225</v>
      </c>
      <c r="L632" s="103">
        <v>0</v>
      </c>
      <c r="M632" s="103">
        <v>10</v>
      </c>
      <c r="N632" s="103">
        <v>20</v>
      </c>
      <c r="O632" s="103">
        <v>30</v>
      </c>
      <c r="P632" s="103">
        <v>40</v>
      </c>
      <c r="Q632" s="93">
        <v>60</v>
      </c>
      <c r="R632" s="93">
        <v>75</v>
      </c>
      <c r="S632" s="93" t="s">
        <v>29</v>
      </c>
      <c r="T632" s="93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CA632" s="12"/>
      <c r="CB632" s="12"/>
    </row>
    <row r="633" spans="1:80" x14ac:dyDescent="0.2">
      <c r="A633" s="96">
        <v>2127</v>
      </c>
      <c r="B633" s="99">
        <v>0</v>
      </c>
      <c r="C633" s="99">
        <v>0</v>
      </c>
      <c r="D633" s="99">
        <v>0</v>
      </c>
      <c r="E633" s="99">
        <v>10</v>
      </c>
      <c r="F633" s="99">
        <v>20</v>
      </c>
      <c r="G633" s="99">
        <v>25</v>
      </c>
      <c r="H633" s="99">
        <v>45</v>
      </c>
      <c r="I633" s="96" t="s">
        <v>29</v>
      </c>
      <c r="J633" s="93"/>
      <c r="K633" s="93">
        <v>2226</v>
      </c>
      <c r="L633" s="103">
        <v>0</v>
      </c>
      <c r="M633" s="103">
        <v>10</v>
      </c>
      <c r="N633" s="103">
        <v>20</v>
      </c>
      <c r="O633" s="103">
        <v>30</v>
      </c>
      <c r="P633" s="103">
        <v>40</v>
      </c>
      <c r="Q633" s="93">
        <v>60</v>
      </c>
      <c r="R633" s="93">
        <v>75</v>
      </c>
      <c r="S633" s="93" t="s">
        <v>29</v>
      </c>
      <c r="T633" s="93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CA633" s="12"/>
      <c r="CB633" s="12"/>
    </row>
    <row r="634" spans="1:80" x14ac:dyDescent="0.2">
      <c r="A634" s="96">
        <v>2128</v>
      </c>
      <c r="B634" s="99">
        <v>0</v>
      </c>
      <c r="C634" s="99">
        <v>0</v>
      </c>
      <c r="D634" s="99">
        <v>0</v>
      </c>
      <c r="E634" s="99">
        <v>10</v>
      </c>
      <c r="F634" s="99">
        <v>20</v>
      </c>
      <c r="G634" s="99">
        <v>25</v>
      </c>
      <c r="H634" s="99">
        <v>45</v>
      </c>
      <c r="I634" s="96" t="s">
        <v>29</v>
      </c>
      <c r="J634" s="93"/>
      <c r="K634" s="93">
        <v>2227</v>
      </c>
      <c r="L634" s="103">
        <v>0</v>
      </c>
      <c r="M634" s="103">
        <v>10</v>
      </c>
      <c r="N634" s="103">
        <v>20</v>
      </c>
      <c r="O634" s="103">
        <v>30</v>
      </c>
      <c r="P634" s="103">
        <v>40</v>
      </c>
      <c r="Q634" s="93">
        <v>60</v>
      </c>
      <c r="R634" s="93">
        <v>75</v>
      </c>
      <c r="S634" s="93" t="s">
        <v>29</v>
      </c>
      <c r="T634" s="93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CA634" s="12"/>
      <c r="CB634" s="12"/>
    </row>
    <row r="635" spans="1:80" x14ac:dyDescent="0.2">
      <c r="A635" s="96">
        <v>2129</v>
      </c>
      <c r="B635" s="99">
        <v>0</v>
      </c>
      <c r="C635" s="99">
        <v>0</v>
      </c>
      <c r="D635" s="99">
        <v>0</v>
      </c>
      <c r="E635" s="99">
        <v>10</v>
      </c>
      <c r="F635" s="99">
        <v>20</v>
      </c>
      <c r="G635" s="99">
        <v>25</v>
      </c>
      <c r="H635" s="99">
        <v>45</v>
      </c>
      <c r="I635" s="96" t="s">
        <v>29</v>
      </c>
      <c r="J635" s="93"/>
      <c r="K635" s="93">
        <v>2228</v>
      </c>
      <c r="L635" s="103">
        <v>0</v>
      </c>
      <c r="M635" s="103">
        <v>10</v>
      </c>
      <c r="N635" s="103">
        <v>20</v>
      </c>
      <c r="O635" s="103">
        <v>30</v>
      </c>
      <c r="P635" s="103">
        <v>40</v>
      </c>
      <c r="Q635" s="93">
        <v>60</v>
      </c>
      <c r="R635" s="93">
        <v>75</v>
      </c>
      <c r="S635" s="93" t="s">
        <v>29</v>
      </c>
      <c r="T635" s="93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CA635" s="12"/>
      <c r="CB635" s="12"/>
    </row>
    <row r="636" spans="1:80" x14ac:dyDescent="0.2">
      <c r="A636" s="96">
        <v>2130</v>
      </c>
      <c r="B636" s="99">
        <v>0</v>
      </c>
      <c r="C636" s="99">
        <v>0</v>
      </c>
      <c r="D636" s="99">
        <v>0</v>
      </c>
      <c r="E636" s="99">
        <v>10</v>
      </c>
      <c r="F636" s="99">
        <v>20</v>
      </c>
      <c r="G636" s="99">
        <v>25</v>
      </c>
      <c r="H636" s="99">
        <v>45</v>
      </c>
      <c r="I636" s="96" t="s">
        <v>29</v>
      </c>
      <c r="J636" s="93"/>
      <c r="K636" s="93">
        <v>2229</v>
      </c>
      <c r="L636" s="103">
        <v>0</v>
      </c>
      <c r="M636" s="103">
        <v>10</v>
      </c>
      <c r="N636" s="103">
        <v>20</v>
      </c>
      <c r="O636" s="103">
        <v>30</v>
      </c>
      <c r="P636" s="103">
        <v>40</v>
      </c>
      <c r="Q636" s="93">
        <v>60</v>
      </c>
      <c r="R636" s="93">
        <v>75</v>
      </c>
      <c r="S636" s="93" t="s">
        <v>29</v>
      </c>
      <c r="T636" s="93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CA636" s="12"/>
      <c r="CB636" s="12"/>
    </row>
    <row r="637" spans="1:80" x14ac:dyDescent="0.2">
      <c r="A637" s="96">
        <v>2131</v>
      </c>
      <c r="B637" s="99">
        <v>0</v>
      </c>
      <c r="C637" s="99">
        <v>0</v>
      </c>
      <c r="D637" s="99">
        <v>0</v>
      </c>
      <c r="E637" s="99">
        <v>10</v>
      </c>
      <c r="F637" s="99">
        <v>15</v>
      </c>
      <c r="G637" s="99">
        <v>25</v>
      </c>
      <c r="H637" s="99">
        <v>40</v>
      </c>
      <c r="I637" s="96" t="s">
        <v>29</v>
      </c>
      <c r="J637" s="93"/>
      <c r="K637" s="93">
        <v>2230</v>
      </c>
      <c r="L637" s="103">
        <v>0</v>
      </c>
      <c r="M637" s="103">
        <v>10</v>
      </c>
      <c r="N637" s="103">
        <v>20</v>
      </c>
      <c r="O637" s="103">
        <v>30</v>
      </c>
      <c r="P637" s="103">
        <v>40</v>
      </c>
      <c r="Q637" s="93">
        <v>60</v>
      </c>
      <c r="R637" s="93">
        <v>75</v>
      </c>
      <c r="S637" s="93" t="s">
        <v>29</v>
      </c>
      <c r="T637" s="93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CA637" s="12"/>
      <c r="CB637" s="12"/>
    </row>
    <row r="638" spans="1:80" x14ac:dyDescent="0.2">
      <c r="A638" s="96">
        <v>2132</v>
      </c>
      <c r="B638" s="99">
        <v>0</v>
      </c>
      <c r="C638" s="99">
        <v>0</v>
      </c>
      <c r="D638" s="99">
        <v>0</v>
      </c>
      <c r="E638" s="99">
        <v>10</v>
      </c>
      <c r="F638" s="99">
        <v>15</v>
      </c>
      <c r="G638" s="99">
        <v>25</v>
      </c>
      <c r="H638" s="99">
        <v>40</v>
      </c>
      <c r="I638" s="96" t="s">
        <v>29</v>
      </c>
      <c r="J638" s="93"/>
      <c r="K638" s="93">
        <v>2231</v>
      </c>
      <c r="L638" s="103">
        <v>0</v>
      </c>
      <c r="M638" s="103">
        <v>10</v>
      </c>
      <c r="N638" s="103">
        <v>20</v>
      </c>
      <c r="O638" s="103">
        <v>30</v>
      </c>
      <c r="P638" s="103">
        <v>40</v>
      </c>
      <c r="Q638" s="93">
        <v>55</v>
      </c>
      <c r="R638" s="93">
        <v>75</v>
      </c>
      <c r="S638" s="93" t="s">
        <v>29</v>
      </c>
      <c r="T638" s="93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CA638" s="12"/>
      <c r="CB638" s="12"/>
    </row>
    <row r="639" spans="1:80" x14ac:dyDescent="0.2">
      <c r="A639" s="96">
        <v>2133</v>
      </c>
      <c r="B639" s="99">
        <v>0</v>
      </c>
      <c r="C639" s="99">
        <v>0</v>
      </c>
      <c r="D639" s="99">
        <v>0</v>
      </c>
      <c r="E639" s="99">
        <v>10</v>
      </c>
      <c r="F639" s="99">
        <v>15</v>
      </c>
      <c r="G639" s="99">
        <v>25</v>
      </c>
      <c r="H639" s="99">
        <v>40</v>
      </c>
      <c r="I639" s="96" t="s">
        <v>29</v>
      </c>
      <c r="J639" s="93"/>
      <c r="K639" s="93">
        <v>2232</v>
      </c>
      <c r="L639" s="103">
        <v>0</v>
      </c>
      <c r="M639" s="103">
        <v>10</v>
      </c>
      <c r="N639" s="103">
        <v>20</v>
      </c>
      <c r="O639" s="103">
        <v>30</v>
      </c>
      <c r="P639" s="103">
        <v>40</v>
      </c>
      <c r="Q639" s="93">
        <v>55</v>
      </c>
      <c r="R639" s="93">
        <v>75</v>
      </c>
      <c r="S639" s="93" t="s">
        <v>29</v>
      </c>
      <c r="T639" s="93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CA639" s="12"/>
      <c r="CB639" s="12"/>
    </row>
    <row r="640" spans="1:80" x14ac:dyDescent="0.2">
      <c r="A640" s="96">
        <v>2134</v>
      </c>
      <c r="B640" s="99">
        <v>0</v>
      </c>
      <c r="C640" s="99">
        <v>0</v>
      </c>
      <c r="D640" s="99">
        <v>0</v>
      </c>
      <c r="E640" s="99">
        <v>10</v>
      </c>
      <c r="F640" s="99">
        <v>15</v>
      </c>
      <c r="G640" s="99">
        <v>25</v>
      </c>
      <c r="H640" s="99">
        <v>40</v>
      </c>
      <c r="I640" s="96" t="s">
        <v>29</v>
      </c>
      <c r="J640" s="93"/>
      <c r="K640" s="93">
        <v>2233</v>
      </c>
      <c r="L640" s="103">
        <v>0</v>
      </c>
      <c r="M640" s="103">
        <v>10</v>
      </c>
      <c r="N640" s="103">
        <v>20</v>
      </c>
      <c r="O640" s="103">
        <v>30</v>
      </c>
      <c r="P640" s="103">
        <v>40</v>
      </c>
      <c r="Q640" s="93">
        <v>55</v>
      </c>
      <c r="R640" s="93">
        <v>75</v>
      </c>
      <c r="S640" s="93" t="s">
        <v>29</v>
      </c>
      <c r="T640" s="93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CA640" s="12"/>
      <c r="CB640" s="12"/>
    </row>
    <row r="641" spans="1:80" x14ac:dyDescent="0.2">
      <c r="A641" s="96">
        <v>2135</v>
      </c>
      <c r="B641" s="99">
        <v>0</v>
      </c>
      <c r="C641" s="99">
        <v>0</v>
      </c>
      <c r="D641" s="99">
        <v>0</v>
      </c>
      <c r="E641" s="99">
        <v>10</v>
      </c>
      <c r="F641" s="99">
        <v>15</v>
      </c>
      <c r="G641" s="99">
        <v>25</v>
      </c>
      <c r="H641" s="99">
        <v>40</v>
      </c>
      <c r="I641" s="96" t="s">
        <v>29</v>
      </c>
      <c r="J641" s="93"/>
      <c r="K641" s="93">
        <v>2234</v>
      </c>
      <c r="L641" s="103">
        <v>0</v>
      </c>
      <c r="M641" s="103">
        <v>10</v>
      </c>
      <c r="N641" s="103">
        <v>20</v>
      </c>
      <c r="O641" s="103">
        <v>30</v>
      </c>
      <c r="P641" s="103">
        <v>40</v>
      </c>
      <c r="Q641" s="93">
        <v>55</v>
      </c>
      <c r="R641" s="93">
        <v>75</v>
      </c>
      <c r="S641" s="93" t="s">
        <v>29</v>
      </c>
      <c r="T641" s="93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CA641" s="12"/>
      <c r="CB641" s="12"/>
    </row>
    <row r="642" spans="1:80" x14ac:dyDescent="0.2">
      <c r="A642" s="96">
        <v>2136</v>
      </c>
      <c r="B642" s="99">
        <v>0</v>
      </c>
      <c r="C642" s="99">
        <v>0</v>
      </c>
      <c r="D642" s="99">
        <v>0</v>
      </c>
      <c r="E642" s="99">
        <v>10</v>
      </c>
      <c r="F642" s="99">
        <v>15</v>
      </c>
      <c r="G642" s="99">
        <v>25</v>
      </c>
      <c r="H642" s="99">
        <v>40</v>
      </c>
      <c r="I642" s="96" t="s">
        <v>29</v>
      </c>
      <c r="J642" s="93"/>
      <c r="K642" s="93">
        <v>2235</v>
      </c>
      <c r="L642" s="103">
        <v>0</v>
      </c>
      <c r="M642" s="103">
        <v>10</v>
      </c>
      <c r="N642" s="103">
        <v>20</v>
      </c>
      <c r="O642" s="103">
        <v>30</v>
      </c>
      <c r="P642" s="103">
        <v>40</v>
      </c>
      <c r="Q642" s="93">
        <v>55</v>
      </c>
      <c r="R642" s="93">
        <v>75</v>
      </c>
      <c r="S642" s="93" t="s">
        <v>29</v>
      </c>
      <c r="T642" s="93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CA642" s="12"/>
      <c r="CB642" s="12"/>
    </row>
    <row r="643" spans="1:80" x14ac:dyDescent="0.2">
      <c r="A643" s="96">
        <v>2137</v>
      </c>
      <c r="B643" s="99">
        <v>0</v>
      </c>
      <c r="C643" s="99">
        <v>0</v>
      </c>
      <c r="D643" s="99">
        <v>0</v>
      </c>
      <c r="E643" s="99">
        <v>10</v>
      </c>
      <c r="F643" s="99">
        <v>15</v>
      </c>
      <c r="G643" s="99">
        <v>25</v>
      </c>
      <c r="H643" s="99">
        <v>40</v>
      </c>
      <c r="I643" s="96" t="s">
        <v>29</v>
      </c>
      <c r="J643" s="93"/>
      <c r="K643" s="93">
        <v>2236</v>
      </c>
      <c r="L643" s="103">
        <v>0</v>
      </c>
      <c r="M643" s="103">
        <v>10</v>
      </c>
      <c r="N643" s="103">
        <v>20</v>
      </c>
      <c r="O643" s="103">
        <v>30</v>
      </c>
      <c r="P643" s="103">
        <v>40</v>
      </c>
      <c r="Q643" s="93">
        <v>55</v>
      </c>
      <c r="R643" s="93">
        <v>75</v>
      </c>
      <c r="S643" s="93" t="s">
        <v>29</v>
      </c>
      <c r="T643" s="93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CA643" s="12"/>
      <c r="CB643" s="12"/>
    </row>
    <row r="644" spans="1:80" x14ac:dyDescent="0.2">
      <c r="A644" s="96">
        <v>2138</v>
      </c>
      <c r="B644" s="99">
        <v>0</v>
      </c>
      <c r="C644" s="99">
        <v>0</v>
      </c>
      <c r="D644" s="99">
        <v>0</v>
      </c>
      <c r="E644" s="99">
        <v>10</v>
      </c>
      <c r="F644" s="99">
        <v>15</v>
      </c>
      <c r="G644" s="99">
        <v>25</v>
      </c>
      <c r="H644" s="99">
        <v>40</v>
      </c>
      <c r="I644" s="96" t="s">
        <v>29</v>
      </c>
      <c r="J644" s="93"/>
      <c r="K644" s="93">
        <v>2237</v>
      </c>
      <c r="L644" s="103">
        <v>0</v>
      </c>
      <c r="M644" s="103">
        <v>10</v>
      </c>
      <c r="N644" s="103">
        <v>20</v>
      </c>
      <c r="O644" s="103">
        <v>30</v>
      </c>
      <c r="P644" s="103">
        <v>40</v>
      </c>
      <c r="Q644" s="93">
        <v>55</v>
      </c>
      <c r="R644" s="93">
        <v>75</v>
      </c>
      <c r="S644" s="93" t="s">
        <v>29</v>
      </c>
      <c r="T644" s="93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CA644" s="12"/>
      <c r="CB644" s="12"/>
    </row>
    <row r="645" spans="1:80" x14ac:dyDescent="0.2">
      <c r="A645" s="96">
        <v>2139</v>
      </c>
      <c r="B645" s="99">
        <v>0</v>
      </c>
      <c r="C645" s="99">
        <v>0</v>
      </c>
      <c r="D645" s="99">
        <v>0</v>
      </c>
      <c r="E645" s="99">
        <v>10</v>
      </c>
      <c r="F645" s="99">
        <v>15</v>
      </c>
      <c r="G645" s="99">
        <v>25</v>
      </c>
      <c r="H645" s="99">
        <v>40</v>
      </c>
      <c r="I645" s="96" t="s">
        <v>29</v>
      </c>
      <c r="J645" s="93"/>
      <c r="K645" s="93">
        <v>2238</v>
      </c>
      <c r="L645" s="103">
        <v>0</v>
      </c>
      <c r="M645" s="103">
        <v>10</v>
      </c>
      <c r="N645" s="103">
        <v>20</v>
      </c>
      <c r="O645" s="103">
        <v>30</v>
      </c>
      <c r="P645" s="103">
        <v>40</v>
      </c>
      <c r="Q645" s="93">
        <v>55</v>
      </c>
      <c r="R645" s="93">
        <v>75</v>
      </c>
      <c r="S645" s="93" t="s">
        <v>29</v>
      </c>
      <c r="T645" s="93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CA645" s="12"/>
      <c r="CB645" s="12"/>
    </row>
    <row r="646" spans="1:80" x14ac:dyDescent="0.2">
      <c r="A646" s="96">
        <v>2140</v>
      </c>
      <c r="B646" s="99">
        <v>0</v>
      </c>
      <c r="C646" s="99">
        <v>0</v>
      </c>
      <c r="D646" s="99">
        <v>0</v>
      </c>
      <c r="E646" s="99">
        <v>10</v>
      </c>
      <c r="F646" s="99">
        <v>15</v>
      </c>
      <c r="G646" s="99">
        <v>25</v>
      </c>
      <c r="H646" s="99">
        <v>40</v>
      </c>
      <c r="I646" s="96" t="s">
        <v>29</v>
      </c>
      <c r="J646" s="93"/>
      <c r="K646" s="93">
        <v>2239</v>
      </c>
      <c r="L646" s="103">
        <v>0</v>
      </c>
      <c r="M646" s="103">
        <v>10</v>
      </c>
      <c r="N646" s="103">
        <v>20</v>
      </c>
      <c r="O646" s="103">
        <v>30</v>
      </c>
      <c r="P646" s="103">
        <v>40</v>
      </c>
      <c r="Q646" s="93">
        <v>55</v>
      </c>
      <c r="R646" s="93">
        <v>75</v>
      </c>
      <c r="S646" s="93" t="s">
        <v>29</v>
      </c>
      <c r="T646" s="93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CA646" s="12"/>
      <c r="CB646" s="12"/>
    </row>
    <row r="647" spans="1:80" x14ac:dyDescent="0.2">
      <c r="A647" s="96">
        <v>2141</v>
      </c>
      <c r="B647" s="99">
        <v>0</v>
      </c>
      <c r="C647" s="99">
        <v>0</v>
      </c>
      <c r="D647" s="99">
        <v>0</v>
      </c>
      <c r="E647" s="99">
        <v>5</v>
      </c>
      <c r="F647" s="99">
        <v>15</v>
      </c>
      <c r="G647" s="99">
        <v>20</v>
      </c>
      <c r="H647" s="99">
        <v>35</v>
      </c>
      <c r="I647" s="96" t="s">
        <v>29</v>
      </c>
      <c r="J647" s="93"/>
      <c r="K647" s="93">
        <v>2240</v>
      </c>
      <c r="L647" s="103">
        <v>0</v>
      </c>
      <c r="M647" s="103">
        <v>10</v>
      </c>
      <c r="N647" s="103">
        <v>20</v>
      </c>
      <c r="O647" s="103">
        <v>30</v>
      </c>
      <c r="P647" s="103">
        <v>40</v>
      </c>
      <c r="Q647" s="93">
        <v>55</v>
      </c>
      <c r="R647" s="93">
        <v>75</v>
      </c>
      <c r="S647" s="93" t="s">
        <v>29</v>
      </c>
      <c r="T647" s="93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CA647" s="12"/>
      <c r="CB647" s="12"/>
    </row>
    <row r="648" spans="1:80" x14ac:dyDescent="0.2">
      <c r="A648" s="96">
        <v>2142</v>
      </c>
      <c r="B648" s="99">
        <v>0</v>
      </c>
      <c r="C648" s="99">
        <v>0</v>
      </c>
      <c r="D648" s="99">
        <v>0</v>
      </c>
      <c r="E648" s="99">
        <v>5</v>
      </c>
      <c r="F648" s="99">
        <v>15</v>
      </c>
      <c r="G648" s="99">
        <v>20</v>
      </c>
      <c r="H648" s="99">
        <v>35</v>
      </c>
      <c r="I648" s="96" t="s">
        <v>29</v>
      </c>
      <c r="J648" s="93"/>
      <c r="K648" s="93">
        <v>2241</v>
      </c>
      <c r="L648" s="103">
        <v>0</v>
      </c>
      <c r="M648" s="103">
        <v>5</v>
      </c>
      <c r="N648" s="103">
        <v>15</v>
      </c>
      <c r="O648" s="103">
        <v>25</v>
      </c>
      <c r="P648" s="103">
        <v>35</v>
      </c>
      <c r="Q648" s="93">
        <v>50</v>
      </c>
      <c r="R648" s="93">
        <v>70</v>
      </c>
      <c r="S648" s="93" t="s">
        <v>29</v>
      </c>
      <c r="T648" s="93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CA648" s="12"/>
      <c r="CB648" s="12"/>
    </row>
    <row r="649" spans="1:80" x14ac:dyDescent="0.2">
      <c r="A649" s="96">
        <v>2143</v>
      </c>
      <c r="B649" s="99">
        <v>0</v>
      </c>
      <c r="C649" s="99">
        <v>0</v>
      </c>
      <c r="D649" s="99">
        <v>0</v>
      </c>
      <c r="E649" s="99">
        <v>5</v>
      </c>
      <c r="F649" s="99">
        <v>15</v>
      </c>
      <c r="G649" s="99">
        <v>20</v>
      </c>
      <c r="H649" s="99">
        <v>35</v>
      </c>
      <c r="I649" s="96" t="s">
        <v>29</v>
      </c>
      <c r="J649" s="93"/>
      <c r="K649" s="93">
        <v>2242</v>
      </c>
      <c r="L649" s="103">
        <v>0</v>
      </c>
      <c r="M649" s="103">
        <v>5</v>
      </c>
      <c r="N649" s="103">
        <v>15</v>
      </c>
      <c r="O649" s="103">
        <v>25</v>
      </c>
      <c r="P649" s="103">
        <v>35</v>
      </c>
      <c r="Q649" s="93">
        <v>50</v>
      </c>
      <c r="R649" s="93">
        <v>70</v>
      </c>
      <c r="S649" s="93" t="s">
        <v>29</v>
      </c>
      <c r="T649" s="93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CA649" s="12"/>
      <c r="CB649" s="12"/>
    </row>
    <row r="650" spans="1:80" x14ac:dyDescent="0.2">
      <c r="A650" s="96">
        <v>2144</v>
      </c>
      <c r="B650" s="99">
        <v>0</v>
      </c>
      <c r="C650" s="99">
        <v>0</v>
      </c>
      <c r="D650" s="99">
        <v>0</v>
      </c>
      <c r="E650" s="99">
        <v>5</v>
      </c>
      <c r="F650" s="99">
        <v>15</v>
      </c>
      <c r="G650" s="99">
        <v>20</v>
      </c>
      <c r="H650" s="99">
        <v>35</v>
      </c>
      <c r="I650" s="96" t="s">
        <v>29</v>
      </c>
      <c r="J650" s="93"/>
      <c r="K650" s="93">
        <v>2243</v>
      </c>
      <c r="L650" s="103">
        <v>0</v>
      </c>
      <c r="M650" s="103">
        <v>5</v>
      </c>
      <c r="N650" s="103">
        <v>15</v>
      </c>
      <c r="O650" s="103">
        <v>25</v>
      </c>
      <c r="P650" s="103">
        <v>35</v>
      </c>
      <c r="Q650" s="93">
        <v>50</v>
      </c>
      <c r="R650" s="93">
        <v>70</v>
      </c>
      <c r="S650" s="93" t="s">
        <v>29</v>
      </c>
      <c r="T650" s="93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CA650" s="12"/>
      <c r="CB650" s="12"/>
    </row>
    <row r="651" spans="1:80" x14ac:dyDescent="0.2">
      <c r="A651" s="96">
        <v>2145</v>
      </c>
      <c r="B651" s="99">
        <v>0</v>
      </c>
      <c r="C651" s="99">
        <v>0</v>
      </c>
      <c r="D651" s="99">
        <v>0</v>
      </c>
      <c r="E651" s="99">
        <v>5</v>
      </c>
      <c r="F651" s="99">
        <v>15</v>
      </c>
      <c r="G651" s="99">
        <v>20</v>
      </c>
      <c r="H651" s="99">
        <v>35</v>
      </c>
      <c r="I651" s="96" t="s">
        <v>29</v>
      </c>
      <c r="J651" s="93"/>
      <c r="K651" s="93">
        <v>2244</v>
      </c>
      <c r="L651" s="103">
        <v>0</v>
      </c>
      <c r="M651" s="103">
        <v>5</v>
      </c>
      <c r="N651" s="103">
        <v>15</v>
      </c>
      <c r="O651" s="103">
        <v>25</v>
      </c>
      <c r="P651" s="103">
        <v>35</v>
      </c>
      <c r="Q651" s="93">
        <v>50</v>
      </c>
      <c r="R651" s="93">
        <v>70</v>
      </c>
      <c r="S651" s="93" t="s">
        <v>29</v>
      </c>
      <c r="T651" s="93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CA651" s="12"/>
      <c r="CB651" s="12"/>
    </row>
    <row r="652" spans="1:80" x14ac:dyDescent="0.2">
      <c r="A652" s="96">
        <v>2146</v>
      </c>
      <c r="B652" s="99">
        <v>0</v>
      </c>
      <c r="C652" s="99">
        <v>0</v>
      </c>
      <c r="D652" s="99">
        <v>0</v>
      </c>
      <c r="E652" s="99">
        <v>5</v>
      </c>
      <c r="F652" s="99">
        <v>15</v>
      </c>
      <c r="G652" s="99">
        <v>20</v>
      </c>
      <c r="H652" s="99">
        <v>35</v>
      </c>
      <c r="I652" s="96" t="s">
        <v>29</v>
      </c>
      <c r="J652" s="93"/>
      <c r="K652" s="93">
        <v>2245</v>
      </c>
      <c r="L652" s="103">
        <v>0</v>
      </c>
      <c r="M652" s="103">
        <v>5</v>
      </c>
      <c r="N652" s="103">
        <v>15</v>
      </c>
      <c r="O652" s="103">
        <v>25</v>
      </c>
      <c r="P652" s="103">
        <v>35</v>
      </c>
      <c r="Q652" s="93">
        <v>50</v>
      </c>
      <c r="R652" s="93">
        <v>70</v>
      </c>
      <c r="S652" s="93" t="s">
        <v>29</v>
      </c>
      <c r="T652" s="93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CA652" s="12"/>
      <c r="CB652" s="12"/>
    </row>
    <row r="653" spans="1:80" x14ac:dyDescent="0.2">
      <c r="A653" s="96">
        <v>2147</v>
      </c>
      <c r="B653" s="99">
        <v>0</v>
      </c>
      <c r="C653" s="99">
        <v>0</v>
      </c>
      <c r="D653" s="99">
        <v>0</v>
      </c>
      <c r="E653" s="99">
        <v>5</v>
      </c>
      <c r="F653" s="99">
        <v>15</v>
      </c>
      <c r="G653" s="99">
        <v>20</v>
      </c>
      <c r="H653" s="99">
        <v>35</v>
      </c>
      <c r="I653" s="96" t="s">
        <v>29</v>
      </c>
      <c r="J653" s="93"/>
      <c r="K653" s="93">
        <v>2246</v>
      </c>
      <c r="L653" s="103">
        <v>0</v>
      </c>
      <c r="M653" s="103">
        <v>5</v>
      </c>
      <c r="N653" s="103">
        <v>15</v>
      </c>
      <c r="O653" s="103">
        <v>25</v>
      </c>
      <c r="P653" s="103">
        <v>35</v>
      </c>
      <c r="Q653" s="93">
        <v>50</v>
      </c>
      <c r="R653" s="93">
        <v>70</v>
      </c>
      <c r="S653" s="93" t="s">
        <v>29</v>
      </c>
      <c r="T653" s="93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CA653" s="12"/>
      <c r="CB653" s="12"/>
    </row>
    <row r="654" spans="1:80" x14ac:dyDescent="0.2">
      <c r="A654" s="96">
        <v>2148</v>
      </c>
      <c r="B654" s="99">
        <v>0</v>
      </c>
      <c r="C654" s="99">
        <v>0</v>
      </c>
      <c r="D654" s="99">
        <v>0</v>
      </c>
      <c r="E654" s="99">
        <v>5</v>
      </c>
      <c r="F654" s="99">
        <v>15</v>
      </c>
      <c r="G654" s="99">
        <v>20</v>
      </c>
      <c r="H654" s="99">
        <v>35</v>
      </c>
      <c r="I654" s="96" t="s">
        <v>29</v>
      </c>
      <c r="J654" s="93"/>
      <c r="K654" s="93">
        <v>2247</v>
      </c>
      <c r="L654" s="103">
        <v>0</v>
      </c>
      <c r="M654" s="103">
        <v>5</v>
      </c>
      <c r="N654" s="103">
        <v>15</v>
      </c>
      <c r="O654" s="103">
        <v>25</v>
      </c>
      <c r="P654" s="103">
        <v>35</v>
      </c>
      <c r="Q654" s="93">
        <v>50</v>
      </c>
      <c r="R654" s="93">
        <v>70</v>
      </c>
      <c r="S654" s="93" t="s">
        <v>29</v>
      </c>
      <c r="T654" s="93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CA654" s="12"/>
      <c r="CB654" s="12"/>
    </row>
    <row r="655" spans="1:80" x14ac:dyDescent="0.2">
      <c r="A655" s="96">
        <v>2149</v>
      </c>
      <c r="B655" s="99">
        <v>0</v>
      </c>
      <c r="C655" s="99">
        <v>0</v>
      </c>
      <c r="D655" s="99">
        <v>0</v>
      </c>
      <c r="E655" s="99">
        <v>5</v>
      </c>
      <c r="F655" s="99">
        <v>15</v>
      </c>
      <c r="G655" s="99">
        <v>20</v>
      </c>
      <c r="H655" s="99">
        <v>35</v>
      </c>
      <c r="I655" s="96" t="s">
        <v>29</v>
      </c>
      <c r="J655" s="93"/>
      <c r="K655" s="93">
        <v>2248</v>
      </c>
      <c r="L655" s="103">
        <v>0</v>
      </c>
      <c r="M655" s="103">
        <v>5</v>
      </c>
      <c r="N655" s="103">
        <v>15</v>
      </c>
      <c r="O655" s="103">
        <v>25</v>
      </c>
      <c r="P655" s="103">
        <v>35</v>
      </c>
      <c r="Q655" s="93">
        <v>50</v>
      </c>
      <c r="R655" s="93">
        <v>70</v>
      </c>
      <c r="S655" s="93" t="s">
        <v>29</v>
      </c>
      <c r="T655" s="93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CA655" s="12"/>
      <c r="CB655" s="12"/>
    </row>
    <row r="656" spans="1:80" x14ac:dyDescent="0.2">
      <c r="A656" s="96">
        <v>2150</v>
      </c>
      <c r="B656" s="99">
        <v>0</v>
      </c>
      <c r="C656" s="99">
        <v>0</v>
      </c>
      <c r="D656" s="99">
        <v>0</v>
      </c>
      <c r="E656" s="99">
        <v>5</v>
      </c>
      <c r="F656" s="99">
        <v>15</v>
      </c>
      <c r="G656" s="99">
        <v>20</v>
      </c>
      <c r="H656" s="99">
        <v>35</v>
      </c>
      <c r="I656" s="96" t="s">
        <v>29</v>
      </c>
      <c r="J656" s="93"/>
      <c r="K656" s="93">
        <v>2249</v>
      </c>
      <c r="L656" s="103">
        <v>0</v>
      </c>
      <c r="M656" s="103">
        <v>5</v>
      </c>
      <c r="N656" s="103">
        <v>15</v>
      </c>
      <c r="O656" s="103">
        <v>25</v>
      </c>
      <c r="P656" s="103">
        <v>35</v>
      </c>
      <c r="Q656" s="93">
        <v>50</v>
      </c>
      <c r="R656" s="93">
        <v>70</v>
      </c>
      <c r="S656" s="93" t="s">
        <v>29</v>
      </c>
      <c r="T656" s="93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CA656" s="12"/>
      <c r="CB656" s="12"/>
    </row>
    <row r="657" spans="1:80" x14ac:dyDescent="0.2">
      <c r="A657" s="96">
        <v>2151</v>
      </c>
      <c r="B657" s="99">
        <v>0</v>
      </c>
      <c r="C657" s="99">
        <v>0</v>
      </c>
      <c r="D657" s="99">
        <v>0</v>
      </c>
      <c r="E657" s="99">
        <v>5</v>
      </c>
      <c r="F657" s="99">
        <v>10</v>
      </c>
      <c r="G657" s="99">
        <v>20</v>
      </c>
      <c r="H657" s="99">
        <v>30</v>
      </c>
      <c r="I657" s="96" t="s">
        <v>29</v>
      </c>
      <c r="J657" s="93"/>
      <c r="K657" s="93">
        <v>2250</v>
      </c>
      <c r="L657" s="103">
        <v>0</v>
      </c>
      <c r="M657" s="103">
        <v>5</v>
      </c>
      <c r="N657" s="103">
        <v>15</v>
      </c>
      <c r="O657" s="103">
        <v>25</v>
      </c>
      <c r="P657" s="103">
        <v>35</v>
      </c>
      <c r="Q657" s="93">
        <v>50</v>
      </c>
      <c r="R657" s="93">
        <v>70</v>
      </c>
      <c r="S657" s="93" t="s">
        <v>29</v>
      </c>
      <c r="T657" s="93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CA657" s="12"/>
      <c r="CB657" s="12"/>
    </row>
    <row r="658" spans="1:80" x14ac:dyDescent="0.2">
      <c r="A658" s="96">
        <v>2152</v>
      </c>
      <c r="B658" s="99">
        <v>0</v>
      </c>
      <c r="C658" s="99">
        <v>0</v>
      </c>
      <c r="D658" s="99">
        <v>0</v>
      </c>
      <c r="E658" s="99">
        <v>5</v>
      </c>
      <c r="F658" s="99">
        <v>10</v>
      </c>
      <c r="G658" s="99">
        <v>20</v>
      </c>
      <c r="H658" s="99">
        <v>30</v>
      </c>
      <c r="I658" s="96" t="s">
        <v>29</v>
      </c>
      <c r="J658" s="93"/>
      <c r="K658" s="93">
        <v>2251</v>
      </c>
      <c r="L658" s="103">
        <v>0</v>
      </c>
      <c r="M658" s="103">
        <v>5</v>
      </c>
      <c r="N658" s="103">
        <v>15</v>
      </c>
      <c r="O658" s="103">
        <v>25</v>
      </c>
      <c r="P658" s="103">
        <v>35</v>
      </c>
      <c r="Q658" s="103">
        <v>45</v>
      </c>
      <c r="R658" s="93">
        <v>70</v>
      </c>
      <c r="S658" s="93" t="s">
        <v>29</v>
      </c>
      <c r="T658" s="93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CA658" s="12"/>
      <c r="CB658" s="12"/>
    </row>
    <row r="659" spans="1:80" x14ac:dyDescent="0.2">
      <c r="A659" s="96">
        <v>2153</v>
      </c>
      <c r="B659" s="99">
        <v>0</v>
      </c>
      <c r="C659" s="99">
        <v>0</v>
      </c>
      <c r="D659" s="99">
        <v>0</v>
      </c>
      <c r="E659" s="99">
        <v>5</v>
      </c>
      <c r="F659" s="99">
        <v>10</v>
      </c>
      <c r="G659" s="99">
        <v>20</v>
      </c>
      <c r="H659" s="99">
        <v>30</v>
      </c>
      <c r="I659" s="96" t="s">
        <v>29</v>
      </c>
      <c r="J659" s="93"/>
      <c r="K659" s="93">
        <v>2252</v>
      </c>
      <c r="L659" s="103">
        <v>0</v>
      </c>
      <c r="M659" s="103">
        <v>5</v>
      </c>
      <c r="N659" s="103">
        <v>15</v>
      </c>
      <c r="O659" s="103">
        <v>25</v>
      </c>
      <c r="P659" s="103">
        <v>35</v>
      </c>
      <c r="Q659" s="103">
        <v>45</v>
      </c>
      <c r="R659" s="93">
        <v>70</v>
      </c>
      <c r="S659" s="93" t="s">
        <v>29</v>
      </c>
      <c r="T659" s="93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CA659" s="12"/>
      <c r="CB659" s="12"/>
    </row>
    <row r="660" spans="1:80" x14ac:dyDescent="0.2">
      <c r="A660" s="96">
        <v>2154</v>
      </c>
      <c r="B660" s="99">
        <v>0</v>
      </c>
      <c r="C660" s="99">
        <v>0</v>
      </c>
      <c r="D660" s="99">
        <v>0</v>
      </c>
      <c r="E660" s="99">
        <v>5</v>
      </c>
      <c r="F660" s="99">
        <v>10</v>
      </c>
      <c r="G660" s="99">
        <v>20</v>
      </c>
      <c r="H660" s="99">
        <v>30</v>
      </c>
      <c r="I660" s="96" t="s">
        <v>29</v>
      </c>
      <c r="J660" s="93"/>
      <c r="K660" s="93">
        <v>2253</v>
      </c>
      <c r="L660" s="103">
        <v>0</v>
      </c>
      <c r="M660" s="103">
        <v>5</v>
      </c>
      <c r="N660" s="103">
        <v>15</v>
      </c>
      <c r="O660" s="103">
        <v>25</v>
      </c>
      <c r="P660" s="103">
        <v>35</v>
      </c>
      <c r="Q660" s="103">
        <v>45</v>
      </c>
      <c r="R660" s="93">
        <v>70</v>
      </c>
      <c r="S660" s="93" t="s">
        <v>29</v>
      </c>
      <c r="T660" s="93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CA660" s="12"/>
      <c r="CB660" s="12"/>
    </row>
    <row r="661" spans="1:80" x14ac:dyDescent="0.2">
      <c r="A661" s="96">
        <v>2155</v>
      </c>
      <c r="B661" s="99">
        <v>0</v>
      </c>
      <c r="C661" s="99">
        <v>0</v>
      </c>
      <c r="D661" s="99">
        <v>0</v>
      </c>
      <c r="E661" s="99">
        <v>5</v>
      </c>
      <c r="F661" s="99">
        <v>10</v>
      </c>
      <c r="G661" s="99">
        <v>20</v>
      </c>
      <c r="H661" s="99">
        <v>30</v>
      </c>
      <c r="I661" s="96" t="s">
        <v>29</v>
      </c>
      <c r="J661" s="93"/>
      <c r="K661" s="93">
        <v>2254</v>
      </c>
      <c r="L661" s="103">
        <v>0</v>
      </c>
      <c r="M661" s="103">
        <v>5</v>
      </c>
      <c r="N661" s="103">
        <v>15</v>
      </c>
      <c r="O661" s="103">
        <v>25</v>
      </c>
      <c r="P661" s="103">
        <v>35</v>
      </c>
      <c r="Q661" s="103">
        <v>45</v>
      </c>
      <c r="R661" s="93">
        <v>70</v>
      </c>
      <c r="S661" s="93" t="s">
        <v>29</v>
      </c>
      <c r="T661" s="93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CA661" s="12"/>
      <c r="CB661" s="12"/>
    </row>
    <row r="662" spans="1:80" x14ac:dyDescent="0.2">
      <c r="A662" s="96">
        <v>2156</v>
      </c>
      <c r="B662" s="99">
        <v>0</v>
      </c>
      <c r="C662" s="99">
        <v>0</v>
      </c>
      <c r="D662" s="99">
        <v>0</v>
      </c>
      <c r="E662" s="99">
        <v>5</v>
      </c>
      <c r="F662" s="99">
        <v>10</v>
      </c>
      <c r="G662" s="99">
        <v>20</v>
      </c>
      <c r="H662" s="99">
        <v>30</v>
      </c>
      <c r="I662" s="96" t="s">
        <v>29</v>
      </c>
      <c r="J662" s="93"/>
      <c r="K662" s="93">
        <v>2255</v>
      </c>
      <c r="L662" s="103">
        <v>0</v>
      </c>
      <c r="M662" s="103">
        <v>5</v>
      </c>
      <c r="N662" s="103">
        <v>15</v>
      </c>
      <c r="O662" s="103">
        <v>25</v>
      </c>
      <c r="P662" s="103">
        <v>35</v>
      </c>
      <c r="Q662" s="103">
        <v>45</v>
      </c>
      <c r="R662" s="93">
        <v>70</v>
      </c>
      <c r="S662" s="93" t="s">
        <v>29</v>
      </c>
      <c r="T662" s="93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CA662" s="12"/>
      <c r="CB662" s="12"/>
    </row>
    <row r="663" spans="1:80" x14ac:dyDescent="0.2">
      <c r="A663" s="96">
        <v>2157</v>
      </c>
      <c r="B663" s="99">
        <v>0</v>
      </c>
      <c r="C663" s="99">
        <v>0</v>
      </c>
      <c r="D663" s="99">
        <v>0</v>
      </c>
      <c r="E663" s="99">
        <v>5</v>
      </c>
      <c r="F663" s="99">
        <v>10</v>
      </c>
      <c r="G663" s="99">
        <v>20</v>
      </c>
      <c r="H663" s="99">
        <v>30</v>
      </c>
      <c r="I663" s="96" t="s">
        <v>29</v>
      </c>
      <c r="J663" s="93"/>
      <c r="K663" s="93">
        <v>2256</v>
      </c>
      <c r="L663" s="103">
        <v>0</v>
      </c>
      <c r="M663" s="103">
        <v>5</v>
      </c>
      <c r="N663" s="103">
        <v>15</v>
      </c>
      <c r="O663" s="103">
        <v>25</v>
      </c>
      <c r="P663" s="103">
        <v>35</v>
      </c>
      <c r="Q663" s="103">
        <v>45</v>
      </c>
      <c r="R663" s="93">
        <v>70</v>
      </c>
      <c r="S663" s="93" t="s">
        <v>29</v>
      </c>
      <c r="T663" s="93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CA663" s="12"/>
      <c r="CB663" s="12"/>
    </row>
    <row r="664" spans="1:80" x14ac:dyDescent="0.2">
      <c r="A664" s="96">
        <v>2158</v>
      </c>
      <c r="B664" s="99">
        <v>0</v>
      </c>
      <c r="C664" s="99">
        <v>0</v>
      </c>
      <c r="D664" s="99">
        <v>0</v>
      </c>
      <c r="E664" s="99">
        <v>5</v>
      </c>
      <c r="F664" s="99">
        <v>10</v>
      </c>
      <c r="G664" s="99">
        <v>20</v>
      </c>
      <c r="H664" s="99">
        <v>30</v>
      </c>
      <c r="I664" s="96" t="s">
        <v>29</v>
      </c>
      <c r="J664" s="93"/>
      <c r="K664" s="93">
        <v>2257</v>
      </c>
      <c r="L664" s="103">
        <v>0</v>
      </c>
      <c r="M664" s="103">
        <v>5</v>
      </c>
      <c r="N664" s="103">
        <v>15</v>
      </c>
      <c r="O664" s="103">
        <v>25</v>
      </c>
      <c r="P664" s="103">
        <v>35</v>
      </c>
      <c r="Q664" s="103">
        <v>45</v>
      </c>
      <c r="R664" s="93">
        <v>70</v>
      </c>
      <c r="S664" s="93" t="s">
        <v>29</v>
      </c>
      <c r="T664" s="93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CA664" s="12"/>
      <c r="CB664" s="12"/>
    </row>
    <row r="665" spans="1:80" x14ac:dyDescent="0.2">
      <c r="A665" s="96">
        <v>2159</v>
      </c>
      <c r="B665" s="99">
        <v>0</v>
      </c>
      <c r="C665" s="99">
        <v>0</v>
      </c>
      <c r="D665" s="99">
        <v>0</v>
      </c>
      <c r="E665" s="99">
        <v>5</v>
      </c>
      <c r="F665" s="99">
        <v>10</v>
      </c>
      <c r="G665" s="99">
        <v>20</v>
      </c>
      <c r="H665" s="99">
        <v>30</v>
      </c>
      <c r="I665" s="96" t="s">
        <v>29</v>
      </c>
      <c r="J665" s="93"/>
      <c r="K665" s="93">
        <v>2258</v>
      </c>
      <c r="L665" s="103">
        <v>0</v>
      </c>
      <c r="M665" s="103">
        <v>5</v>
      </c>
      <c r="N665" s="103">
        <v>15</v>
      </c>
      <c r="O665" s="103">
        <v>25</v>
      </c>
      <c r="P665" s="103">
        <v>35</v>
      </c>
      <c r="Q665" s="103">
        <v>45</v>
      </c>
      <c r="R665" s="93">
        <v>70</v>
      </c>
      <c r="S665" s="93" t="s">
        <v>29</v>
      </c>
      <c r="T665" s="93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CA665" s="12"/>
      <c r="CB665" s="12"/>
    </row>
    <row r="666" spans="1:80" x14ac:dyDescent="0.2">
      <c r="A666" s="96">
        <v>2200</v>
      </c>
      <c r="B666" s="99">
        <v>0</v>
      </c>
      <c r="C666" s="99">
        <v>0</v>
      </c>
      <c r="D666" s="99">
        <v>0</v>
      </c>
      <c r="E666" s="99">
        <v>5</v>
      </c>
      <c r="F666" s="99">
        <v>10</v>
      </c>
      <c r="G666" s="99">
        <v>20</v>
      </c>
      <c r="H666" s="99">
        <v>30</v>
      </c>
      <c r="I666" s="96" t="s">
        <v>29</v>
      </c>
      <c r="J666" s="93"/>
      <c r="K666" s="93">
        <v>2259</v>
      </c>
      <c r="L666" s="103">
        <v>0</v>
      </c>
      <c r="M666" s="103">
        <v>5</v>
      </c>
      <c r="N666" s="103">
        <v>15</v>
      </c>
      <c r="O666" s="103">
        <v>25</v>
      </c>
      <c r="P666" s="103">
        <v>35</v>
      </c>
      <c r="Q666" s="103">
        <v>45</v>
      </c>
      <c r="R666" s="93">
        <v>70</v>
      </c>
      <c r="S666" s="93" t="s">
        <v>29</v>
      </c>
      <c r="T666" s="93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CA666" s="12"/>
      <c r="CB666" s="12"/>
    </row>
    <row r="667" spans="1:80" x14ac:dyDescent="0.2">
      <c r="A667" s="96">
        <v>2201</v>
      </c>
      <c r="B667" s="99">
        <v>0</v>
      </c>
      <c r="C667" s="99">
        <v>0</v>
      </c>
      <c r="D667" s="99">
        <v>0</v>
      </c>
      <c r="E667" s="99">
        <v>0</v>
      </c>
      <c r="F667" s="99">
        <v>10</v>
      </c>
      <c r="G667" s="99">
        <v>15</v>
      </c>
      <c r="H667" s="99">
        <v>30</v>
      </c>
      <c r="I667" s="96" t="s">
        <v>29</v>
      </c>
      <c r="J667" s="93"/>
      <c r="K667" s="93">
        <v>2300</v>
      </c>
      <c r="L667" s="103">
        <v>0</v>
      </c>
      <c r="M667" s="103">
        <v>5</v>
      </c>
      <c r="N667" s="103">
        <v>15</v>
      </c>
      <c r="O667" s="103">
        <v>25</v>
      </c>
      <c r="P667" s="103">
        <v>35</v>
      </c>
      <c r="Q667" s="103">
        <v>45</v>
      </c>
      <c r="R667" s="93">
        <v>70</v>
      </c>
      <c r="S667" s="93" t="s">
        <v>29</v>
      </c>
      <c r="T667" s="93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CA667" s="12"/>
      <c r="CB667" s="12"/>
    </row>
    <row r="668" spans="1:80" x14ac:dyDescent="0.2">
      <c r="A668" s="96">
        <v>2202</v>
      </c>
      <c r="B668" s="99">
        <v>0</v>
      </c>
      <c r="C668" s="99">
        <v>0</v>
      </c>
      <c r="D668" s="99">
        <v>0</v>
      </c>
      <c r="E668" s="99">
        <v>0</v>
      </c>
      <c r="F668" s="99">
        <v>10</v>
      </c>
      <c r="G668" s="99">
        <v>15</v>
      </c>
      <c r="H668" s="99">
        <v>30</v>
      </c>
      <c r="I668" s="96" t="s">
        <v>29</v>
      </c>
      <c r="J668" s="93"/>
      <c r="K668" s="93">
        <v>2301</v>
      </c>
      <c r="L668" s="103">
        <v>0</v>
      </c>
      <c r="M668" s="103">
        <v>0</v>
      </c>
      <c r="N668" s="103">
        <v>10</v>
      </c>
      <c r="O668" s="103">
        <v>20</v>
      </c>
      <c r="P668" s="103">
        <v>30</v>
      </c>
      <c r="Q668" s="103">
        <v>40</v>
      </c>
      <c r="R668" s="93">
        <v>65</v>
      </c>
      <c r="S668" s="93" t="s">
        <v>29</v>
      </c>
      <c r="T668" s="93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CA668" s="12"/>
      <c r="CB668" s="12"/>
    </row>
    <row r="669" spans="1:80" x14ac:dyDescent="0.2">
      <c r="A669" s="96">
        <v>2203</v>
      </c>
      <c r="B669" s="99">
        <v>0</v>
      </c>
      <c r="C669" s="99">
        <v>0</v>
      </c>
      <c r="D669" s="99">
        <v>0</v>
      </c>
      <c r="E669" s="99">
        <v>0</v>
      </c>
      <c r="F669" s="99">
        <v>10</v>
      </c>
      <c r="G669" s="99">
        <v>15</v>
      </c>
      <c r="H669" s="99">
        <v>30</v>
      </c>
      <c r="I669" s="96" t="s">
        <v>29</v>
      </c>
      <c r="J669" s="93"/>
      <c r="K669" s="93">
        <v>2302</v>
      </c>
      <c r="L669" s="103">
        <v>0</v>
      </c>
      <c r="M669" s="103">
        <v>0</v>
      </c>
      <c r="N669" s="103">
        <v>10</v>
      </c>
      <c r="O669" s="103">
        <v>20</v>
      </c>
      <c r="P669" s="103">
        <v>30</v>
      </c>
      <c r="Q669" s="103">
        <v>40</v>
      </c>
      <c r="R669" s="93">
        <v>65</v>
      </c>
      <c r="S669" s="93" t="s">
        <v>29</v>
      </c>
      <c r="T669" s="93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CA669" s="12"/>
      <c r="CB669" s="12"/>
    </row>
    <row r="670" spans="1:80" x14ac:dyDescent="0.2">
      <c r="A670" s="96">
        <v>2204</v>
      </c>
      <c r="B670" s="99">
        <v>0</v>
      </c>
      <c r="C670" s="99">
        <v>0</v>
      </c>
      <c r="D670" s="99">
        <v>0</v>
      </c>
      <c r="E670" s="99">
        <v>0</v>
      </c>
      <c r="F670" s="99">
        <v>10</v>
      </c>
      <c r="G670" s="99">
        <v>15</v>
      </c>
      <c r="H670" s="99">
        <v>30</v>
      </c>
      <c r="I670" s="96" t="s">
        <v>29</v>
      </c>
      <c r="J670" s="93"/>
      <c r="K670" s="93">
        <v>2303</v>
      </c>
      <c r="L670" s="103">
        <v>0</v>
      </c>
      <c r="M670" s="103">
        <v>0</v>
      </c>
      <c r="N670" s="103">
        <v>10</v>
      </c>
      <c r="O670" s="103">
        <v>20</v>
      </c>
      <c r="P670" s="103">
        <v>30</v>
      </c>
      <c r="Q670" s="103">
        <v>40</v>
      </c>
      <c r="R670" s="93">
        <v>65</v>
      </c>
      <c r="S670" s="93" t="s">
        <v>29</v>
      </c>
      <c r="T670" s="93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CA670" s="12"/>
      <c r="CB670" s="12"/>
    </row>
    <row r="671" spans="1:80" x14ac:dyDescent="0.2">
      <c r="A671" s="96">
        <v>2205</v>
      </c>
      <c r="B671" s="99">
        <v>0</v>
      </c>
      <c r="C671" s="99">
        <v>0</v>
      </c>
      <c r="D671" s="99">
        <v>0</v>
      </c>
      <c r="E671" s="99">
        <v>0</v>
      </c>
      <c r="F671" s="99">
        <v>10</v>
      </c>
      <c r="G671" s="99">
        <v>15</v>
      </c>
      <c r="H671" s="99">
        <v>30</v>
      </c>
      <c r="I671" s="96" t="s">
        <v>29</v>
      </c>
      <c r="J671" s="93"/>
      <c r="K671" s="93">
        <v>2304</v>
      </c>
      <c r="L671" s="103">
        <v>0</v>
      </c>
      <c r="M671" s="103">
        <v>0</v>
      </c>
      <c r="N671" s="103">
        <v>10</v>
      </c>
      <c r="O671" s="103">
        <v>20</v>
      </c>
      <c r="P671" s="103">
        <v>30</v>
      </c>
      <c r="Q671" s="103">
        <v>40</v>
      </c>
      <c r="R671" s="93">
        <v>65</v>
      </c>
      <c r="S671" s="93" t="s">
        <v>29</v>
      </c>
      <c r="T671" s="93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CA671" s="12"/>
      <c r="CB671" s="12"/>
    </row>
    <row r="672" spans="1:80" x14ac:dyDescent="0.2">
      <c r="A672" s="96">
        <v>2206</v>
      </c>
      <c r="B672" s="99">
        <v>0</v>
      </c>
      <c r="C672" s="99">
        <v>0</v>
      </c>
      <c r="D672" s="99">
        <v>0</v>
      </c>
      <c r="E672" s="99">
        <v>0</v>
      </c>
      <c r="F672" s="99">
        <v>10</v>
      </c>
      <c r="G672" s="99">
        <v>15</v>
      </c>
      <c r="H672" s="99">
        <v>30</v>
      </c>
      <c r="I672" s="96" t="s">
        <v>29</v>
      </c>
      <c r="J672" s="93"/>
      <c r="K672" s="93">
        <v>2305</v>
      </c>
      <c r="L672" s="103">
        <v>0</v>
      </c>
      <c r="M672" s="103">
        <v>0</v>
      </c>
      <c r="N672" s="103">
        <v>10</v>
      </c>
      <c r="O672" s="103">
        <v>20</v>
      </c>
      <c r="P672" s="103">
        <v>30</v>
      </c>
      <c r="Q672" s="103">
        <v>40</v>
      </c>
      <c r="R672" s="93">
        <v>65</v>
      </c>
      <c r="S672" s="93" t="s">
        <v>29</v>
      </c>
      <c r="T672" s="93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CA672" s="12"/>
      <c r="CB672" s="12"/>
    </row>
    <row r="673" spans="1:80" x14ac:dyDescent="0.2">
      <c r="A673" s="96">
        <v>2207</v>
      </c>
      <c r="B673" s="99">
        <v>0</v>
      </c>
      <c r="C673" s="99">
        <v>0</v>
      </c>
      <c r="D673" s="99">
        <v>0</v>
      </c>
      <c r="E673" s="99">
        <v>0</v>
      </c>
      <c r="F673" s="99">
        <v>10</v>
      </c>
      <c r="G673" s="99">
        <v>15</v>
      </c>
      <c r="H673" s="99">
        <v>30</v>
      </c>
      <c r="I673" s="96" t="s">
        <v>29</v>
      </c>
      <c r="J673" s="93"/>
      <c r="K673" s="93">
        <v>2306</v>
      </c>
      <c r="L673" s="103">
        <v>0</v>
      </c>
      <c r="M673" s="103">
        <v>0</v>
      </c>
      <c r="N673" s="103">
        <v>10</v>
      </c>
      <c r="O673" s="103">
        <v>20</v>
      </c>
      <c r="P673" s="103">
        <v>30</v>
      </c>
      <c r="Q673" s="103">
        <v>40</v>
      </c>
      <c r="R673" s="93">
        <v>65</v>
      </c>
      <c r="S673" s="93" t="s">
        <v>29</v>
      </c>
      <c r="T673" s="93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CA673" s="12"/>
      <c r="CB673" s="12"/>
    </row>
    <row r="674" spans="1:80" x14ac:dyDescent="0.2">
      <c r="A674" s="96">
        <v>2208</v>
      </c>
      <c r="B674" s="99">
        <v>0</v>
      </c>
      <c r="C674" s="99">
        <v>0</v>
      </c>
      <c r="D674" s="99">
        <v>0</v>
      </c>
      <c r="E674" s="99">
        <v>0</v>
      </c>
      <c r="F674" s="99">
        <v>10</v>
      </c>
      <c r="G674" s="99">
        <v>15</v>
      </c>
      <c r="H674" s="99">
        <v>30</v>
      </c>
      <c r="I674" s="96" t="s">
        <v>29</v>
      </c>
      <c r="J674" s="93"/>
      <c r="K674" s="93">
        <v>2307</v>
      </c>
      <c r="L674" s="103">
        <v>0</v>
      </c>
      <c r="M674" s="103">
        <v>0</v>
      </c>
      <c r="N674" s="103">
        <v>10</v>
      </c>
      <c r="O674" s="103">
        <v>20</v>
      </c>
      <c r="P674" s="103">
        <v>30</v>
      </c>
      <c r="Q674" s="103">
        <v>40</v>
      </c>
      <c r="R674" s="93">
        <v>65</v>
      </c>
      <c r="S674" s="93" t="s">
        <v>29</v>
      </c>
      <c r="T674" s="93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CA674" s="12"/>
      <c r="CB674" s="12"/>
    </row>
    <row r="675" spans="1:80" x14ac:dyDescent="0.2">
      <c r="A675" s="96">
        <v>2209</v>
      </c>
      <c r="B675" s="99">
        <v>0</v>
      </c>
      <c r="C675" s="99">
        <v>0</v>
      </c>
      <c r="D675" s="99">
        <v>0</v>
      </c>
      <c r="E675" s="99">
        <v>0</v>
      </c>
      <c r="F675" s="99">
        <v>10</v>
      </c>
      <c r="G675" s="99">
        <v>15</v>
      </c>
      <c r="H675" s="99">
        <v>30</v>
      </c>
      <c r="I675" s="96" t="s">
        <v>29</v>
      </c>
      <c r="J675" s="93"/>
      <c r="K675" s="93">
        <v>2308</v>
      </c>
      <c r="L675" s="103">
        <v>0</v>
      </c>
      <c r="M675" s="103">
        <v>0</v>
      </c>
      <c r="N675" s="103">
        <v>10</v>
      </c>
      <c r="O675" s="103">
        <v>20</v>
      </c>
      <c r="P675" s="103">
        <v>30</v>
      </c>
      <c r="Q675" s="103">
        <v>40</v>
      </c>
      <c r="R675" s="93">
        <v>65</v>
      </c>
      <c r="S675" s="93" t="s">
        <v>29</v>
      </c>
      <c r="T675" s="93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CA675" s="12"/>
      <c r="CB675" s="12"/>
    </row>
    <row r="676" spans="1:80" x14ac:dyDescent="0.2">
      <c r="A676" s="96">
        <v>2210</v>
      </c>
      <c r="B676" s="99">
        <v>0</v>
      </c>
      <c r="C676" s="99">
        <v>0</v>
      </c>
      <c r="D676" s="99">
        <v>0</v>
      </c>
      <c r="E676" s="99">
        <v>0</v>
      </c>
      <c r="F676" s="99">
        <v>10</v>
      </c>
      <c r="G676" s="99">
        <v>15</v>
      </c>
      <c r="H676" s="99">
        <v>30</v>
      </c>
      <c r="I676" s="96" t="s">
        <v>29</v>
      </c>
      <c r="J676" s="93"/>
      <c r="K676" s="93">
        <v>2309</v>
      </c>
      <c r="L676" s="103">
        <v>0</v>
      </c>
      <c r="M676" s="103">
        <v>0</v>
      </c>
      <c r="N676" s="103">
        <v>10</v>
      </c>
      <c r="O676" s="103">
        <v>20</v>
      </c>
      <c r="P676" s="103">
        <v>30</v>
      </c>
      <c r="Q676" s="103">
        <v>40</v>
      </c>
      <c r="R676" s="93">
        <v>65</v>
      </c>
      <c r="S676" s="93" t="s">
        <v>29</v>
      </c>
      <c r="T676" s="93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CA676" s="12"/>
      <c r="CB676" s="12"/>
    </row>
    <row r="677" spans="1:80" x14ac:dyDescent="0.2">
      <c r="A677" s="96">
        <v>2211</v>
      </c>
      <c r="B677" s="99">
        <v>0</v>
      </c>
      <c r="C677" s="99">
        <v>0</v>
      </c>
      <c r="D677" s="99">
        <v>0</v>
      </c>
      <c r="E677" s="99">
        <v>0</v>
      </c>
      <c r="F677" s="99">
        <v>5</v>
      </c>
      <c r="G677" s="99">
        <v>15</v>
      </c>
      <c r="H677" s="99">
        <v>25</v>
      </c>
      <c r="I677" s="96" t="s">
        <v>29</v>
      </c>
      <c r="J677" s="93"/>
      <c r="K677" s="93">
        <v>2310</v>
      </c>
      <c r="L677" s="103">
        <v>0</v>
      </c>
      <c r="M677" s="103">
        <v>0</v>
      </c>
      <c r="N677" s="103">
        <v>10</v>
      </c>
      <c r="O677" s="103">
        <v>20</v>
      </c>
      <c r="P677" s="103">
        <v>30</v>
      </c>
      <c r="Q677" s="103">
        <v>40</v>
      </c>
      <c r="R677" s="93">
        <v>65</v>
      </c>
      <c r="S677" s="93" t="s">
        <v>29</v>
      </c>
      <c r="T677" s="93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CA677" s="12"/>
      <c r="CB677" s="12"/>
    </row>
    <row r="678" spans="1:80" x14ac:dyDescent="0.2">
      <c r="A678" s="96">
        <v>2212</v>
      </c>
      <c r="B678" s="99">
        <v>0</v>
      </c>
      <c r="C678" s="99">
        <v>0</v>
      </c>
      <c r="D678" s="99">
        <v>0</v>
      </c>
      <c r="E678" s="99">
        <v>0</v>
      </c>
      <c r="F678" s="99">
        <v>5</v>
      </c>
      <c r="G678" s="99">
        <v>15</v>
      </c>
      <c r="H678" s="99">
        <v>25</v>
      </c>
      <c r="I678" s="96" t="s">
        <v>29</v>
      </c>
      <c r="J678" s="93"/>
      <c r="K678" s="93">
        <v>2311</v>
      </c>
      <c r="L678" s="103">
        <v>0</v>
      </c>
      <c r="M678" s="103">
        <v>0</v>
      </c>
      <c r="N678" s="103">
        <v>10</v>
      </c>
      <c r="O678" s="103">
        <v>20</v>
      </c>
      <c r="P678" s="103">
        <v>30</v>
      </c>
      <c r="Q678" s="103">
        <v>35</v>
      </c>
      <c r="R678" s="93">
        <v>65</v>
      </c>
      <c r="S678" s="93" t="s">
        <v>29</v>
      </c>
      <c r="T678" s="93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CA678" s="12"/>
      <c r="CB678" s="12"/>
    </row>
    <row r="679" spans="1:80" x14ac:dyDescent="0.2">
      <c r="A679" s="96">
        <v>2213</v>
      </c>
      <c r="B679" s="99">
        <v>0</v>
      </c>
      <c r="C679" s="99">
        <v>0</v>
      </c>
      <c r="D679" s="99">
        <v>0</v>
      </c>
      <c r="E679" s="99">
        <v>0</v>
      </c>
      <c r="F679" s="99">
        <v>5</v>
      </c>
      <c r="G679" s="99">
        <v>15</v>
      </c>
      <c r="H679" s="99">
        <v>25</v>
      </c>
      <c r="I679" s="96" t="s">
        <v>29</v>
      </c>
      <c r="J679" s="93"/>
      <c r="K679" s="93">
        <v>2312</v>
      </c>
      <c r="L679" s="103">
        <v>0</v>
      </c>
      <c r="M679" s="103">
        <v>0</v>
      </c>
      <c r="N679" s="103">
        <v>10</v>
      </c>
      <c r="O679" s="103">
        <v>20</v>
      </c>
      <c r="P679" s="103">
        <v>30</v>
      </c>
      <c r="Q679" s="103">
        <v>35</v>
      </c>
      <c r="R679" s="93">
        <v>65</v>
      </c>
      <c r="S679" s="93" t="s">
        <v>29</v>
      </c>
      <c r="T679" s="93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CA679" s="12"/>
      <c r="CB679" s="12"/>
    </row>
    <row r="680" spans="1:80" x14ac:dyDescent="0.2">
      <c r="A680" s="96">
        <v>2214</v>
      </c>
      <c r="B680" s="99">
        <v>0</v>
      </c>
      <c r="C680" s="99">
        <v>0</v>
      </c>
      <c r="D680" s="99">
        <v>0</v>
      </c>
      <c r="E680" s="99">
        <v>0</v>
      </c>
      <c r="F680" s="99">
        <v>5</v>
      </c>
      <c r="G680" s="99">
        <v>15</v>
      </c>
      <c r="H680" s="99">
        <v>25</v>
      </c>
      <c r="I680" s="96" t="s">
        <v>29</v>
      </c>
      <c r="J680" s="93"/>
      <c r="K680" s="93">
        <v>2313</v>
      </c>
      <c r="L680" s="103">
        <v>0</v>
      </c>
      <c r="M680" s="103">
        <v>0</v>
      </c>
      <c r="N680" s="103">
        <v>10</v>
      </c>
      <c r="O680" s="103">
        <v>20</v>
      </c>
      <c r="P680" s="103">
        <v>30</v>
      </c>
      <c r="Q680" s="103">
        <v>35</v>
      </c>
      <c r="R680" s="93">
        <v>65</v>
      </c>
      <c r="S680" s="93" t="s">
        <v>29</v>
      </c>
      <c r="T680" s="93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CA680" s="12"/>
      <c r="CB680" s="12"/>
    </row>
    <row r="681" spans="1:80" x14ac:dyDescent="0.2">
      <c r="A681" s="96">
        <v>2215</v>
      </c>
      <c r="B681" s="99">
        <v>0</v>
      </c>
      <c r="C681" s="99">
        <v>0</v>
      </c>
      <c r="D681" s="99">
        <v>0</v>
      </c>
      <c r="E681" s="99">
        <v>0</v>
      </c>
      <c r="F681" s="99">
        <v>5</v>
      </c>
      <c r="G681" s="99">
        <v>15</v>
      </c>
      <c r="H681" s="99">
        <v>25</v>
      </c>
      <c r="I681" s="96" t="s">
        <v>29</v>
      </c>
      <c r="J681" s="93"/>
      <c r="K681" s="93">
        <v>2314</v>
      </c>
      <c r="L681" s="103">
        <v>0</v>
      </c>
      <c r="M681" s="103">
        <v>0</v>
      </c>
      <c r="N681" s="103">
        <v>10</v>
      </c>
      <c r="O681" s="103">
        <v>20</v>
      </c>
      <c r="P681" s="103">
        <v>30</v>
      </c>
      <c r="Q681" s="103">
        <v>35</v>
      </c>
      <c r="R681" s="93">
        <v>65</v>
      </c>
      <c r="S681" s="93" t="s">
        <v>29</v>
      </c>
      <c r="T681" s="93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CA681" s="12"/>
      <c r="CB681" s="12"/>
    </row>
    <row r="682" spans="1:80" x14ac:dyDescent="0.2">
      <c r="A682" s="96">
        <v>2216</v>
      </c>
      <c r="B682" s="99">
        <v>0</v>
      </c>
      <c r="C682" s="99">
        <v>0</v>
      </c>
      <c r="D682" s="99">
        <v>0</v>
      </c>
      <c r="E682" s="99">
        <v>0</v>
      </c>
      <c r="F682" s="99">
        <v>5</v>
      </c>
      <c r="G682" s="99">
        <v>15</v>
      </c>
      <c r="H682" s="99">
        <v>25</v>
      </c>
      <c r="I682" s="96" t="s">
        <v>29</v>
      </c>
      <c r="J682" s="93"/>
      <c r="K682" s="93">
        <v>2315</v>
      </c>
      <c r="L682" s="103">
        <v>0</v>
      </c>
      <c r="M682" s="103">
        <v>0</v>
      </c>
      <c r="N682" s="103">
        <v>10</v>
      </c>
      <c r="O682" s="103">
        <v>20</v>
      </c>
      <c r="P682" s="103">
        <v>30</v>
      </c>
      <c r="Q682" s="103">
        <v>35</v>
      </c>
      <c r="R682" s="93">
        <v>65</v>
      </c>
      <c r="S682" s="93" t="s">
        <v>29</v>
      </c>
      <c r="T682" s="93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CA682" s="12"/>
      <c r="CB682" s="12"/>
    </row>
    <row r="683" spans="1:80" x14ac:dyDescent="0.2">
      <c r="A683" s="96">
        <v>2217</v>
      </c>
      <c r="B683" s="99">
        <v>0</v>
      </c>
      <c r="C683" s="99">
        <v>0</v>
      </c>
      <c r="D683" s="99">
        <v>0</v>
      </c>
      <c r="E683" s="99">
        <v>0</v>
      </c>
      <c r="F683" s="99">
        <v>5</v>
      </c>
      <c r="G683" s="99">
        <v>15</v>
      </c>
      <c r="H683" s="99">
        <v>25</v>
      </c>
      <c r="I683" s="96" t="s">
        <v>29</v>
      </c>
      <c r="J683" s="93"/>
      <c r="K683" s="93">
        <v>2316</v>
      </c>
      <c r="L683" s="103">
        <v>0</v>
      </c>
      <c r="M683" s="103">
        <v>0</v>
      </c>
      <c r="N683" s="103">
        <v>10</v>
      </c>
      <c r="O683" s="103">
        <v>20</v>
      </c>
      <c r="P683" s="103">
        <v>30</v>
      </c>
      <c r="Q683" s="103">
        <v>35</v>
      </c>
      <c r="R683" s="93">
        <v>65</v>
      </c>
      <c r="S683" s="93" t="s">
        <v>29</v>
      </c>
      <c r="T683" s="93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CA683" s="12"/>
      <c r="CB683" s="12"/>
    </row>
    <row r="684" spans="1:80" x14ac:dyDescent="0.2">
      <c r="A684" s="96">
        <v>2218</v>
      </c>
      <c r="B684" s="99">
        <v>0</v>
      </c>
      <c r="C684" s="99">
        <v>0</v>
      </c>
      <c r="D684" s="99">
        <v>0</v>
      </c>
      <c r="E684" s="99">
        <v>0</v>
      </c>
      <c r="F684" s="99">
        <v>5</v>
      </c>
      <c r="G684" s="99">
        <v>15</v>
      </c>
      <c r="H684" s="99">
        <v>25</v>
      </c>
      <c r="I684" s="96" t="s">
        <v>29</v>
      </c>
      <c r="J684" s="93"/>
      <c r="K684" s="93">
        <v>2317</v>
      </c>
      <c r="L684" s="103">
        <v>0</v>
      </c>
      <c r="M684" s="103">
        <v>0</v>
      </c>
      <c r="N684" s="103">
        <v>10</v>
      </c>
      <c r="O684" s="103">
        <v>20</v>
      </c>
      <c r="P684" s="103">
        <v>30</v>
      </c>
      <c r="Q684" s="103">
        <v>35</v>
      </c>
      <c r="R684" s="93">
        <v>65</v>
      </c>
      <c r="S684" s="93" t="s">
        <v>29</v>
      </c>
      <c r="T684" s="93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CA684" s="12"/>
      <c r="CB684" s="12"/>
    </row>
    <row r="685" spans="1:80" x14ac:dyDescent="0.2">
      <c r="A685" s="96">
        <v>2219</v>
      </c>
      <c r="B685" s="99">
        <v>0</v>
      </c>
      <c r="C685" s="99">
        <v>0</v>
      </c>
      <c r="D685" s="99">
        <v>0</v>
      </c>
      <c r="E685" s="99">
        <v>0</v>
      </c>
      <c r="F685" s="99">
        <v>5</v>
      </c>
      <c r="G685" s="99">
        <v>15</v>
      </c>
      <c r="H685" s="99">
        <v>25</v>
      </c>
      <c r="I685" s="96" t="s">
        <v>29</v>
      </c>
      <c r="J685" s="93"/>
      <c r="K685" s="93">
        <v>2318</v>
      </c>
      <c r="L685" s="103">
        <v>0</v>
      </c>
      <c r="M685" s="103">
        <v>0</v>
      </c>
      <c r="N685" s="103">
        <v>10</v>
      </c>
      <c r="O685" s="103">
        <v>20</v>
      </c>
      <c r="P685" s="103">
        <v>30</v>
      </c>
      <c r="Q685" s="103">
        <v>35</v>
      </c>
      <c r="R685" s="93">
        <v>65</v>
      </c>
      <c r="S685" s="93" t="s">
        <v>29</v>
      </c>
      <c r="T685" s="93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CA685" s="12"/>
      <c r="CB685" s="12"/>
    </row>
    <row r="686" spans="1:80" x14ac:dyDescent="0.2">
      <c r="A686" s="96">
        <v>2220</v>
      </c>
      <c r="B686" s="99">
        <v>0</v>
      </c>
      <c r="C686" s="99">
        <v>0</v>
      </c>
      <c r="D686" s="99">
        <v>0</v>
      </c>
      <c r="E686" s="99">
        <v>0</v>
      </c>
      <c r="F686" s="99">
        <v>5</v>
      </c>
      <c r="G686" s="99">
        <v>15</v>
      </c>
      <c r="H686" s="99">
        <v>25</v>
      </c>
      <c r="I686" s="96" t="s">
        <v>29</v>
      </c>
      <c r="J686" s="93"/>
      <c r="K686" s="93">
        <v>2319</v>
      </c>
      <c r="L686" s="103">
        <v>0</v>
      </c>
      <c r="M686" s="103">
        <v>0</v>
      </c>
      <c r="N686" s="103">
        <v>10</v>
      </c>
      <c r="O686" s="103">
        <v>20</v>
      </c>
      <c r="P686" s="103">
        <v>30</v>
      </c>
      <c r="Q686" s="103">
        <v>35</v>
      </c>
      <c r="R686" s="93">
        <v>65</v>
      </c>
      <c r="S686" s="93" t="s">
        <v>29</v>
      </c>
      <c r="T686" s="93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CA686" s="12"/>
      <c r="CB686" s="12"/>
    </row>
    <row r="687" spans="1:80" x14ac:dyDescent="0.2">
      <c r="A687" s="96">
        <v>2221</v>
      </c>
      <c r="B687" s="99">
        <v>0</v>
      </c>
      <c r="C687" s="99">
        <v>0</v>
      </c>
      <c r="D687" s="99">
        <v>0</v>
      </c>
      <c r="E687" s="99">
        <v>0</v>
      </c>
      <c r="F687" s="99">
        <v>5</v>
      </c>
      <c r="G687" s="99">
        <v>10</v>
      </c>
      <c r="H687" s="99">
        <v>20</v>
      </c>
      <c r="I687" s="96" t="s">
        <v>29</v>
      </c>
      <c r="J687" s="93"/>
      <c r="K687" s="93">
        <v>2320</v>
      </c>
      <c r="L687" s="103">
        <v>0</v>
      </c>
      <c r="M687" s="103">
        <v>0</v>
      </c>
      <c r="N687" s="103">
        <v>10</v>
      </c>
      <c r="O687" s="103">
        <v>20</v>
      </c>
      <c r="P687" s="103">
        <v>30</v>
      </c>
      <c r="Q687" s="103">
        <v>35</v>
      </c>
      <c r="R687" s="93">
        <v>65</v>
      </c>
      <c r="S687" s="93" t="s">
        <v>29</v>
      </c>
      <c r="T687" s="93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CA687" s="12"/>
      <c r="CB687" s="12"/>
    </row>
    <row r="688" spans="1:80" x14ac:dyDescent="0.2">
      <c r="A688" s="96">
        <v>2222</v>
      </c>
      <c r="B688" s="99">
        <v>0</v>
      </c>
      <c r="C688" s="99">
        <v>0</v>
      </c>
      <c r="D688" s="99">
        <v>0</v>
      </c>
      <c r="E688" s="99">
        <v>0</v>
      </c>
      <c r="F688" s="99">
        <v>5</v>
      </c>
      <c r="G688" s="99">
        <v>10</v>
      </c>
      <c r="H688" s="99">
        <v>20</v>
      </c>
      <c r="I688" s="96" t="s">
        <v>29</v>
      </c>
      <c r="J688" s="93"/>
      <c r="K688" s="93">
        <v>2321</v>
      </c>
      <c r="L688" s="103">
        <v>0</v>
      </c>
      <c r="M688" s="103">
        <v>0</v>
      </c>
      <c r="N688" s="103">
        <v>5</v>
      </c>
      <c r="O688" s="103">
        <v>15</v>
      </c>
      <c r="P688" s="103">
        <v>25</v>
      </c>
      <c r="Q688" s="103">
        <v>30</v>
      </c>
      <c r="R688" s="93">
        <v>60</v>
      </c>
      <c r="S688" s="93" t="s">
        <v>29</v>
      </c>
      <c r="T688" s="93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CA688" s="12"/>
      <c r="CB688" s="12"/>
    </row>
    <row r="689" spans="1:80" x14ac:dyDescent="0.2">
      <c r="A689" s="96">
        <v>2223</v>
      </c>
      <c r="B689" s="99">
        <v>0</v>
      </c>
      <c r="C689" s="99">
        <v>0</v>
      </c>
      <c r="D689" s="99">
        <v>0</v>
      </c>
      <c r="E689" s="99">
        <v>0</v>
      </c>
      <c r="F689" s="99">
        <v>5</v>
      </c>
      <c r="G689" s="99">
        <v>10</v>
      </c>
      <c r="H689" s="99">
        <v>20</v>
      </c>
      <c r="I689" s="96" t="s">
        <v>29</v>
      </c>
      <c r="J689" s="93"/>
      <c r="K689" s="93">
        <v>2322</v>
      </c>
      <c r="L689" s="103">
        <v>0</v>
      </c>
      <c r="M689" s="103">
        <v>0</v>
      </c>
      <c r="N689" s="103">
        <v>5</v>
      </c>
      <c r="O689" s="103">
        <v>15</v>
      </c>
      <c r="P689" s="103">
        <v>25</v>
      </c>
      <c r="Q689" s="103">
        <v>30</v>
      </c>
      <c r="R689" s="93">
        <v>60</v>
      </c>
      <c r="S689" s="93" t="s">
        <v>29</v>
      </c>
      <c r="T689" s="93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CA689" s="12"/>
      <c r="CB689" s="12"/>
    </row>
    <row r="690" spans="1:80" x14ac:dyDescent="0.2">
      <c r="A690" s="96">
        <v>2224</v>
      </c>
      <c r="B690" s="99">
        <v>0</v>
      </c>
      <c r="C690" s="99">
        <v>0</v>
      </c>
      <c r="D690" s="99">
        <v>0</v>
      </c>
      <c r="E690" s="99">
        <v>0</v>
      </c>
      <c r="F690" s="99">
        <v>5</v>
      </c>
      <c r="G690" s="99">
        <v>10</v>
      </c>
      <c r="H690" s="99">
        <v>20</v>
      </c>
      <c r="I690" s="96" t="s">
        <v>29</v>
      </c>
      <c r="J690" s="93"/>
      <c r="K690" s="93">
        <v>2323</v>
      </c>
      <c r="L690" s="103">
        <v>0</v>
      </c>
      <c r="M690" s="103">
        <v>0</v>
      </c>
      <c r="N690" s="103">
        <v>5</v>
      </c>
      <c r="O690" s="103">
        <v>15</v>
      </c>
      <c r="P690" s="103">
        <v>25</v>
      </c>
      <c r="Q690" s="103">
        <v>30</v>
      </c>
      <c r="R690" s="93">
        <v>60</v>
      </c>
      <c r="S690" s="93" t="s">
        <v>29</v>
      </c>
      <c r="T690" s="93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CA690" s="12"/>
      <c r="CB690" s="12"/>
    </row>
    <row r="691" spans="1:80" x14ac:dyDescent="0.2">
      <c r="A691" s="96">
        <v>2225</v>
      </c>
      <c r="B691" s="99">
        <v>0</v>
      </c>
      <c r="C691" s="99">
        <v>0</v>
      </c>
      <c r="D691" s="99">
        <v>0</v>
      </c>
      <c r="E691" s="99">
        <v>0</v>
      </c>
      <c r="F691" s="99">
        <v>5</v>
      </c>
      <c r="G691" s="99">
        <v>10</v>
      </c>
      <c r="H691" s="99">
        <v>20</v>
      </c>
      <c r="I691" s="96" t="s">
        <v>29</v>
      </c>
      <c r="J691" s="93"/>
      <c r="K691" s="93">
        <v>2324</v>
      </c>
      <c r="L691" s="103">
        <v>0</v>
      </c>
      <c r="M691" s="103">
        <v>0</v>
      </c>
      <c r="N691" s="103">
        <v>5</v>
      </c>
      <c r="O691" s="103">
        <v>15</v>
      </c>
      <c r="P691" s="103">
        <v>25</v>
      </c>
      <c r="Q691" s="103">
        <v>30</v>
      </c>
      <c r="R691" s="93">
        <v>60</v>
      </c>
      <c r="S691" s="93" t="s">
        <v>29</v>
      </c>
      <c r="T691" s="93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CA691" s="12"/>
      <c r="CB691" s="12"/>
    </row>
    <row r="692" spans="1:80" x14ac:dyDescent="0.2">
      <c r="A692" s="96">
        <v>2226</v>
      </c>
      <c r="B692" s="99">
        <v>0</v>
      </c>
      <c r="C692" s="99">
        <v>0</v>
      </c>
      <c r="D692" s="99">
        <v>0</v>
      </c>
      <c r="E692" s="99">
        <v>0</v>
      </c>
      <c r="F692" s="99">
        <v>5</v>
      </c>
      <c r="G692" s="99">
        <v>10</v>
      </c>
      <c r="H692" s="99">
        <v>20</v>
      </c>
      <c r="I692" s="96" t="s">
        <v>29</v>
      </c>
      <c r="J692" s="93"/>
      <c r="K692" s="93">
        <v>2325</v>
      </c>
      <c r="L692" s="103">
        <v>0</v>
      </c>
      <c r="M692" s="103">
        <v>0</v>
      </c>
      <c r="N692" s="103">
        <v>5</v>
      </c>
      <c r="O692" s="103">
        <v>15</v>
      </c>
      <c r="P692" s="103">
        <v>25</v>
      </c>
      <c r="Q692" s="103">
        <v>30</v>
      </c>
      <c r="R692" s="93">
        <v>60</v>
      </c>
      <c r="S692" s="93" t="s">
        <v>29</v>
      </c>
      <c r="T692" s="93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CA692" s="12"/>
      <c r="CB692" s="12"/>
    </row>
    <row r="693" spans="1:80" x14ac:dyDescent="0.2">
      <c r="A693" s="96">
        <v>2227</v>
      </c>
      <c r="B693" s="99">
        <v>0</v>
      </c>
      <c r="C693" s="99">
        <v>0</v>
      </c>
      <c r="D693" s="99">
        <v>0</v>
      </c>
      <c r="E693" s="99">
        <v>0</v>
      </c>
      <c r="F693" s="99">
        <v>5</v>
      </c>
      <c r="G693" s="99">
        <v>10</v>
      </c>
      <c r="H693" s="99">
        <v>20</v>
      </c>
      <c r="I693" s="96" t="s">
        <v>29</v>
      </c>
      <c r="J693" s="93"/>
      <c r="K693" s="93">
        <v>2326</v>
      </c>
      <c r="L693" s="103">
        <v>0</v>
      </c>
      <c r="M693" s="103">
        <v>0</v>
      </c>
      <c r="N693" s="103">
        <v>5</v>
      </c>
      <c r="O693" s="103">
        <v>15</v>
      </c>
      <c r="P693" s="103">
        <v>25</v>
      </c>
      <c r="Q693" s="103">
        <v>30</v>
      </c>
      <c r="R693" s="93">
        <v>60</v>
      </c>
      <c r="S693" s="93" t="s">
        <v>29</v>
      </c>
      <c r="T693" s="93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CA693" s="12"/>
      <c r="CB693" s="12"/>
    </row>
    <row r="694" spans="1:80" x14ac:dyDescent="0.2">
      <c r="A694" s="96">
        <v>2228</v>
      </c>
      <c r="B694" s="99">
        <v>0</v>
      </c>
      <c r="C694" s="99">
        <v>0</v>
      </c>
      <c r="D694" s="99">
        <v>0</v>
      </c>
      <c r="E694" s="99">
        <v>0</v>
      </c>
      <c r="F694" s="99">
        <v>5</v>
      </c>
      <c r="G694" s="99">
        <v>10</v>
      </c>
      <c r="H694" s="99">
        <v>20</v>
      </c>
      <c r="I694" s="96" t="s">
        <v>29</v>
      </c>
      <c r="J694" s="93"/>
      <c r="K694" s="93">
        <v>2327</v>
      </c>
      <c r="L694" s="103">
        <v>0</v>
      </c>
      <c r="M694" s="103">
        <v>0</v>
      </c>
      <c r="N694" s="103">
        <v>5</v>
      </c>
      <c r="O694" s="103">
        <v>15</v>
      </c>
      <c r="P694" s="103">
        <v>25</v>
      </c>
      <c r="Q694" s="103">
        <v>30</v>
      </c>
      <c r="R694" s="93">
        <v>60</v>
      </c>
      <c r="S694" s="93" t="s">
        <v>29</v>
      </c>
      <c r="T694" s="93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CA694" s="12"/>
      <c r="CB694" s="12"/>
    </row>
    <row r="695" spans="1:80" x14ac:dyDescent="0.2">
      <c r="A695" s="96">
        <v>2229</v>
      </c>
      <c r="B695" s="99">
        <v>0</v>
      </c>
      <c r="C695" s="99">
        <v>0</v>
      </c>
      <c r="D695" s="99">
        <v>0</v>
      </c>
      <c r="E695" s="99">
        <v>0</v>
      </c>
      <c r="F695" s="99">
        <v>5</v>
      </c>
      <c r="G695" s="99">
        <v>10</v>
      </c>
      <c r="H695" s="99">
        <v>20</v>
      </c>
      <c r="I695" s="96" t="s">
        <v>29</v>
      </c>
      <c r="J695" s="93"/>
      <c r="K695" s="93">
        <v>2328</v>
      </c>
      <c r="L695" s="103">
        <v>0</v>
      </c>
      <c r="M695" s="103">
        <v>0</v>
      </c>
      <c r="N695" s="103">
        <v>5</v>
      </c>
      <c r="O695" s="103">
        <v>15</v>
      </c>
      <c r="P695" s="103">
        <v>25</v>
      </c>
      <c r="Q695" s="103">
        <v>30</v>
      </c>
      <c r="R695" s="93">
        <v>60</v>
      </c>
      <c r="S695" s="93" t="s">
        <v>29</v>
      </c>
      <c r="T695" s="93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CA695" s="12"/>
      <c r="CB695" s="12"/>
    </row>
    <row r="696" spans="1:80" x14ac:dyDescent="0.2">
      <c r="A696" s="96">
        <v>2230</v>
      </c>
      <c r="B696" s="99">
        <v>0</v>
      </c>
      <c r="C696" s="99">
        <v>0</v>
      </c>
      <c r="D696" s="99">
        <v>0</v>
      </c>
      <c r="E696" s="99">
        <v>0</v>
      </c>
      <c r="F696" s="99">
        <v>5</v>
      </c>
      <c r="G696" s="99">
        <v>10</v>
      </c>
      <c r="H696" s="99">
        <v>20</v>
      </c>
      <c r="I696" s="96" t="s">
        <v>29</v>
      </c>
      <c r="J696" s="93"/>
      <c r="K696" s="93">
        <v>2329</v>
      </c>
      <c r="L696" s="103">
        <v>0</v>
      </c>
      <c r="M696" s="103">
        <v>0</v>
      </c>
      <c r="N696" s="103">
        <v>5</v>
      </c>
      <c r="O696" s="103">
        <v>15</v>
      </c>
      <c r="P696" s="103">
        <v>25</v>
      </c>
      <c r="Q696" s="103">
        <v>30</v>
      </c>
      <c r="R696" s="93">
        <v>60</v>
      </c>
      <c r="S696" s="93" t="s">
        <v>29</v>
      </c>
      <c r="T696" s="93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CA696" s="12"/>
      <c r="CB696" s="12"/>
    </row>
    <row r="697" spans="1:80" x14ac:dyDescent="0.2">
      <c r="A697" s="96">
        <v>2231</v>
      </c>
      <c r="B697" s="99">
        <v>0</v>
      </c>
      <c r="C697" s="99">
        <v>0</v>
      </c>
      <c r="D697" s="99">
        <v>0</v>
      </c>
      <c r="E697" s="99">
        <v>0</v>
      </c>
      <c r="F697" s="99">
        <v>0</v>
      </c>
      <c r="G697" s="99">
        <v>10</v>
      </c>
      <c r="H697" s="99">
        <v>15</v>
      </c>
      <c r="I697" s="96" t="s">
        <v>29</v>
      </c>
      <c r="J697" s="93"/>
      <c r="K697" s="93">
        <v>2330</v>
      </c>
      <c r="L697" s="103">
        <v>0</v>
      </c>
      <c r="M697" s="103">
        <v>0</v>
      </c>
      <c r="N697" s="103">
        <v>5</v>
      </c>
      <c r="O697" s="103">
        <v>15</v>
      </c>
      <c r="P697" s="103">
        <v>25</v>
      </c>
      <c r="Q697" s="103">
        <v>30</v>
      </c>
      <c r="R697" s="93">
        <v>60</v>
      </c>
      <c r="S697" s="93" t="s">
        <v>29</v>
      </c>
      <c r="T697" s="93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CA697" s="12"/>
      <c r="CB697" s="12"/>
    </row>
    <row r="698" spans="1:80" x14ac:dyDescent="0.2">
      <c r="A698" s="96">
        <v>2232</v>
      </c>
      <c r="B698" s="99">
        <v>0</v>
      </c>
      <c r="C698" s="99">
        <v>0</v>
      </c>
      <c r="D698" s="99">
        <v>0</v>
      </c>
      <c r="E698" s="99">
        <v>0</v>
      </c>
      <c r="F698" s="99">
        <v>0</v>
      </c>
      <c r="G698" s="99">
        <v>10</v>
      </c>
      <c r="H698" s="99">
        <v>15</v>
      </c>
      <c r="I698" s="96" t="s">
        <v>29</v>
      </c>
      <c r="J698" s="93"/>
      <c r="K698" s="93">
        <v>2331</v>
      </c>
      <c r="L698" s="103">
        <v>0</v>
      </c>
      <c r="M698" s="103">
        <v>0</v>
      </c>
      <c r="N698" s="103">
        <v>5</v>
      </c>
      <c r="O698" s="103">
        <v>15</v>
      </c>
      <c r="P698" s="103">
        <v>25</v>
      </c>
      <c r="Q698" s="103">
        <v>30</v>
      </c>
      <c r="R698" s="93">
        <v>60</v>
      </c>
      <c r="S698" s="93" t="s">
        <v>29</v>
      </c>
      <c r="T698" s="93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CA698" s="12"/>
      <c r="CB698" s="12"/>
    </row>
    <row r="699" spans="1:80" x14ac:dyDescent="0.2">
      <c r="A699" s="96">
        <v>2233</v>
      </c>
      <c r="B699" s="99">
        <v>0</v>
      </c>
      <c r="C699" s="99">
        <v>0</v>
      </c>
      <c r="D699" s="99">
        <v>0</v>
      </c>
      <c r="E699" s="99">
        <v>0</v>
      </c>
      <c r="F699" s="99">
        <v>0</v>
      </c>
      <c r="G699" s="99">
        <v>10</v>
      </c>
      <c r="H699" s="99">
        <v>15</v>
      </c>
      <c r="I699" s="96" t="s">
        <v>29</v>
      </c>
      <c r="J699" s="93"/>
      <c r="K699" s="93">
        <v>2332</v>
      </c>
      <c r="L699" s="103">
        <v>0</v>
      </c>
      <c r="M699" s="103">
        <v>0</v>
      </c>
      <c r="N699" s="103">
        <v>5</v>
      </c>
      <c r="O699" s="103">
        <v>15</v>
      </c>
      <c r="P699" s="103">
        <v>25</v>
      </c>
      <c r="Q699" s="103">
        <v>30</v>
      </c>
      <c r="R699" s="93">
        <v>60</v>
      </c>
      <c r="S699" s="93" t="s">
        <v>29</v>
      </c>
      <c r="T699" s="93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CA699" s="12"/>
      <c r="CB699" s="12"/>
    </row>
    <row r="700" spans="1:80" x14ac:dyDescent="0.2">
      <c r="A700" s="96">
        <v>2234</v>
      </c>
      <c r="B700" s="99">
        <v>0</v>
      </c>
      <c r="C700" s="99">
        <v>0</v>
      </c>
      <c r="D700" s="99">
        <v>0</v>
      </c>
      <c r="E700" s="99">
        <v>0</v>
      </c>
      <c r="F700" s="99">
        <v>0</v>
      </c>
      <c r="G700" s="99">
        <v>10</v>
      </c>
      <c r="H700" s="99">
        <v>15</v>
      </c>
      <c r="I700" s="96" t="s">
        <v>29</v>
      </c>
      <c r="J700" s="93"/>
      <c r="K700" s="93">
        <v>2333</v>
      </c>
      <c r="L700" s="103">
        <v>0</v>
      </c>
      <c r="M700" s="103">
        <v>0</v>
      </c>
      <c r="N700" s="103">
        <v>5</v>
      </c>
      <c r="O700" s="103">
        <v>15</v>
      </c>
      <c r="P700" s="103">
        <v>25</v>
      </c>
      <c r="Q700" s="103">
        <v>30</v>
      </c>
      <c r="R700" s="93">
        <v>60</v>
      </c>
      <c r="S700" s="93" t="s">
        <v>29</v>
      </c>
      <c r="T700" s="93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CA700" s="12"/>
      <c r="CB700" s="12"/>
    </row>
    <row r="701" spans="1:80" x14ac:dyDescent="0.2">
      <c r="A701" s="96">
        <v>2235</v>
      </c>
      <c r="B701" s="99">
        <v>0</v>
      </c>
      <c r="C701" s="99">
        <v>0</v>
      </c>
      <c r="D701" s="99">
        <v>0</v>
      </c>
      <c r="E701" s="99">
        <v>0</v>
      </c>
      <c r="F701" s="99">
        <v>0</v>
      </c>
      <c r="G701" s="99">
        <v>10</v>
      </c>
      <c r="H701" s="99">
        <v>15</v>
      </c>
      <c r="I701" s="96" t="s">
        <v>29</v>
      </c>
      <c r="J701" s="93"/>
      <c r="K701" s="93">
        <v>2334</v>
      </c>
      <c r="L701" s="103">
        <v>0</v>
      </c>
      <c r="M701" s="103">
        <v>0</v>
      </c>
      <c r="N701" s="103">
        <v>5</v>
      </c>
      <c r="O701" s="103">
        <v>15</v>
      </c>
      <c r="P701" s="103">
        <v>25</v>
      </c>
      <c r="Q701" s="103">
        <v>30</v>
      </c>
      <c r="R701" s="93">
        <v>60</v>
      </c>
      <c r="S701" s="93" t="s">
        <v>29</v>
      </c>
      <c r="T701" s="93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CA701" s="12"/>
      <c r="CB701" s="12"/>
    </row>
    <row r="702" spans="1:80" x14ac:dyDescent="0.2">
      <c r="A702" s="96">
        <v>2236</v>
      </c>
      <c r="B702" s="99">
        <v>0</v>
      </c>
      <c r="C702" s="99">
        <v>0</v>
      </c>
      <c r="D702" s="99">
        <v>0</v>
      </c>
      <c r="E702" s="99">
        <v>0</v>
      </c>
      <c r="F702" s="99">
        <v>0</v>
      </c>
      <c r="G702" s="99">
        <v>10</v>
      </c>
      <c r="H702" s="99">
        <v>15</v>
      </c>
      <c r="I702" s="96" t="s">
        <v>29</v>
      </c>
      <c r="J702" s="93"/>
      <c r="K702" s="93">
        <v>2335</v>
      </c>
      <c r="L702" s="103">
        <v>0</v>
      </c>
      <c r="M702" s="103">
        <v>0</v>
      </c>
      <c r="N702" s="103">
        <v>5</v>
      </c>
      <c r="O702" s="103">
        <v>15</v>
      </c>
      <c r="P702" s="103">
        <v>25</v>
      </c>
      <c r="Q702" s="103">
        <v>30</v>
      </c>
      <c r="R702" s="93">
        <v>60</v>
      </c>
      <c r="S702" s="93" t="s">
        <v>29</v>
      </c>
      <c r="T702" s="93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CA702" s="12"/>
      <c r="CB702" s="12"/>
    </row>
    <row r="703" spans="1:80" x14ac:dyDescent="0.2">
      <c r="A703" s="96">
        <v>2237</v>
      </c>
      <c r="B703" s="99">
        <v>0</v>
      </c>
      <c r="C703" s="99">
        <v>0</v>
      </c>
      <c r="D703" s="99">
        <v>0</v>
      </c>
      <c r="E703" s="99">
        <v>0</v>
      </c>
      <c r="F703" s="99">
        <v>0</v>
      </c>
      <c r="G703" s="99">
        <v>10</v>
      </c>
      <c r="H703" s="99">
        <v>15</v>
      </c>
      <c r="I703" s="96" t="s">
        <v>29</v>
      </c>
      <c r="J703" s="93"/>
      <c r="K703" s="93">
        <v>2336</v>
      </c>
      <c r="L703" s="103">
        <v>0</v>
      </c>
      <c r="M703" s="103">
        <v>0</v>
      </c>
      <c r="N703" s="103">
        <v>5</v>
      </c>
      <c r="O703" s="103">
        <v>15</v>
      </c>
      <c r="P703" s="103">
        <v>25</v>
      </c>
      <c r="Q703" s="103">
        <v>30</v>
      </c>
      <c r="R703" s="93">
        <v>60</v>
      </c>
      <c r="S703" s="93" t="s">
        <v>29</v>
      </c>
      <c r="T703" s="93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CA703" s="12"/>
      <c r="CB703" s="12"/>
    </row>
    <row r="704" spans="1:80" x14ac:dyDescent="0.2">
      <c r="A704" s="96">
        <v>2238</v>
      </c>
      <c r="B704" s="99">
        <v>0</v>
      </c>
      <c r="C704" s="99">
        <v>0</v>
      </c>
      <c r="D704" s="99">
        <v>0</v>
      </c>
      <c r="E704" s="99">
        <v>0</v>
      </c>
      <c r="F704" s="99">
        <v>0</v>
      </c>
      <c r="G704" s="99">
        <v>10</v>
      </c>
      <c r="H704" s="99">
        <v>15</v>
      </c>
      <c r="I704" s="96" t="s">
        <v>29</v>
      </c>
      <c r="J704" s="93"/>
      <c r="K704" s="93">
        <v>2337</v>
      </c>
      <c r="L704" s="103">
        <v>0</v>
      </c>
      <c r="M704" s="103">
        <v>0</v>
      </c>
      <c r="N704" s="103">
        <v>5</v>
      </c>
      <c r="O704" s="103">
        <v>15</v>
      </c>
      <c r="P704" s="103">
        <v>25</v>
      </c>
      <c r="Q704" s="103">
        <v>30</v>
      </c>
      <c r="R704" s="93">
        <v>60</v>
      </c>
      <c r="S704" s="93" t="s">
        <v>29</v>
      </c>
      <c r="T704" s="93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CA704" s="12"/>
      <c r="CB704" s="12"/>
    </row>
    <row r="705" spans="1:80" x14ac:dyDescent="0.2">
      <c r="A705" s="96">
        <v>2239</v>
      </c>
      <c r="B705" s="99">
        <v>0</v>
      </c>
      <c r="C705" s="99">
        <v>0</v>
      </c>
      <c r="D705" s="99">
        <v>0</v>
      </c>
      <c r="E705" s="99">
        <v>0</v>
      </c>
      <c r="F705" s="99">
        <v>0</v>
      </c>
      <c r="G705" s="99">
        <v>10</v>
      </c>
      <c r="H705" s="99">
        <v>15</v>
      </c>
      <c r="I705" s="96" t="s">
        <v>29</v>
      </c>
      <c r="J705" s="93"/>
      <c r="K705" s="93">
        <v>2338</v>
      </c>
      <c r="L705" s="103">
        <v>0</v>
      </c>
      <c r="M705" s="103">
        <v>0</v>
      </c>
      <c r="N705" s="103">
        <v>5</v>
      </c>
      <c r="O705" s="103">
        <v>15</v>
      </c>
      <c r="P705" s="103">
        <v>25</v>
      </c>
      <c r="Q705" s="103">
        <v>30</v>
      </c>
      <c r="R705" s="93">
        <v>60</v>
      </c>
      <c r="S705" s="93" t="s">
        <v>29</v>
      </c>
      <c r="T705" s="93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CA705" s="12"/>
      <c r="CB705" s="12"/>
    </row>
    <row r="706" spans="1:80" x14ac:dyDescent="0.2">
      <c r="A706" s="96">
        <v>2240</v>
      </c>
      <c r="B706" s="99">
        <v>0</v>
      </c>
      <c r="C706" s="99">
        <v>0</v>
      </c>
      <c r="D706" s="99">
        <v>0</v>
      </c>
      <c r="E706" s="99">
        <v>0</v>
      </c>
      <c r="F706" s="99">
        <v>0</v>
      </c>
      <c r="G706" s="99">
        <v>10</v>
      </c>
      <c r="H706" s="99">
        <v>15</v>
      </c>
      <c r="I706" s="96" t="s">
        <v>29</v>
      </c>
      <c r="J706" s="93"/>
      <c r="K706" s="93">
        <v>2339</v>
      </c>
      <c r="L706" s="103">
        <v>0</v>
      </c>
      <c r="M706" s="103">
        <v>0</v>
      </c>
      <c r="N706" s="103">
        <v>5</v>
      </c>
      <c r="O706" s="103">
        <v>15</v>
      </c>
      <c r="P706" s="103">
        <v>25</v>
      </c>
      <c r="Q706" s="103">
        <v>30</v>
      </c>
      <c r="R706" s="93">
        <v>60</v>
      </c>
      <c r="S706" s="93" t="s">
        <v>29</v>
      </c>
      <c r="T706" s="93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CA706" s="12"/>
      <c r="CB706" s="12"/>
    </row>
    <row r="707" spans="1:80" x14ac:dyDescent="0.2">
      <c r="A707" s="96">
        <v>2241</v>
      </c>
      <c r="B707" s="99">
        <v>0</v>
      </c>
      <c r="C707" s="99">
        <v>0</v>
      </c>
      <c r="D707" s="99">
        <v>0</v>
      </c>
      <c r="E707" s="99">
        <v>0</v>
      </c>
      <c r="F707" s="99">
        <v>0</v>
      </c>
      <c r="G707" s="99">
        <v>5</v>
      </c>
      <c r="H707" s="99">
        <v>15</v>
      </c>
      <c r="I707" s="96" t="s">
        <v>29</v>
      </c>
      <c r="J707" s="93"/>
      <c r="K707" s="93">
        <v>2340</v>
      </c>
      <c r="L707" s="103">
        <v>0</v>
      </c>
      <c r="M707" s="103">
        <v>0</v>
      </c>
      <c r="N707" s="103">
        <v>5</v>
      </c>
      <c r="O707" s="103">
        <v>15</v>
      </c>
      <c r="P707" s="103">
        <v>25</v>
      </c>
      <c r="Q707" s="103">
        <v>30</v>
      </c>
      <c r="R707" s="93">
        <v>60</v>
      </c>
      <c r="S707" s="93" t="s">
        <v>29</v>
      </c>
      <c r="T707" s="93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CA707" s="12"/>
      <c r="CB707" s="12"/>
    </row>
    <row r="708" spans="1:80" x14ac:dyDescent="0.2">
      <c r="A708" s="96">
        <v>2242</v>
      </c>
      <c r="B708" s="99">
        <v>0</v>
      </c>
      <c r="C708" s="99">
        <v>0</v>
      </c>
      <c r="D708" s="99">
        <v>0</v>
      </c>
      <c r="E708" s="99">
        <v>0</v>
      </c>
      <c r="F708" s="99">
        <v>0</v>
      </c>
      <c r="G708" s="99">
        <v>5</v>
      </c>
      <c r="H708" s="99">
        <v>15</v>
      </c>
      <c r="I708" s="96" t="s">
        <v>29</v>
      </c>
      <c r="J708" s="93"/>
      <c r="K708" s="93">
        <v>2341</v>
      </c>
      <c r="L708" s="103">
        <v>0</v>
      </c>
      <c r="M708" s="103">
        <v>0</v>
      </c>
      <c r="N708" s="103">
        <v>0</v>
      </c>
      <c r="O708" s="103">
        <v>10</v>
      </c>
      <c r="P708" s="103">
        <v>20</v>
      </c>
      <c r="Q708" s="103">
        <v>30</v>
      </c>
      <c r="R708" s="93">
        <v>55</v>
      </c>
      <c r="S708" s="93" t="s">
        <v>29</v>
      </c>
      <c r="T708" s="93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CA708" s="12"/>
      <c r="CB708" s="12"/>
    </row>
    <row r="709" spans="1:80" x14ac:dyDescent="0.2">
      <c r="A709" s="96">
        <v>2243</v>
      </c>
      <c r="B709" s="99">
        <v>0</v>
      </c>
      <c r="C709" s="99">
        <v>0</v>
      </c>
      <c r="D709" s="99">
        <v>0</v>
      </c>
      <c r="E709" s="99">
        <v>0</v>
      </c>
      <c r="F709" s="99">
        <v>0</v>
      </c>
      <c r="G709" s="99">
        <v>5</v>
      </c>
      <c r="H709" s="99">
        <v>15</v>
      </c>
      <c r="I709" s="96" t="s">
        <v>29</v>
      </c>
      <c r="J709" s="93"/>
      <c r="K709" s="93">
        <v>2342</v>
      </c>
      <c r="L709" s="103">
        <v>0</v>
      </c>
      <c r="M709" s="103">
        <v>0</v>
      </c>
      <c r="N709" s="103">
        <v>0</v>
      </c>
      <c r="O709" s="103">
        <v>10</v>
      </c>
      <c r="P709" s="103">
        <v>20</v>
      </c>
      <c r="Q709" s="103">
        <v>30</v>
      </c>
      <c r="R709" s="93">
        <v>55</v>
      </c>
      <c r="S709" s="93" t="s">
        <v>29</v>
      </c>
      <c r="T709" s="93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CA709" s="12"/>
      <c r="CB709" s="12"/>
    </row>
    <row r="710" spans="1:80" x14ac:dyDescent="0.2">
      <c r="A710" s="96">
        <v>2244</v>
      </c>
      <c r="B710" s="99">
        <v>0</v>
      </c>
      <c r="C710" s="99">
        <v>0</v>
      </c>
      <c r="D710" s="99">
        <v>0</v>
      </c>
      <c r="E710" s="99">
        <v>0</v>
      </c>
      <c r="F710" s="99">
        <v>0</v>
      </c>
      <c r="G710" s="99">
        <v>5</v>
      </c>
      <c r="H710" s="99">
        <v>15</v>
      </c>
      <c r="I710" s="96" t="s">
        <v>29</v>
      </c>
      <c r="J710" s="93"/>
      <c r="K710" s="93">
        <v>2343</v>
      </c>
      <c r="L710" s="103">
        <v>0</v>
      </c>
      <c r="M710" s="103">
        <v>0</v>
      </c>
      <c r="N710" s="103">
        <v>0</v>
      </c>
      <c r="O710" s="103">
        <v>10</v>
      </c>
      <c r="P710" s="103">
        <v>20</v>
      </c>
      <c r="Q710" s="103">
        <v>30</v>
      </c>
      <c r="R710" s="93">
        <v>55</v>
      </c>
      <c r="S710" s="93" t="s">
        <v>29</v>
      </c>
      <c r="T710" s="93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CA710" s="12"/>
      <c r="CB710" s="12"/>
    </row>
    <row r="711" spans="1:80" x14ac:dyDescent="0.2">
      <c r="A711" s="96">
        <v>2245</v>
      </c>
      <c r="B711" s="99">
        <v>0</v>
      </c>
      <c r="C711" s="99">
        <v>0</v>
      </c>
      <c r="D711" s="99">
        <v>0</v>
      </c>
      <c r="E711" s="99">
        <v>0</v>
      </c>
      <c r="F711" s="99">
        <v>0</v>
      </c>
      <c r="G711" s="99">
        <v>5</v>
      </c>
      <c r="H711" s="99">
        <v>15</v>
      </c>
      <c r="I711" s="96" t="s">
        <v>29</v>
      </c>
      <c r="J711" s="93"/>
      <c r="K711" s="93">
        <v>2344</v>
      </c>
      <c r="L711" s="103">
        <v>0</v>
      </c>
      <c r="M711" s="103">
        <v>0</v>
      </c>
      <c r="N711" s="103">
        <v>0</v>
      </c>
      <c r="O711" s="103">
        <v>10</v>
      </c>
      <c r="P711" s="103">
        <v>20</v>
      </c>
      <c r="Q711" s="103">
        <v>30</v>
      </c>
      <c r="R711" s="93">
        <v>55</v>
      </c>
      <c r="S711" s="93" t="s">
        <v>29</v>
      </c>
      <c r="T711" s="93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CA711" s="12"/>
      <c r="CB711" s="12"/>
    </row>
    <row r="712" spans="1:80" x14ac:dyDescent="0.2">
      <c r="A712" s="96">
        <v>2246</v>
      </c>
      <c r="B712" s="99">
        <v>0</v>
      </c>
      <c r="C712" s="99">
        <v>0</v>
      </c>
      <c r="D712" s="99">
        <v>0</v>
      </c>
      <c r="E712" s="99">
        <v>0</v>
      </c>
      <c r="F712" s="99">
        <v>0</v>
      </c>
      <c r="G712" s="99">
        <v>5</v>
      </c>
      <c r="H712" s="99">
        <v>15</v>
      </c>
      <c r="I712" s="96" t="s">
        <v>29</v>
      </c>
      <c r="J712" s="93"/>
      <c r="K712" s="93">
        <v>2345</v>
      </c>
      <c r="L712" s="103">
        <v>0</v>
      </c>
      <c r="M712" s="103">
        <v>0</v>
      </c>
      <c r="N712" s="103">
        <v>0</v>
      </c>
      <c r="O712" s="103">
        <v>10</v>
      </c>
      <c r="P712" s="103">
        <v>20</v>
      </c>
      <c r="Q712" s="103">
        <v>30</v>
      </c>
      <c r="R712" s="93">
        <v>55</v>
      </c>
      <c r="S712" s="93" t="s">
        <v>29</v>
      </c>
      <c r="T712" s="93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CA712" s="12"/>
      <c r="CB712" s="12"/>
    </row>
    <row r="713" spans="1:80" x14ac:dyDescent="0.2">
      <c r="A713" s="96">
        <v>2247</v>
      </c>
      <c r="B713" s="99">
        <v>0</v>
      </c>
      <c r="C713" s="99">
        <v>0</v>
      </c>
      <c r="D713" s="99">
        <v>0</v>
      </c>
      <c r="E713" s="99">
        <v>0</v>
      </c>
      <c r="F713" s="99">
        <v>0</v>
      </c>
      <c r="G713" s="99">
        <v>5</v>
      </c>
      <c r="H713" s="99">
        <v>15</v>
      </c>
      <c r="I713" s="96" t="s">
        <v>29</v>
      </c>
      <c r="J713" s="93"/>
      <c r="K713" s="93">
        <v>2346</v>
      </c>
      <c r="L713" s="103">
        <v>0</v>
      </c>
      <c r="M713" s="103">
        <v>0</v>
      </c>
      <c r="N713" s="103">
        <v>0</v>
      </c>
      <c r="O713" s="103">
        <v>10</v>
      </c>
      <c r="P713" s="103">
        <v>20</v>
      </c>
      <c r="Q713" s="103">
        <v>30</v>
      </c>
      <c r="R713" s="93">
        <v>55</v>
      </c>
      <c r="S713" s="93" t="s">
        <v>29</v>
      </c>
      <c r="T713" s="93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CA713" s="12"/>
      <c r="CB713" s="12"/>
    </row>
    <row r="714" spans="1:80" x14ac:dyDescent="0.2">
      <c r="A714" s="96">
        <v>2248</v>
      </c>
      <c r="B714" s="99">
        <v>0</v>
      </c>
      <c r="C714" s="99">
        <v>0</v>
      </c>
      <c r="D714" s="99">
        <v>0</v>
      </c>
      <c r="E714" s="99">
        <v>0</v>
      </c>
      <c r="F714" s="99">
        <v>0</v>
      </c>
      <c r="G714" s="99">
        <v>5</v>
      </c>
      <c r="H714" s="99">
        <v>15</v>
      </c>
      <c r="I714" s="96" t="s">
        <v>29</v>
      </c>
      <c r="J714" s="93"/>
      <c r="K714" s="93">
        <v>2347</v>
      </c>
      <c r="L714" s="103">
        <v>0</v>
      </c>
      <c r="M714" s="103">
        <v>0</v>
      </c>
      <c r="N714" s="103">
        <v>0</v>
      </c>
      <c r="O714" s="103">
        <v>10</v>
      </c>
      <c r="P714" s="103">
        <v>20</v>
      </c>
      <c r="Q714" s="103">
        <v>30</v>
      </c>
      <c r="R714" s="93">
        <v>55</v>
      </c>
      <c r="S714" s="93" t="s">
        <v>29</v>
      </c>
      <c r="T714" s="93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CA714" s="12"/>
      <c r="CB714" s="12"/>
    </row>
    <row r="715" spans="1:80" x14ac:dyDescent="0.2">
      <c r="A715" s="96">
        <v>2249</v>
      </c>
      <c r="B715" s="99">
        <v>0</v>
      </c>
      <c r="C715" s="99">
        <v>0</v>
      </c>
      <c r="D715" s="99">
        <v>0</v>
      </c>
      <c r="E715" s="99">
        <v>0</v>
      </c>
      <c r="F715" s="99">
        <v>0</v>
      </c>
      <c r="G715" s="99">
        <v>5</v>
      </c>
      <c r="H715" s="99">
        <v>15</v>
      </c>
      <c r="I715" s="96" t="s">
        <v>29</v>
      </c>
      <c r="J715" s="93"/>
      <c r="K715" s="93">
        <v>2348</v>
      </c>
      <c r="L715" s="103">
        <v>0</v>
      </c>
      <c r="M715" s="103">
        <v>0</v>
      </c>
      <c r="N715" s="103">
        <v>0</v>
      </c>
      <c r="O715" s="103">
        <v>10</v>
      </c>
      <c r="P715" s="103">
        <v>20</v>
      </c>
      <c r="Q715" s="103">
        <v>30</v>
      </c>
      <c r="R715" s="93">
        <v>55</v>
      </c>
      <c r="S715" s="93" t="s">
        <v>29</v>
      </c>
      <c r="T715" s="93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CA715" s="12"/>
      <c r="CB715" s="12"/>
    </row>
    <row r="716" spans="1:80" x14ac:dyDescent="0.2">
      <c r="A716" s="96">
        <v>2250</v>
      </c>
      <c r="B716" s="99">
        <v>0</v>
      </c>
      <c r="C716" s="99">
        <v>0</v>
      </c>
      <c r="D716" s="99">
        <v>0</v>
      </c>
      <c r="E716" s="99">
        <v>0</v>
      </c>
      <c r="F716" s="99">
        <v>0</v>
      </c>
      <c r="G716" s="99">
        <v>5</v>
      </c>
      <c r="H716" s="99">
        <v>15</v>
      </c>
      <c r="I716" s="96" t="s">
        <v>29</v>
      </c>
      <c r="J716" s="93"/>
      <c r="K716" s="93">
        <v>2349</v>
      </c>
      <c r="L716" s="103">
        <v>0</v>
      </c>
      <c r="M716" s="103">
        <v>0</v>
      </c>
      <c r="N716" s="103">
        <v>0</v>
      </c>
      <c r="O716" s="103">
        <v>10</v>
      </c>
      <c r="P716" s="103">
        <v>20</v>
      </c>
      <c r="Q716" s="103">
        <v>30</v>
      </c>
      <c r="R716" s="93">
        <v>55</v>
      </c>
      <c r="S716" s="93" t="s">
        <v>29</v>
      </c>
      <c r="T716" s="93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CA716" s="12"/>
      <c r="CB716" s="12"/>
    </row>
    <row r="717" spans="1:80" x14ac:dyDescent="0.2">
      <c r="A717" s="96">
        <v>2251</v>
      </c>
      <c r="B717" s="99">
        <v>0</v>
      </c>
      <c r="C717" s="99">
        <v>0</v>
      </c>
      <c r="D717" s="99">
        <v>0</v>
      </c>
      <c r="E717" s="99">
        <v>0</v>
      </c>
      <c r="F717" s="99">
        <v>0</v>
      </c>
      <c r="G717" s="99">
        <v>5</v>
      </c>
      <c r="H717" s="99">
        <v>10</v>
      </c>
      <c r="I717" s="96" t="s">
        <v>29</v>
      </c>
      <c r="J717" s="93"/>
      <c r="K717" s="93">
        <v>2350</v>
      </c>
      <c r="L717" s="103">
        <v>0</v>
      </c>
      <c r="M717" s="103">
        <v>0</v>
      </c>
      <c r="N717" s="103">
        <v>0</v>
      </c>
      <c r="O717" s="103">
        <v>10</v>
      </c>
      <c r="P717" s="103">
        <v>20</v>
      </c>
      <c r="Q717" s="103">
        <v>30</v>
      </c>
      <c r="R717" s="93">
        <v>55</v>
      </c>
      <c r="S717" s="93" t="s">
        <v>29</v>
      </c>
      <c r="T717" s="93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CA717" s="12"/>
      <c r="CB717" s="12"/>
    </row>
    <row r="718" spans="1:80" x14ac:dyDescent="0.2">
      <c r="A718" s="96">
        <v>2252</v>
      </c>
      <c r="B718" s="99">
        <v>0</v>
      </c>
      <c r="C718" s="99">
        <v>0</v>
      </c>
      <c r="D718" s="99">
        <v>0</v>
      </c>
      <c r="E718" s="99">
        <v>0</v>
      </c>
      <c r="F718" s="99">
        <v>0</v>
      </c>
      <c r="G718" s="99">
        <v>5</v>
      </c>
      <c r="H718" s="99">
        <v>10</v>
      </c>
      <c r="I718" s="96" t="s">
        <v>29</v>
      </c>
      <c r="J718" s="93"/>
      <c r="K718" s="93">
        <v>2351</v>
      </c>
      <c r="L718" s="103">
        <v>0</v>
      </c>
      <c r="M718" s="103">
        <v>0</v>
      </c>
      <c r="N718" s="103">
        <v>0</v>
      </c>
      <c r="O718" s="103">
        <v>10</v>
      </c>
      <c r="P718" s="103">
        <v>20</v>
      </c>
      <c r="Q718" s="103">
        <v>25</v>
      </c>
      <c r="R718" s="93">
        <v>55</v>
      </c>
      <c r="S718" s="93" t="s">
        <v>29</v>
      </c>
      <c r="T718" s="93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CA718" s="12"/>
      <c r="CB718" s="12"/>
    </row>
    <row r="719" spans="1:80" x14ac:dyDescent="0.2">
      <c r="A719" s="96">
        <v>2253</v>
      </c>
      <c r="B719" s="99">
        <v>0</v>
      </c>
      <c r="C719" s="99">
        <v>0</v>
      </c>
      <c r="D719" s="99">
        <v>0</v>
      </c>
      <c r="E719" s="99">
        <v>0</v>
      </c>
      <c r="F719" s="99">
        <v>0</v>
      </c>
      <c r="G719" s="99">
        <v>5</v>
      </c>
      <c r="H719" s="99">
        <v>10</v>
      </c>
      <c r="I719" s="96" t="s">
        <v>29</v>
      </c>
      <c r="J719" s="93"/>
      <c r="K719" s="93">
        <v>2352</v>
      </c>
      <c r="L719" s="103">
        <v>0</v>
      </c>
      <c r="M719" s="103">
        <v>0</v>
      </c>
      <c r="N719" s="103">
        <v>0</v>
      </c>
      <c r="O719" s="103">
        <v>10</v>
      </c>
      <c r="P719" s="103">
        <v>20</v>
      </c>
      <c r="Q719" s="103">
        <v>25</v>
      </c>
      <c r="R719" s="93">
        <v>55</v>
      </c>
      <c r="S719" s="93" t="s">
        <v>29</v>
      </c>
      <c r="T719" s="93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CA719" s="12"/>
      <c r="CB719" s="12"/>
    </row>
    <row r="720" spans="1:80" x14ac:dyDescent="0.2">
      <c r="A720" s="96">
        <v>2254</v>
      </c>
      <c r="B720" s="99">
        <v>0</v>
      </c>
      <c r="C720" s="99">
        <v>0</v>
      </c>
      <c r="D720" s="99">
        <v>0</v>
      </c>
      <c r="E720" s="99">
        <v>0</v>
      </c>
      <c r="F720" s="99">
        <v>0</v>
      </c>
      <c r="G720" s="99">
        <v>5</v>
      </c>
      <c r="H720" s="99">
        <v>10</v>
      </c>
      <c r="I720" s="96" t="s">
        <v>29</v>
      </c>
      <c r="J720" s="93"/>
      <c r="K720" s="93">
        <v>2353</v>
      </c>
      <c r="L720" s="103">
        <v>0</v>
      </c>
      <c r="M720" s="103">
        <v>0</v>
      </c>
      <c r="N720" s="103">
        <v>0</v>
      </c>
      <c r="O720" s="103">
        <v>10</v>
      </c>
      <c r="P720" s="103">
        <v>20</v>
      </c>
      <c r="Q720" s="103">
        <v>25</v>
      </c>
      <c r="R720" s="93">
        <v>55</v>
      </c>
      <c r="S720" s="93" t="s">
        <v>29</v>
      </c>
      <c r="T720" s="93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CA720" s="12"/>
      <c r="CB720" s="12"/>
    </row>
    <row r="721" spans="1:80" x14ac:dyDescent="0.2">
      <c r="A721" s="96">
        <v>2255</v>
      </c>
      <c r="B721" s="99">
        <v>0</v>
      </c>
      <c r="C721" s="99">
        <v>0</v>
      </c>
      <c r="D721" s="99">
        <v>0</v>
      </c>
      <c r="E721" s="99">
        <v>0</v>
      </c>
      <c r="F721" s="99">
        <v>0</v>
      </c>
      <c r="G721" s="99">
        <v>5</v>
      </c>
      <c r="H721" s="99">
        <v>10</v>
      </c>
      <c r="I721" s="96" t="s">
        <v>29</v>
      </c>
      <c r="J721" s="93"/>
      <c r="K721" s="93">
        <v>2354</v>
      </c>
      <c r="L721" s="103">
        <v>0</v>
      </c>
      <c r="M721" s="103">
        <v>0</v>
      </c>
      <c r="N721" s="103">
        <v>0</v>
      </c>
      <c r="O721" s="103">
        <v>10</v>
      </c>
      <c r="P721" s="103">
        <v>20</v>
      </c>
      <c r="Q721" s="103">
        <v>25</v>
      </c>
      <c r="R721" s="93">
        <v>55</v>
      </c>
      <c r="S721" s="93" t="s">
        <v>29</v>
      </c>
      <c r="T721" s="93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CA721" s="12"/>
      <c r="CB721" s="12"/>
    </row>
    <row r="722" spans="1:80" x14ac:dyDescent="0.2">
      <c r="A722" s="96">
        <v>2256</v>
      </c>
      <c r="B722" s="99">
        <v>0</v>
      </c>
      <c r="C722" s="99">
        <v>0</v>
      </c>
      <c r="D722" s="99">
        <v>0</v>
      </c>
      <c r="E722" s="99">
        <v>0</v>
      </c>
      <c r="F722" s="99">
        <v>0</v>
      </c>
      <c r="G722" s="99">
        <v>5</v>
      </c>
      <c r="H722" s="99">
        <v>10</v>
      </c>
      <c r="I722" s="96" t="s">
        <v>29</v>
      </c>
      <c r="J722" s="93"/>
      <c r="K722" s="93">
        <v>2355</v>
      </c>
      <c r="L722" s="103">
        <v>0</v>
      </c>
      <c r="M722" s="103">
        <v>0</v>
      </c>
      <c r="N722" s="103">
        <v>0</v>
      </c>
      <c r="O722" s="103">
        <v>10</v>
      </c>
      <c r="P722" s="103">
        <v>20</v>
      </c>
      <c r="Q722" s="103">
        <v>25</v>
      </c>
      <c r="R722" s="93">
        <v>55</v>
      </c>
      <c r="S722" s="93" t="s">
        <v>29</v>
      </c>
      <c r="T722" s="93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CA722" s="12"/>
      <c r="CB722" s="12"/>
    </row>
    <row r="723" spans="1:80" x14ac:dyDescent="0.2">
      <c r="A723" s="96">
        <v>2257</v>
      </c>
      <c r="B723" s="99">
        <v>0</v>
      </c>
      <c r="C723" s="99">
        <v>0</v>
      </c>
      <c r="D723" s="99">
        <v>0</v>
      </c>
      <c r="E723" s="99">
        <v>0</v>
      </c>
      <c r="F723" s="99">
        <v>0</v>
      </c>
      <c r="G723" s="99">
        <v>5</v>
      </c>
      <c r="H723" s="99">
        <v>10</v>
      </c>
      <c r="I723" s="96" t="s">
        <v>29</v>
      </c>
      <c r="J723" s="93"/>
      <c r="K723" s="93">
        <v>2356</v>
      </c>
      <c r="L723" s="103">
        <v>0</v>
      </c>
      <c r="M723" s="103">
        <v>0</v>
      </c>
      <c r="N723" s="103">
        <v>0</v>
      </c>
      <c r="O723" s="103">
        <v>10</v>
      </c>
      <c r="P723" s="103">
        <v>20</v>
      </c>
      <c r="Q723" s="103">
        <v>25</v>
      </c>
      <c r="R723" s="93">
        <v>55</v>
      </c>
      <c r="S723" s="93" t="s">
        <v>29</v>
      </c>
      <c r="T723" s="93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CA723" s="12"/>
      <c r="CB723" s="12"/>
    </row>
    <row r="724" spans="1:80" x14ac:dyDescent="0.2">
      <c r="A724" s="96">
        <v>2258</v>
      </c>
      <c r="B724" s="99">
        <v>0</v>
      </c>
      <c r="C724" s="99">
        <v>0</v>
      </c>
      <c r="D724" s="99">
        <v>0</v>
      </c>
      <c r="E724" s="99">
        <v>0</v>
      </c>
      <c r="F724" s="99">
        <v>0</v>
      </c>
      <c r="G724" s="99">
        <v>5</v>
      </c>
      <c r="H724" s="99">
        <v>10</v>
      </c>
      <c r="I724" s="96" t="s">
        <v>29</v>
      </c>
      <c r="J724" s="93"/>
      <c r="K724" s="93">
        <v>2357</v>
      </c>
      <c r="L724" s="103">
        <v>0</v>
      </c>
      <c r="M724" s="103">
        <v>0</v>
      </c>
      <c r="N724" s="103">
        <v>0</v>
      </c>
      <c r="O724" s="103">
        <v>10</v>
      </c>
      <c r="P724" s="103">
        <v>20</v>
      </c>
      <c r="Q724" s="103">
        <v>25</v>
      </c>
      <c r="R724" s="93">
        <v>55</v>
      </c>
      <c r="S724" s="93" t="s">
        <v>29</v>
      </c>
      <c r="T724" s="93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CA724" s="12"/>
      <c r="CB724" s="12"/>
    </row>
    <row r="725" spans="1:80" x14ac:dyDescent="0.2">
      <c r="A725" s="96">
        <v>2259</v>
      </c>
      <c r="B725" s="99">
        <v>0</v>
      </c>
      <c r="C725" s="99">
        <v>0</v>
      </c>
      <c r="D725" s="99">
        <v>0</v>
      </c>
      <c r="E725" s="99">
        <v>0</v>
      </c>
      <c r="F725" s="99">
        <v>0</v>
      </c>
      <c r="G725" s="99">
        <v>5</v>
      </c>
      <c r="H725" s="99">
        <v>10</v>
      </c>
      <c r="I725" s="96" t="s">
        <v>29</v>
      </c>
      <c r="J725" s="93"/>
      <c r="K725" s="93">
        <v>2358</v>
      </c>
      <c r="L725" s="103">
        <v>0</v>
      </c>
      <c r="M725" s="103">
        <v>0</v>
      </c>
      <c r="N725" s="103">
        <v>0</v>
      </c>
      <c r="O725" s="103">
        <v>10</v>
      </c>
      <c r="P725" s="103">
        <v>20</v>
      </c>
      <c r="Q725" s="103">
        <v>25</v>
      </c>
      <c r="R725" s="93">
        <v>55</v>
      </c>
      <c r="S725" s="93" t="s">
        <v>29</v>
      </c>
      <c r="T725" s="93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CA725" s="12"/>
      <c r="CB725" s="12"/>
    </row>
    <row r="726" spans="1:80" x14ac:dyDescent="0.2">
      <c r="A726" s="96">
        <v>2300</v>
      </c>
      <c r="B726" s="99">
        <v>0</v>
      </c>
      <c r="C726" s="99">
        <v>0</v>
      </c>
      <c r="D726" s="99">
        <v>0</v>
      </c>
      <c r="E726" s="99">
        <v>0</v>
      </c>
      <c r="F726" s="99">
        <v>0</v>
      </c>
      <c r="G726" s="99">
        <v>5</v>
      </c>
      <c r="H726" s="99">
        <v>10</v>
      </c>
      <c r="I726" s="96" t="s">
        <v>29</v>
      </c>
      <c r="J726" s="93"/>
      <c r="K726" s="93">
        <v>2359</v>
      </c>
      <c r="L726" s="103">
        <v>0</v>
      </c>
      <c r="M726" s="103">
        <v>0</v>
      </c>
      <c r="N726" s="103">
        <v>0</v>
      </c>
      <c r="O726" s="103">
        <v>10</v>
      </c>
      <c r="P726" s="103">
        <v>20</v>
      </c>
      <c r="Q726" s="103">
        <v>25</v>
      </c>
      <c r="R726" s="93">
        <v>55</v>
      </c>
      <c r="S726" s="93" t="s">
        <v>29</v>
      </c>
      <c r="T726" s="93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CA726" s="12"/>
      <c r="CB726" s="12"/>
    </row>
    <row r="727" spans="1:80" x14ac:dyDescent="0.2">
      <c r="A727" s="96">
        <v>2301</v>
      </c>
      <c r="B727" s="99">
        <v>0</v>
      </c>
      <c r="C727" s="99">
        <v>0</v>
      </c>
      <c r="D727" s="99">
        <v>0</v>
      </c>
      <c r="E727" s="99">
        <v>0</v>
      </c>
      <c r="F727" s="99">
        <v>0</v>
      </c>
      <c r="G727" s="99">
        <v>0</v>
      </c>
      <c r="H727" s="99">
        <v>10</v>
      </c>
      <c r="I727" s="96" t="s">
        <v>29</v>
      </c>
      <c r="J727" s="93"/>
      <c r="K727" s="93">
        <v>2400</v>
      </c>
      <c r="L727" s="103">
        <v>0</v>
      </c>
      <c r="M727" s="103">
        <v>0</v>
      </c>
      <c r="N727" s="103">
        <v>0</v>
      </c>
      <c r="O727" s="103">
        <v>10</v>
      </c>
      <c r="P727" s="103">
        <v>20</v>
      </c>
      <c r="Q727" s="103">
        <v>25</v>
      </c>
      <c r="R727" s="93">
        <v>55</v>
      </c>
      <c r="S727" s="93" t="s">
        <v>29</v>
      </c>
      <c r="T727" s="93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CA727" s="12"/>
      <c r="CB727" s="12"/>
    </row>
    <row r="728" spans="1:80" x14ac:dyDescent="0.2">
      <c r="A728" s="96">
        <v>2302</v>
      </c>
      <c r="B728" s="99">
        <v>0</v>
      </c>
      <c r="C728" s="99">
        <v>0</v>
      </c>
      <c r="D728" s="99">
        <v>0</v>
      </c>
      <c r="E728" s="99">
        <v>0</v>
      </c>
      <c r="F728" s="99">
        <v>0</v>
      </c>
      <c r="G728" s="99">
        <v>0</v>
      </c>
      <c r="H728" s="99">
        <v>10</v>
      </c>
      <c r="I728" s="96" t="s">
        <v>29</v>
      </c>
      <c r="J728" s="93"/>
      <c r="K728" s="93">
        <v>2401</v>
      </c>
      <c r="L728" s="103">
        <v>0</v>
      </c>
      <c r="M728" s="103">
        <v>0</v>
      </c>
      <c r="N728" s="103">
        <v>0</v>
      </c>
      <c r="O728" s="103">
        <v>5</v>
      </c>
      <c r="P728" s="103">
        <v>15</v>
      </c>
      <c r="Q728" s="103">
        <v>25</v>
      </c>
      <c r="R728" s="93">
        <v>50</v>
      </c>
      <c r="S728" s="93" t="s">
        <v>29</v>
      </c>
      <c r="T728" s="93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CA728" s="12"/>
      <c r="CB728" s="12"/>
    </row>
    <row r="729" spans="1:80" x14ac:dyDescent="0.2">
      <c r="A729" s="96">
        <v>2303</v>
      </c>
      <c r="B729" s="99">
        <v>0</v>
      </c>
      <c r="C729" s="99">
        <v>0</v>
      </c>
      <c r="D729" s="99">
        <v>0</v>
      </c>
      <c r="E729" s="99">
        <v>0</v>
      </c>
      <c r="F729" s="99">
        <v>0</v>
      </c>
      <c r="G729" s="99">
        <v>0</v>
      </c>
      <c r="H729" s="99">
        <v>10</v>
      </c>
      <c r="I729" s="96" t="s">
        <v>29</v>
      </c>
      <c r="J729" s="93"/>
      <c r="K729" s="93">
        <v>2402</v>
      </c>
      <c r="L729" s="103">
        <v>0</v>
      </c>
      <c r="M729" s="103">
        <v>0</v>
      </c>
      <c r="N729" s="103">
        <v>0</v>
      </c>
      <c r="O729" s="103">
        <v>5</v>
      </c>
      <c r="P729" s="103">
        <v>15</v>
      </c>
      <c r="Q729" s="103">
        <v>25</v>
      </c>
      <c r="R729" s="93">
        <v>50</v>
      </c>
      <c r="S729" s="93" t="s">
        <v>29</v>
      </c>
      <c r="T729" s="93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CA729" s="12"/>
      <c r="CB729" s="12"/>
    </row>
    <row r="730" spans="1:80" x14ac:dyDescent="0.2">
      <c r="A730" s="96">
        <v>2304</v>
      </c>
      <c r="B730" s="99">
        <v>0</v>
      </c>
      <c r="C730" s="99">
        <v>0</v>
      </c>
      <c r="D730" s="99">
        <v>0</v>
      </c>
      <c r="E730" s="99">
        <v>0</v>
      </c>
      <c r="F730" s="99">
        <v>0</v>
      </c>
      <c r="G730" s="99">
        <v>0</v>
      </c>
      <c r="H730" s="99">
        <v>10</v>
      </c>
      <c r="I730" s="96" t="s">
        <v>29</v>
      </c>
      <c r="J730" s="93"/>
      <c r="K730" s="93">
        <v>2403</v>
      </c>
      <c r="L730" s="103">
        <v>0</v>
      </c>
      <c r="M730" s="103">
        <v>0</v>
      </c>
      <c r="N730" s="103">
        <v>0</v>
      </c>
      <c r="O730" s="103">
        <v>5</v>
      </c>
      <c r="P730" s="103">
        <v>15</v>
      </c>
      <c r="Q730" s="103">
        <v>25</v>
      </c>
      <c r="R730" s="93">
        <v>50</v>
      </c>
      <c r="S730" s="93" t="s">
        <v>29</v>
      </c>
      <c r="T730" s="93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CA730" s="12"/>
      <c r="CB730" s="12"/>
    </row>
    <row r="731" spans="1:80" x14ac:dyDescent="0.2">
      <c r="A731" s="96">
        <v>2305</v>
      </c>
      <c r="B731" s="99">
        <v>0</v>
      </c>
      <c r="C731" s="99">
        <v>0</v>
      </c>
      <c r="D731" s="99">
        <v>0</v>
      </c>
      <c r="E731" s="99">
        <v>0</v>
      </c>
      <c r="F731" s="99">
        <v>0</v>
      </c>
      <c r="G731" s="99">
        <v>0</v>
      </c>
      <c r="H731" s="99">
        <v>10</v>
      </c>
      <c r="I731" s="96" t="s">
        <v>29</v>
      </c>
      <c r="J731" s="93"/>
      <c r="K731" s="93">
        <v>2404</v>
      </c>
      <c r="L731" s="103">
        <v>0</v>
      </c>
      <c r="M731" s="103">
        <v>0</v>
      </c>
      <c r="N731" s="103">
        <v>0</v>
      </c>
      <c r="O731" s="103">
        <v>5</v>
      </c>
      <c r="P731" s="103">
        <v>15</v>
      </c>
      <c r="Q731" s="103">
        <v>25</v>
      </c>
      <c r="R731" s="93">
        <v>50</v>
      </c>
      <c r="S731" s="93" t="s">
        <v>29</v>
      </c>
      <c r="T731" s="93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CA731" s="12"/>
      <c r="CB731" s="12"/>
    </row>
    <row r="732" spans="1:80" x14ac:dyDescent="0.2">
      <c r="A732" s="96">
        <v>2306</v>
      </c>
      <c r="B732" s="99">
        <v>0</v>
      </c>
      <c r="C732" s="99">
        <v>0</v>
      </c>
      <c r="D732" s="99">
        <v>0</v>
      </c>
      <c r="E732" s="99">
        <v>0</v>
      </c>
      <c r="F732" s="99">
        <v>0</v>
      </c>
      <c r="G732" s="99">
        <v>0</v>
      </c>
      <c r="H732" s="99">
        <v>10</v>
      </c>
      <c r="I732" s="96" t="s">
        <v>29</v>
      </c>
      <c r="J732" s="93"/>
      <c r="K732" s="93">
        <v>2405</v>
      </c>
      <c r="L732" s="103">
        <v>0</v>
      </c>
      <c r="M732" s="103">
        <v>0</v>
      </c>
      <c r="N732" s="103">
        <v>0</v>
      </c>
      <c r="O732" s="103">
        <v>5</v>
      </c>
      <c r="P732" s="103">
        <v>15</v>
      </c>
      <c r="Q732" s="103">
        <v>25</v>
      </c>
      <c r="R732" s="93">
        <v>50</v>
      </c>
      <c r="S732" s="93" t="s">
        <v>29</v>
      </c>
      <c r="T732" s="93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CA732" s="12"/>
      <c r="CB732" s="12"/>
    </row>
    <row r="733" spans="1:80" x14ac:dyDescent="0.2">
      <c r="A733" s="96">
        <v>2307</v>
      </c>
      <c r="B733" s="99">
        <v>0</v>
      </c>
      <c r="C733" s="99">
        <v>0</v>
      </c>
      <c r="D733" s="99">
        <v>0</v>
      </c>
      <c r="E733" s="99">
        <v>0</v>
      </c>
      <c r="F733" s="99">
        <v>0</v>
      </c>
      <c r="G733" s="99">
        <v>0</v>
      </c>
      <c r="H733" s="99">
        <v>10</v>
      </c>
      <c r="I733" s="96" t="s">
        <v>29</v>
      </c>
      <c r="J733" s="93"/>
      <c r="K733" s="93">
        <v>2406</v>
      </c>
      <c r="L733" s="103">
        <v>0</v>
      </c>
      <c r="M733" s="103">
        <v>0</v>
      </c>
      <c r="N733" s="103">
        <v>0</v>
      </c>
      <c r="O733" s="103">
        <v>5</v>
      </c>
      <c r="P733" s="103">
        <v>15</v>
      </c>
      <c r="Q733" s="103">
        <v>25</v>
      </c>
      <c r="R733" s="93">
        <v>50</v>
      </c>
      <c r="S733" s="93" t="s">
        <v>29</v>
      </c>
      <c r="T733" s="93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CA733" s="12"/>
      <c r="CB733" s="12"/>
    </row>
    <row r="734" spans="1:80" x14ac:dyDescent="0.2">
      <c r="A734" s="96">
        <v>2308</v>
      </c>
      <c r="B734" s="99">
        <v>0</v>
      </c>
      <c r="C734" s="99">
        <v>0</v>
      </c>
      <c r="D734" s="99">
        <v>0</v>
      </c>
      <c r="E734" s="99">
        <v>0</v>
      </c>
      <c r="F734" s="99">
        <v>0</v>
      </c>
      <c r="G734" s="99">
        <v>0</v>
      </c>
      <c r="H734" s="99">
        <v>10</v>
      </c>
      <c r="I734" s="96" t="s">
        <v>29</v>
      </c>
      <c r="J734" s="93"/>
      <c r="K734" s="93">
        <v>2407</v>
      </c>
      <c r="L734" s="103">
        <v>0</v>
      </c>
      <c r="M734" s="103">
        <v>0</v>
      </c>
      <c r="N734" s="103">
        <v>0</v>
      </c>
      <c r="O734" s="103">
        <v>5</v>
      </c>
      <c r="P734" s="103">
        <v>15</v>
      </c>
      <c r="Q734" s="103">
        <v>25</v>
      </c>
      <c r="R734" s="93">
        <v>50</v>
      </c>
      <c r="S734" s="93" t="s">
        <v>29</v>
      </c>
      <c r="T734" s="93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CA734" s="12"/>
      <c r="CB734" s="12"/>
    </row>
    <row r="735" spans="1:80" x14ac:dyDescent="0.2">
      <c r="A735" s="96">
        <v>2309</v>
      </c>
      <c r="B735" s="99">
        <v>0</v>
      </c>
      <c r="C735" s="99">
        <v>0</v>
      </c>
      <c r="D735" s="99">
        <v>0</v>
      </c>
      <c r="E735" s="99">
        <v>0</v>
      </c>
      <c r="F735" s="99">
        <v>0</v>
      </c>
      <c r="G735" s="99">
        <v>0</v>
      </c>
      <c r="H735" s="99">
        <v>10</v>
      </c>
      <c r="I735" s="96" t="s">
        <v>29</v>
      </c>
      <c r="J735" s="93"/>
      <c r="K735" s="93">
        <v>2408</v>
      </c>
      <c r="L735" s="103">
        <v>0</v>
      </c>
      <c r="M735" s="103">
        <v>0</v>
      </c>
      <c r="N735" s="103">
        <v>0</v>
      </c>
      <c r="O735" s="103">
        <v>5</v>
      </c>
      <c r="P735" s="103">
        <v>15</v>
      </c>
      <c r="Q735" s="103">
        <v>25</v>
      </c>
      <c r="R735" s="93">
        <v>50</v>
      </c>
      <c r="S735" s="93" t="s">
        <v>29</v>
      </c>
      <c r="T735" s="93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CA735" s="12"/>
      <c r="CB735" s="12"/>
    </row>
    <row r="736" spans="1:80" x14ac:dyDescent="0.2">
      <c r="A736" s="96">
        <v>2310</v>
      </c>
      <c r="B736" s="99">
        <v>0</v>
      </c>
      <c r="C736" s="99">
        <v>0</v>
      </c>
      <c r="D736" s="99">
        <v>0</v>
      </c>
      <c r="E736" s="99">
        <v>0</v>
      </c>
      <c r="F736" s="99">
        <v>0</v>
      </c>
      <c r="G736" s="99">
        <v>0</v>
      </c>
      <c r="H736" s="99">
        <v>10</v>
      </c>
      <c r="I736" s="96" t="s">
        <v>29</v>
      </c>
      <c r="J736" s="93"/>
      <c r="K736" s="93">
        <v>2409</v>
      </c>
      <c r="L736" s="103">
        <v>0</v>
      </c>
      <c r="M736" s="103">
        <v>0</v>
      </c>
      <c r="N736" s="103">
        <v>0</v>
      </c>
      <c r="O736" s="103">
        <v>5</v>
      </c>
      <c r="P736" s="103">
        <v>15</v>
      </c>
      <c r="Q736" s="103">
        <v>25</v>
      </c>
      <c r="R736" s="93">
        <v>50</v>
      </c>
      <c r="S736" s="93" t="s">
        <v>29</v>
      </c>
      <c r="T736" s="93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CA736" s="12"/>
      <c r="CB736" s="12"/>
    </row>
    <row r="737" spans="1:80" x14ac:dyDescent="0.2">
      <c r="A737" s="96">
        <v>2311</v>
      </c>
      <c r="B737" s="99">
        <v>0</v>
      </c>
      <c r="C737" s="99">
        <v>0</v>
      </c>
      <c r="D737" s="99">
        <v>0</v>
      </c>
      <c r="E737" s="99">
        <v>0</v>
      </c>
      <c r="F737" s="99">
        <v>0</v>
      </c>
      <c r="G737" s="99">
        <v>0</v>
      </c>
      <c r="H737" s="99">
        <v>5</v>
      </c>
      <c r="I737" s="96" t="s">
        <v>29</v>
      </c>
      <c r="J737" s="93"/>
      <c r="K737" s="93">
        <v>2410</v>
      </c>
      <c r="L737" s="103">
        <v>0</v>
      </c>
      <c r="M737" s="103">
        <v>0</v>
      </c>
      <c r="N737" s="103">
        <v>0</v>
      </c>
      <c r="O737" s="103">
        <v>5</v>
      </c>
      <c r="P737" s="103">
        <v>15</v>
      </c>
      <c r="Q737" s="103">
        <v>25</v>
      </c>
      <c r="R737" s="93">
        <v>50</v>
      </c>
      <c r="S737" s="93" t="s">
        <v>29</v>
      </c>
      <c r="T737" s="93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CA737" s="12"/>
      <c r="CB737" s="12"/>
    </row>
    <row r="738" spans="1:80" x14ac:dyDescent="0.2">
      <c r="A738" s="96">
        <v>2312</v>
      </c>
      <c r="B738" s="99">
        <v>0</v>
      </c>
      <c r="C738" s="99">
        <v>0</v>
      </c>
      <c r="D738" s="99">
        <v>0</v>
      </c>
      <c r="E738" s="99">
        <v>0</v>
      </c>
      <c r="F738" s="99">
        <v>0</v>
      </c>
      <c r="G738" s="99">
        <v>0</v>
      </c>
      <c r="H738" s="99">
        <v>5</v>
      </c>
      <c r="I738" s="96" t="s">
        <v>29</v>
      </c>
      <c r="J738" s="93"/>
      <c r="K738" s="93">
        <v>2411</v>
      </c>
      <c r="L738" s="103">
        <v>0</v>
      </c>
      <c r="M738" s="103">
        <v>0</v>
      </c>
      <c r="N738" s="103">
        <v>0</v>
      </c>
      <c r="O738" s="103">
        <v>5</v>
      </c>
      <c r="P738" s="103">
        <v>15</v>
      </c>
      <c r="Q738" s="103">
        <v>20</v>
      </c>
      <c r="R738" s="93">
        <v>50</v>
      </c>
      <c r="S738" s="93" t="s">
        <v>29</v>
      </c>
      <c r="T738" s="93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CA738" s="12"/>
      <c r="CB738" s="12"/>
    </row>
    <row r="739" spans="1:80" x14ac:dyDescent="0.2">
      <c r="A739" s="96">
        <v>2313</v>
      </c>
      <c r="B739" s="99">
        <v>0</v>
      </c>
      <c r="C739" s="99">
        <v>0</v>
      </c>
      <c r="D739" s="99">
        <v>0</v>
      </c>
      <c r="E739" s="99">
        <v>0</v>
      </c>
      <c r="F739" s="99">
        <v>0</v>
      </c>
      <c r="G739" s="99">
        <v>0</v>
      </c>
      <c r="H739" s="99">
        <v>5</v>
      </c>
      <c r="I739" s="96" t="s">
        <v>29</v>
      </c>
      <c r="J739" s="93"/>
      <c r="K739" s="93">
        <v>2412</v>
      </c>
      <c r="L739" s="103">
        <v>0</v>
      </c>
      <c r="M739" s="103">
        <v>0</v>
      </c>
      <c r="N739" s="103">
        <v>0</v>
      </c>
      <c r="O739" s="103">
        <v>5</v>
      </c>
      <c r="P739" s="103">
        <v>15</v>
      </c>
      <c r="Q739" s="103">
        <v>20</v>
      </c>
      <c r="R739" s="93">
        <v>50</v>
      </c>
      <c r="S739" s="93" t="s">
        <v>29</v>
      </c>
      <c r="T739" s="93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CA739" s="12"/>
      <c r="CB739" s="12"/>
    </row>
    <row r="740" spans="1:80" x14ac:dyDescent="0.2">
      <c r="A740" s="96">
        <v>2314</v>
      </c>
      <c r="B740" s="99">
        <v>0</v>
      </c>
      <c r="C740" s="99">
        <v>0</v>
      </c>
      <c r="D740" s="99">
        <v>0</v>
      </c>
      <c r="E740" s="99">
        <v>0</v>
      </c>
      <c r="F740" s="99">
        <v>0</v>
      </c>
      <c r="G740" s="99">
        <v>0</v>
      </c>
      <c r="H740" s="99">
        <v>5</v>
      </c>
      <c r="I740" s="96" t="s">
        <v>29</v>
      </c>
      <c r="J740" s="93"/>
      <c r="K740" s="93">
        <v>2413</v>
      </c>
      <c r="L740" s="103">
        <v>0</v>
      </c>
      <c r="M740" s="103">
        <v>0</v>
      </c>
      <c r="N740" s="103">
        <v>0</v>
      </c>
      <c r="O740" s="103">
        <v>5</v>
      </c>
      <c r="P740" s="103">
        <v>15</v>
      </c>
      <c r="Q740" s="103">
        <v>20</v>
      </c>
      <c r="R740" s="93">
        <v>50</v>
      </c>
      <c r="S740" s="93" t="s">
        <v>29</v>
      </c>
      <c r="T740" s="93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CA740" s="12"/>
      <c r="CB740" s="12"/>
    </row>
    <row r="741" spans="1:80" x14ac:dyDescent="0.2">
      <c r="A741" s="96">
        <v>2315</v>
      </c>
      <c r="B741" s="99">
        <v>0</v>
      </c>
      <c r="C741" s="99">
        <v>0</v>
      </c>
      <c r="D741" s="99">
        <v>0</v>
      </c>
      <c r="E741" s="99">
        <v>0</v>
      </c>
      <c r="F741" s="99">
        <v>0</v>
      </c>
      <c r="G741" s="99">
        <v>0</v>
      </c>
      <c r="H741" s="99">
        <v>5</v>
      </c>
      <c r="I741" s="96" t="s">
        <v>29</v>
      </c>
      <c r="J741" s="93"/>
      <c r="K741" s="93">
        <v>2414</v>
      </c>
      <c r="L741" s="103">
        <v>0</v>
      </c>
      <c r="M741" s="103">
        <v>0</v>
      </c>
      <c r="N741" s="103">
        <v>0</v>
      </c>
      <c r="O741" s="103">
        <v>5</v>
      </c>
      <c r="P741" s="103">
        <v>15</v>
      </c>
      <c r="Q741" s="103">
        <v>20</v>
      </c>
      <c r="R741" s="93">
        <v>50</v>
      </c>
      <c r="S741" s="93" t="s">
        <v>29</v>
      </c>
      <c r="T741" s="93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CA741" s="12"/>
      <c r="CB741" s="12"/>
    </row>
    <row r="742" spans="1:80" x14ac:dyDescent="0.2">
      <c r="A742" s="96">
        <v>2316</v>
      </c>
      <c r="B742" s="99">
        <v>0</v>
      </c>
      <c r="C742" s="99">
        <v>0</v>
      </c>
      <c r="D742" s="99">
        <v>0</v>
      </c>
      <c r="E742" s="99">
        <v>0</v>
      </c>
      <c r="F742" s="99">
        <v>0</v>
      </c>
      <c r="G742" s="99">
        <v>0</v>
      </c>
      <c r="H742" s="99">
        <v>5</v>
      </c>
      <c r="I742" s="96" t="s">
        <v>29</v>
      </c>
      <c r="J742" s="93"/>
      <c r="K742" s="93">
        <v>2415</v>
      </c>
      <c r="L742" s="103">
        <v>0</v>
      </c>
      <c r="M742" s="103">
        <v>0</v>
      </c>
      <c r="N742" s="103">
        <v>0</v>
      </c>
      <c r="O742" s="103">
        <v>5</v>
      </c>
      <c r="P742" s="103">
        <v>15</v>
      </c>
      <c r="Q742" s="103">
        <v>20</v>
      </c>
      <c r="R742" s="93">
        <v>50</v>
      </c>
      <c r="S742" s="93" t="s">
        <v>29</v>
      </c>
      <c r="T742" s="93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CA742" s="12"/>
      <c r="CB742" s="12"/>
    </row>
    <row r="743" spans="1:80" x14ac:dyDescent="0.2">
      <c r="A743" s="96">
        <v>2317</v>
      </c>
      <c r="B743" s="99">
        <v>0</v>
      </c>
      <c r="C743" s="99">
        <v>0</v>
      </c>
      <c r="D743" s="99">
        <v>0</v>
      </c>
      <c r="E743" s="99">
        <v>0</v>
      </c>
      <c r="F743" s="99">
        <v>0</v>
      </c>
      <c r="G743" s="99">
        <v>0</v>
      </c>
      <c r="H743" s="99">
        <v>5</v>
      </c>
      <c r="I743" s="96" t="s">
        <v>29</v>
      </c>
      <c r="J743" s="93"/>
      <c r="K743" s="93">
        <v>2416</v>
      </c>
      <c r="L743" s="103">
        <v>0</v>
      </c>
      <c r="M743" s="103">
        <v>0</v>
      </c>
      <c r="N743" s="103">
        <v>0</v>
      </c>
      <c r="O743" s="103">
        <v>5</v>
      </c>
      <c r="P743" s="103">
        <v>15</v>
      </c>
      <c r="Q743" s="103">
        <v>20</v>
      </c>
      <c r="R743" s="93">
        <v>50</v>
      </c>
      <c r="S743" s="93" t="s">
        <v>29</v>
      </c>
      <c r="T743" s="93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CA743" s="12"/>
      <c r="CB743" s="12"/>
    </row>
    <row r="744" spans="1:80" x14ac:dyDescent="0.2">
      <c r="A744" s="96">
        <v>2318</v>
      </c>
      <c r="B744" s="99">
        <v>0</v>
      </c>
      <c r="C744" s="99">
        <v>0</v>
      </c>
      <c r="D744" s="99">
        <v>0</v>
      </c>
      <c r="E744" s="99">
        <v>0</v>
      </c>
      <c r="F744" s="99">
        <v>0</v>
      </c>
      <c r="G744" s="99">
        <v>0</v>
      </c>
      <c r="H744" s="99">
        <v>5</v>
      </c>
      <c r="I744" s="96" t="s">
        <v>29</v>
      </c>
      <c r="J744" s="93"/>
      <c r="K744" s="93">
        <v>2417</v>
      </c>
      <c r="L744" s="103">
        <v>0</v>
      </c>
      <c r="M744" s="103">
        <v>0</v>
      </c>
      <c r="N744" s="103">
        <v>0</v>
      </c>
      <c r="O744" s="103">
        <v>5</v>
      </c>
      <c r="P744" s="103">
        <v>15</v>
      </c>
      <c r="Q744" s="103">
        <v>20</v>
      </c>
      <c r="R744" s="93">
        <v>50</v>
      </c>
      <c r="S744" s="93" t="s">
        <v>29</v>
      </c>
      <c r="T744" s="93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CA744" s="12"/>
      <c r="CB744" s="12"/>
    </row>
    <row r="745" spans="1:80" x14ac:dyDescent="0.2">
      <c r="A745" s="96">
        <v>2319</v>
      </c>
      <c r="B745" s="99">
        <v>0</v>
      </c>
      <c r="C745" s="99">
        <v>0</v>
      </c>
      <c r="D745" s="99">
        <v>0</v>
      </c>
      <c r="E745" s="99">
        <v>0</v>
      </c>
      <c r="F745" s="99">
        <v>0</v>
      </c>
      <c r="G745" s="99">
        <v>0</v>
      </c>
      <c r="H745" s="99">
        <v>5</v>
      </c>
      <c r="I745" s="96" t="s">
        <v>29</v>
      </c>
      <c r="J745" s="93"/>
      <c r="K745" s="93">
        <v>2418</v>
      </c>
      <c r="L745" s="103">
        <v>0</v>
      </c>
      <c r="M745" s="103">
        <v>0</v>
      </c>
      <c r="N745" s="103">
        <v>0</v>
      </c>
      <c r="O745" s="103">
        <v>5</v>
      </c>
      <c r="P745" s="103">
        <v>15</v>
      </c>
      <c r="Q745" s="103">
        <v>20</v>
      </c>
      <c r="R745" s="93">
        <v>50</v>
      </c>
      <c r="S745" s="93" t="s">
        <v>29</v>
      </c>
      <c r="T745" s="93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CA745" s="12"/>
      <c r="CB745" s="12"/>
    </row>
    <row r="746" spans="1:80" x14ac:dyDescent="0.2">
      <c r="A746" s="96">
        <v>2320</v>
      </c>
      <c r="B746" s="99">
        <v>0</v>
      </c>
      <c r="C746" s="99">
        <v>0</v>
      </c>
      <c r="D746" s="99">
        <v>0</v>
      </c>
      <c r="E746" s="99">
        <v>0</v>
      </c>
      <c r="F746" s="99">
        <v>0</v>
      </c>
      <c r="G746" s="99">
        <v>0</v>
      </c>
      <c r="H746" s="99">
        <v>5</v>
      </c>
      <c r="I746" s="96" t="s">
        <v>29</v>
      </c>
      <c r="J746" s="93"/>
      <c r="K746" s="93">
        <v>2419</v>
      </c>
      <c r="L746" s="103">
        <v>0</v>
      </c>
      <c r="M746" s="103">
        <v>0</v>
      </c>
      <c r="N746" s="103">
        <v>0</v>
      </c>
      <c r="O746" s="103">
        <v>5</v>
      </c>
      <c r="P746" s="103">
        <v>15</v>
      </c>
      <c r="Q746" s="103">
        <v>20</v>
      </c>
      <c r="R746" s="93">
        <v>50</v>
      </c>
      <c r="S746" s="93" t="s">
        <v>29</v>
      </c>
      <c r="T746" s="93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CA746" s="12"/>
      <c r="CB746" s="12"/>
    </row>
    <row r="747" spans="1:80" x14ac:dyDescent="0.2">
      <c r="A747" s="96">
        <v>2321</v>
      </c>
      <c r="B747" s="99">
        <v>0</v>
      </c>
      <c r="C747" s="99">
        <v>0</v>
      </c>
      <c r="D747" s="99">
        <v>0</v>
      </c>
      <c r="E747" s="99">
        <v>0</v>
      </c>
      <c r="F747" s="99">
        <v>0</v>
      </c>
      <c r="G747" s="99">
        <v>0</v>
      </c>
      <c r="H747" s="99">
        <v>5</v>
      </c>
      <c r="I747" s="96" t="s">
        <v>29</v>
      </c>
      <c r="J747" s="93"/>
      <c r="K747" s="93">
        <v>2420</v>
      </c>
      <c r="L747" s="103">
        <v>0</v>
      </c>
      <c r="M747" s="103">
        <v>0</v>
      </c>
      <c r="N747" s="103">
        <v>0</v>
      </c>
      <c r="O747" s="103">
        <v>5</v>
      </c>
      <c r="P747" s="103">
        <v>15</v>
      </c>
      <c r="Q747" s="103">
        <v>20</v>
      </c>
      <c r="R747" s="93">
        <v>50</v>
      </c>
      <c r="S747" s="93" t="s">
        <v>29</v>
      </c>
      <c r="T747" s="93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CA747" s="12"/>
      <c r="CB747" s="12"/>
    </row>
    <row r="748" spans="1:80" x14ac:dyDescent="0.2">
      <c r="A748" s="96">
        <v>2322</v>
      </c>
      <c r="B748" s="99">
        <v>0</v>
      </c>
      <c r="C748" s="99">
        <v>0</v>
      </c>
      <c r="D748" s="99">
        <v>0</v>
      </c>
      <c r="E748" s="99">
        <v>0</v>
      </c>
      <c r="F748" s="99">
        <v>0</v>
      </c>
      <c r="G748" s="99">
        <v>0</v>
      </c>
      <c r="H748" s="99">
        <v>5</v>
      </c>
      <c r="I748" s="96" t="s">
        <v>29</v>
      </c>
      <c r="J748" s="93"/>
      <c r="K748" s="93">
        <v>2421</v>
      </c>
      <c r="L748" s="103">
        <v>0</v>
      </c>
      <c r="M748" s="103">
        <v>0</v>
      </c>
      <c r="N748" s="103">
        <v>0</v>
      </c>
      <c r="O748" s="103">
        <v>0</v>
      </c>
      <c r="P748" s="103">
        <v>10</v>
      </c>
      <c r="Q748" s="103">
        <v>20</v>
      </c>
      <c r="R748" s="103">
        <v>45</v>
      </c>
      <c r="S748" s="93" t="s">
        <v>29</v>
      </c>
      <c r="T748" s="93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CA748" s="12"/>
      <c r="CB748" s="12"/>
    </row>
    <row r="749" spans="1:80" x14ac:dyDescent="0.2">
      <c r="A749" s="96">
        <v>2323</v>
      </c>
      <c r="B749" s="99">
        <v>0</v>
      </c>
      <c r="C749" s="99">
        <v>0</v>
      </c>
      <c r="D749" s="99">
        <v>0</v>
      </c>
      <c r="E749" s="99">
        <v>0</v>
      </c>
      <c r="F749" s="99">
        <v>0</v>
      </c>
      <c r="G749" s="99">
        <v>0</v>
      </c>
      <c r="H749" s="99">
        <v>5</v>
      </c>
      <c r="I749" s="96" t="s">
        <v>29</v>
      </c>
      <c r="J749" s="93"/>
      <c r="K749" s="93">
        <v>2422</v>
      </c>
      <c r="L749" s="103">
        <v>0</v>
      </c>
      <c r="M749" s="103">
        <v>0</v>
      </c>
      <c r="N749" s="103">
        <v>0</v>
      </c>
      <c r="O749" s="103">
        <v>0</v>
      </c>
      <c r="P749" s="103">
        <v>10</v>
      </c>
      <c r="Q749" s="103">
        <v>20</v>
      </c>
      <c r="R749" s="103">
        <v>45</v>
      </c>
      <c r="S749" s="93" t="s">
        <v>29</v>
      </c>
      <c r="T749" s="93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CA749" s="12"/>
      <c r="CB749" s="12"/>
    </row>
    <row r="750" spans="1:80" x14ac:dyDescent="0.2">
      <c r="A750" s="96">
        <v>2324</v>
      </c>
      <c r="B750" s="99">
        <v>0</v>
      </c>
      <c r="C750" s="99">
        <v>0</v>
      </c>
      <c r="D750" s="99">
        <v>0</v>
      </c>
      <c r="E750" s="99">
        <v>0</v>
      </c>
      <c r="F750" s="99">
        <v>0</v>
      </c>
      <c r="G750" s="99">
        <v>0</v>
      </c>
      <c r="H750" s="99">
        <v>5</v>
      </c>
      <c r="I750" s="96" t="s">
        <v>29</v>
      </c>
      <c r="J750" s="93"/>
      <c r="K750" s="93">
        <v>2423</v>
      </c>
      <c r="L750" s="103">
        <v>0</v>
      </c>
      <c r="M750" s="103">
        <v>0</v>
      </c>
      <c r="N750" s="103">
        <v>0</v>
      </c>
      <c r="O750" s="103">
        <v>0</v>
      </c>
      <c r="P750" s="103">
        <v>10</v>
      </c>
      <c r="Q750" s="103">
        <v>20</v>
      </c>
      <c r="R750" s="103">
        <v>45</v>
      </c>
      <c r="S750" s="93" t="s">
        <v>29</v>
      </c>
      <c r="T750" s="93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CA750" s="12"/>
      <c r="CB750" s="12"/>
    </row>
    <row r="751" spans="1:80" x14ac:dyDescent="0.2">
      <c r="A751" s="96">
        <v>2325</v>
      </c>
      <c r="B751" s="99">
        <v>0</v>
      </c>
      <c r="C751" s="99">
        <v>0</v>
      </c>
      <c r="D751" s="99">
        <v>0</v>
      </c>
      <c r="E751" s="99">
        <v>0</v>
      </c>
      <c r="F751" s="99">
        <v>0</v>
      </c>
      <c r="G751" s="99">
        <v>0</v>
      </c>
      <c r="H751" s="99">
        <v>5</v>
      </c>
      <c r="I751" s="96" t="s">
        <v>29</v>
      </c>
      <c r="J751" s="93"/>
      <c r="K751" s="93">
        <v>2424</v>
      </c>
      <c r="L751" s="103">
        <v>0</v>
      </c>
      <c r="M751" s="103">
        <v>0</v>
      </c>
      <c r="N751" s="103">
        <v>0</v>
      </c>
      <c r="O751" s="103">
        <v>0</v>
      </c>
      <c r="P751" s="103">
        <v>10</v>
      </c>
      <c r="Q751" s="103">
        <v>20</v>
      </c>
      <c r="R751" s="103">
        <v>45</v>
      </c>
      <c r="S751" s="93" t="s">
        <v>29</v>
      </c>
      <c r="T751" s="93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CA751" s="12"/>
      <c r="CB751" s="12"/>
    </row>
    <row r="752" spans="1:80" x14ac:dyDescent="0.2">
      <c r="A752" s="96">
        <v>2326</v>
      </c>
      <c r="B752" s="99">
        <v>0</v>
      </c>
      <c r="C752" s="99">
        <v>0</v>
      </c>
      <c r="D752" s="99">
        <v>0</v>
      </c>
      <c r="E752" s="99">
        <v>0</v>
      </c>
      <c r="F752" s="99">
        <v>0</v>
      </c>
      <c r="G752" s="99">
        <v>0</v>
      </c>
      <c r="H752" s="99">
        <v>5</v>
      </c>
      <c r="I752" s="96" t="s">
        <v>29</v>
      </c>
      <c r="J752" s="93"/>
      <c r="K752" s="93">
        <v>2425</v>
      </c>
      <c r="L752" s="103">
        <v>0</v>
      </c>
      <c r="M752" s="103">
        <v>0</v>
      </c>
      <c r="N752" s="103">
        <v>0</v>
      </c>
      <c r="O752" s="103">
        <v>0</v>
      </c>
      <c r="P752" s="103">
        <v>10</v>
      </c>
      <c r="Q752" s="103">
        <v>20</v>
      </c>
      <c r="R752" s="103">
        <v>45</v>
      </c>
      <c r="S752" s="93" t="s">
        <v>29</v>
      </c>
      <c r="T752" s="93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CA752" s="12"/>
      <c r="CB752" s="12"/>
    </row>
    <row r="753" spans="1:80" x14ac:dyDescent="0.2">
      <c r="A753" s="96">
        <v>2327</v>
      </c>
      <c r="B753" s="99">
        <v>0</v>
      </c>
      <c r="C753" s="99">
        <v>0</v>
      </c>
      <c r="D753" s="99">
        <v>0</v>
      </c>
      <c r="E753" s="99">
        <v>0</v>
      </c>
      <c r="F753" s="99">
        <v>0</v>
      </c>
      <c r="G753" s="99">
        <v>0</v>
      </c>
      <c r="H753" s="99">
        <v>5</v>
      </c>
      <c r="I753" s="96" t="s">
        <v>29</v>
      </c>
      <c r="J753" s="93"/>
      <c r="K753" s="93">
        <v>2426</v>
      </c>
      <c r="L753" s="103">
        <v>0</v>
      </c>
      <c r="M753" s="103">
        <v>0</v>
      </c>
      <c r="N753" s="103">
        <v>0</v>
      </c>
      <c r="O753" s="103">
        <v>0</v>
      </c>
      <c r="P753" s="103">
        <v>10</v>
      </c>
      <c r="Q753" s="103">
        <v>20</v>
      </c>
      <c r="R753" s="103">
        <v>45</v>
      </c>
      <c r="S753" s="93" t="s">
        <v>29</v>
      </c>
      <c r="T753" s="93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CA753" s="12"/>
      <c r="CB753" s="12"/>
    </row>
    <row r="754" spans="1:80" x14ac:dyDescent="0.2">
      <c r="A754" s="96">
        <v>2328</v>
      </c>
      <c r="B754" s="99">
        <v>0</v>
      </c>
      <c r="C754" s="99">
        <v>0</v>
      </c>
      <c r="D754" s="99">
        <v>0</v>
      </c>
      <c r="E754" s="99">
        <v>0</v>
      </c>
      <c r="F754" s="99">
        <v>0</v>
      </c>
      <c r="G754" s="99">
        <v>0</v>
      </c>
      <c r="H754" s="99">
        <v>5</v>
      </c>
      <c r="I754" s="96" t="s">
        <v>29</v>
      </c>
      <c r="J754" s="93"/>
      <c r="K754" s="93">
        <v>2427</v>
      </c>
      <c r="L754" s="103">
        <v>0</v>
      </c>
      <c r="M754" s="103">
        <v>0</v>
      </c>
      <c r="N754" s="103">
        <v>0</v>
      </c>
      <c r="O754" s="103">
        <v>0</v>
      </c>
      <c r="P754" s="103">
        <v>10</v>
      </c>
      <c r="Q754" s="103">
        <v>20</v>
      </c>
      <c r="R754" s="103">
        <v>45</v>
      </c>
      <c r="S754" s="93" t="s">
        <v>29</v>
      </c>
      <c r="T754" s="93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CA754" s="12"/>
      <c r="CB754" s="12"/>
    </row>
    <row r="755" spans="1:80" x14ac:dyDescent="0.2">
      <c r="A755" s="96">
        <v>2329</v>
      </c>
      <c r="B755" s="99">
        <v>0</v>
      </c>
      <c r="C755" s="99">
        <v>0</v>
      </c>
      <c r="D755" s="99">
        <v>0</v>
      </c>
      <c r="E755" s="99">
        <v>0</v>
      </c>
      <c r="F755" s="99">
        <v>0</v>
      </c>
      <c r="G755" s="99">
        <v>0</v>
      </c>
      <c r="H755" s="99">
        <v>5</v>
      </c>
      <c r="I755" s="96" t="s">
        <v>29</v>
      </c>
      <c r="J755" s="93"/>
      <c r="K755" s="93">
        <v>2428</v>
      </c>
      <c r="L755" s="103">
        <v>0</v>
      </c>
      <c r="M755" s="103">
        <v>0</v>
      </c>
      <c r="N755" s="103">
        <v>0</v>
      </c>
      <c r="O755" s="103">
        <v>0</v>
      </c>
      <c r="P755" s="103">
        <v>10</v>
      </c>
      <c r="Q755" s="103">
        <v>20</v>
      </c>
      <c r="R755" s="103">
        <v>45</v>
      </c>
      <c r="S755" s="93" t="s">
        <v>29</v>
      </c>
      <c r="T755" s="93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CA755" s="12"/>
      <c r="CB755" s="12"/>
    </row>
    <row r="756" spans="1:80" x14ac:dyDescent="0.2">
      <c r="A756" s="96">
        <v>2330</v>
      </c>
      <c r="B756" s="99">
        <v>0</v>
      </c>
      <c r="C756" s="99">
        <v>0</v>
      </c>
      <c r="D756" s="99">
        <v>0</v>
      </c>
      <c r="E756" s="99">
        <v>0</v>
      </c>
      <c r="F756" s="99">
        <v>0</v>
      </c>
      <c r="G756" s="99">
        <v>0</v>
      </c>
      <c r="H756" s="99">
        <v>5</v>
      </c>
      <c r="I756" s="96" t="s">
        <v>29</v>
      </c>
      <c r="J756" s="93"/>
      <c r="K756" s="93">
        <v>2429</v>
      </c>
      <c r="L756" s="103">
        <v>0</v>
      </c>
      <c r="M756" s="103">
        <v>0</v>
      </c>
      <c r="N756" s="103">
        <v>0</v>
      </c>
      <c r="O756" s="103">
        <v>0</v>
      </c>
      <c r="P756" s="103">
        <v>10</v>
      </c>
      <c r="Q756" s="103">
        <v>20</v>
      </c>
      <c r="R756" s="103">
        <v>45</v>
      </c>
      <c r="S756" s="93" t="s">
        <v>29</v>
      </c>
      <c r="T756" s="93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CA756" s="12"/>
      <c r="CB756" s="12"/>
    </row>
    <row r="757" spans="1:80" x14ac:dyDescent="0.2">
      <c r="A757" s="96">
        <v>2331</v>
      </c>
      <c r="B757" s="99">
        <v>0</v>
      </c>
      <c r="C757" s="99">
        <v>0</v>
      </c>
      <c r="D757" s="99">
        <v>0</v>
      </c>
      <c r="E757" s="99">
        <v>0</v>
      </c>
      <c r="F757" s="99">
        <v>0</v>
      </c>
      <c r="G757" s="99">
        <v>0</v>
      </c>
      <c r="H757" s="99">
        <v>0</v>
      </c>
      <c r="I757" s="96" t="s">
        <v>29</v>
      </c>
      <c r="J757" s="93"/>
      <c r="K757" s="93">
        <v>2430</v>
      </c>
      <c r="L757" s="103">
        <v>0</v>
      </c>
      <c r="M757" s="103">
        <v>0</v>
      </c>
      <c r="N757" s="103">
        <v>0</v>
      </c>
      <c r="O757" s="103">
        <v>0</v>
      </c>
      <c r="P757" s="103">
        <v>10</v>
      </c>
      <c r="Q757" s="103">
        <v>20</v>
      </c>
      <c r="R757" s="103">
        <v>45</v>
      </c>
      <c r="S757" s="93" t="s">
        <v>29</v>
      </c>
      <c r="T757" s="93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CA757" s="12"/>
      <c r="CB757" s="12"/>
    </row>
    <row r="758" spans="1:80" x14ac:dyDescent="0.2">
      <c r="A758" s="96">
        <v>2332</v>
      </c>
      <c r="B758" s="99">
        <v>0</v>
      </c>
      <c r="C758" s="99">
        <v>0</v>
      </c>
      <c r="D758" s="99">
        <v>0</v>
      </c>
      <c r="E758" s="99">
        <v>0</v>
      </c>
      <c r="F758" s="99">
        <v>0</v>
      </c>
      <c r="G758" s="99">
        <v>0</v>
      </c>
      <c r="H758" s="99">
        <v>0</v>
      </c>
      <c r="I758" s="96" t="s">
        <v>29</v>
      </c>
      <c r="J758" s="93"/>
      <c r="K758" s="93">
        <v>2431</v>
      </c>
      <c r="L758" s="103">
        <v>0</v>
      </c>
      <c r="M758" s="103">
        <v>0</v>
      </c>
      <c r="N758" s="103">
        <v>0</v>
      </c>
      <c r="O758" s="103">
        <v>0</v>
      </c>
      <c r="P758" s="103">
        <v>10</v>
      </c>
      <c r="Q758" s="103">
        <v>15</v>
      </c>
      <c r="R758" s="103">
        <v>45</v>
      </c>
      <c r="S758" s="93" t="s">
        <v>29</v>
      </c>
      <c r="T758" s="93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CA758" s="12"/>
      <c r="CB758" s="12"/>
    </row>
    <row r="759" spans="1:80" x14ac:dyDescent="0.2">
      <c r="A759" s="96">
        <v>2333</v>
      </c>
      <c r="B759" s="99">
        <v>0</v>
      </c>
      <c r="C759" s="99">
        <v>0</v>
      </c>
      <c r="D759" s="99">
        <v>0</v>
      </c>
      <c r="E759" s="99">
        <v>0</v>
      </c>
      <c r="F759" s="99">
        <v>0</v>
      </c>
      <c r="G759" s="99">
        <v>0</v>
      </c>
      <c r="H759" s="99">
        <v>0</v>
      </c>
      <c r="I759" s="96" t="s">
        <v>29</v>
      </c>
      <c r="J759" s="93"/>
      <c r="K759" s="93">
        <v>2432</v>
      </c>
      <c r="L759" s="103">
        <v>0</v>
      </c>
      <c r="M759" s="103">
        <v>0</v>
      </c>
      <c r="N759" s="103">
        <v>0</v>
      </c>
      <c r="O759" s="103">
        <v>0</v>
      </c>
      <c r="P759" s="103">
        <v>10</v>
      </c>
      <c r="Q759" s="103">
        <v>15</v>
      </c>
      <c r="R759" s="103">
        <v>45</v>
      </c>
      <c r="S759" s="93" t="s">
        <v>29</v>
      </c>
      <c r="T759" s="93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CA759" s="12"/>
      <c r="CB759" s="12"/>
    </row>
    <row r="760" spans="1:80" x14ac:dyDescent="0.2">
      <c r="A760" s="96">
        <v>2334</v>
      </c>
      <c r="B760" s="99">
        <v>0</v>
      </c>
      <c r="C760" s="99">
        <v>0</v>
      </c>
      <c r="D760" s="99">
        <v>0</v>
      </c>
      <c r="E760" s="99">
        <v>0</v>
      </c>
      <c r="F760" s="99">
        <v>0</v>
      </c>
      <c r="G760" s="99">
        <v>0</v>
      </c>
      <c r="H760" s="99">
        <v>0</v>
      </c>
      <c r="I760" s="96" t="s">
        <v>29</v>
      </c>
      <c r="J760" s="93"/>
      <c r="K760" s="93">
        <v>2433</v>
      </c>
      <c r="L760" s="103">
        <v>0</v>
      </c>
      <c r="M760" s="103">
        <v>0</v>
      </c>
      <c r="N760" s="103">
        <v>0</v>
      </c>
      <c r="O760" s="103">
        <v>0</v>
      </c>
      <c r="P760" s="103">
        <v>10</v>
      </c>
      <c r="Q760" s="103">
        <v>15</v>
      </c>
      <c r="R760" s="103">
        <v>45</v>
      </c>
      <c r="S760" s="93" t="s">
        <v>29</v>
      </c>
      <c r="T760" s="93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CA760" s="12"/>
      <c r="CB760" s="12"/>
    </row>
    <row r="761" spans="1:80" x14ac:dyDescent="0.2">
      <c r="A761" s="96">
        <v>2335</v>
      </c>
      <c r="B761" s="99">
        <v>0</v>
      </c>
      <c r="C761" s="99">
        <v>0</v>
      </c>
      <c r="D761" s="99">
        <v>0</v>
      </c>
      <c r="E761" s="99">
        <v>0</v>
      </c>
      <c r="F761" s="99">
        <v>0</v>
      </c>
      <c r="G761" s="99">
        <v>0</v>
      </c>
      <c r="H761" s="99">
        <v>0</v>
      </c>
      <c r="I761" s="96" t="s">
        <v>29</v>
      </c>
      <c r="J761" s="93"/>
      <c r="K761" s="93">
        <v>2434</v>
      </c>
      <c r="L761" s="103">
        <v>0</v>
      </c>
      <c r="M761" s="103">
        <v>0</v>
      </c>
      <c r="N761" s="103">
        <v>0</v>
      </c>
      <c r="O761" s="103">
        <v>0</v>
      </c>
      <c r="P761" s="103">
        <v>10</v>
      </c>
      <c r="Q761" s="103">
        <v>15</v>
      </c>
      <c r="R761" s="103">
        <v>45</v>
      </c>
      <c r="S761" s="93" t="s">
        <v>29</v>
      </c>
      <c r="T761" s="93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CA761" s="12"/>
      <c r="CB761" s="12"/>
    </row>
    <row r="762" spans="1:80" x14ac:dyDescent="0.2">
      <c r="A762" s="96">
        <v>2336</v>
      </c>
      <c r="B762" s="99">
        <v>0</v>
      </c>
      <c r="C762" s="99">
        <v>0</v>
      </c>
      <c r="D762" s="99">
        <v>0</v>
      </c>
      <c r="E762" s="99">
        <v>0</v>
      </c>
      <c r="F762" s="99">
        <v>0</v>
      </c>
      <c r="G762" s="99">
        <v>0</v>
      </c>
      <c r="H762" s="99">
        <v>0</v>
      </c>
      <c r="I762" s="96" t="s">
        <v>29</v>
      </c>
      <c r="J762" s="93"/>
      <c r="K762" s="93">
        <v>2435</v>
      </c>
      <c r="L762" s="103">
        <v>0</v>
      </c>
      <c r="M762" s="103">
        <v>0</v>
      </c>
      <c r="N762" s="103">
        <v>0</v>
      </c>
      <c r="O762" s="103">
        <v>0</v>
      </c>
      <c r="P762" s="103">
        <v>10</v>
      </c>
      <c r="Q762" s="103">
        <v>15</v>
      </c>
      <c r="R762" s="103">
        <v>45</v>
      </c>
      <c r="S762" s="93" t="s">
        <v>29</v>
      </c>
      <c r="T762" s="93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CA762" s="12"/>
      <c r="CB762" s="12"/>
    </row>
    <row r="763" spans="1:80" x14ac:dyDescent="0.2">
      <c r="A763" s="96">
        <v>2337</v>
      </c>
      <c r="B763" s="99">
        <v>0</v>
      </c>
      <c r="C763" s="99">
        <v>0</v>
      </c>
      <c r="D763" s="99">
        <v>0</v>
      </c>
      <c r="E763" s="99">
        <v>0</v>
      </c>
      <c r="F763" s="99">
        <v>0</v>
      </c>
      <c r="G763" s="99">
        <v>0</v>
      </c>
      <c r="H763" s="99">
        <v>0</v>
      </c>
      <c r="I763" s="96" t="s">
        <v>29</v>
      </c>
      <c r="J763" s="93"/>
      <c r="K763" s="93">
        <v>2436</v>
      </c>
      <c r="L763" s="103">
        <v>0</v>
      </c>
      <c r="M763" s="103">
        <v>0</v>
      </c>
      <c r="N763" s="103">
        <v>0</v>
      </c>
      <c r="O763" s="103">
        <v>0</v>
      </c>
      <c r="P763" s="103">
        <v>10</v>
      </c>
      <c r="Q763" s="103">
        <v>15</v>
      </c>
      <c r="R763" s="103">
        <v>45</v>
      </c>
      <c r="S763" s="93" t="s">
        <v>29</v>
      </c>
      <c r="T763" s="93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CA763" s="12"/>
      <c r="CB763" s="12"/>
    </row>
    <row r="764" spans="1:80" x14ac:dyDescent="0.2">
      <c r="A764" s="96">
        <v>2338</v>
      </c>
      <c r="B764" s="99">
        <v>0</v>
      </c>
      <c r="C764" s="99">
        <v>0</v>
      </c>
      <c r="D764" s="99">
        <v>0</v>
      </c>
      <c r="E764" s="99">
        <v>0</v>
      </c>
      <c r="F764" s="99">
        <v>0</v>
      </c>
      <c r="G764" s="99">
        <v>0</v>
      </c>
      <c r="H764" s="99">
        <v>0</v>
      </c>
      <c r="I764" s="96" t="s">
        <v>29</v>
      </c>
      <c r="J764" s="93"/>
      <c r="K764" s="93">
        <v>2437</v>
      </c>
      <c r="L764" s="103">
        <v>0</v>
      </c>
      <c r="M764" s="103">
        <v>0</v>
      </c>
      <c r="N764" s="103">
        <v>0</v>
      </c>
      <c r="O764" s="103">
        <v>0</v>
      </c>
      <c r="P764" s="103">
        <v>10</v>
      </c>
      <c r="Q764" s="103">
        <v>15</v>
      </c>
      <c r="R764" s="103">
        <v>45</v>
      </c>
      <c r="S764" s="93" t="s">
        <v>29</v>
      </c>
      <c r="T764" s="93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CA764" s="12"/>
      <c r="CB764" s="12"/>
    </row>
    <row r="765" spans="1:80" x14ac:dyDescent="0.2">
      <c r="A765" s="96">
        <v>2339</v>
      </c>
      <c r="B765" s="99">
        <v>0</v>
      </c>
      <c r="C765" s="99">
        <v>0</v>
      </c>
      <c r="D765" s="99">
        <v>0</v>
      </c>
      <c r="E765" s="99">
        <v>0</v>
      </c>
      <c r="F765" s="99">
        <v>0</v>
      </c>
      <c r="G765" s="99">
        <v>0</v>
      </c>
      <c r="H765" s="99">
        <v>0</v>
      </c>
      <c r="I765" s="96" t="s">
        <v>29</v>
      </c>
      <c r="J765" s="93"/>
      <c r="K765" s="93">
        <v>2438</v>
      </c>
      <c r="L765" s="103">
        <v>0</v>
      </c>
      <c r="M765" s="103">
        <v>0</v>
      </c>
      <c r="N765" s="103">
        <v>0</v>
      </c>
      <c r="O765" s="103">
        <v>0</v>
      </c>
      <c r="P765" s="103">
        <v>10</v>
      </c>
      <c r="Q765" s="103">
        <v>15</v>
      </c>
      <c r="R765" s="103">
        <v>45</v>
      </c>
      <c r="S765" s="93" t="s">
        <v>29</v>
      </c>
      <c r="T765" s="93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CA765" s="12"/>
      <c r="CB765" s="12"/>
    </row>
    <row r="766" spans="1:80" x14ac:dyDescent="0.2">
      <c r="A766" s="96">
        <v>2340</v>
      </c>
      <c r="B766" s="99">
        <v>0</v>
      </c>
      <c r="C766" s="99">
        <v>0</v>
      </c>
      <c r="D766" s="99">
        <v>0</v>
      </c>
      <c r="E766" s="99">
        <v>0</v>
      </c>
      <c r="F766" s="99">
        <v>0</v>
      </c>
      <c r="G766" s="99">
        <v>0</v>
      </c>
      <c r="H766" s="99">
        <v>0</v>
      </c>
      <c r="I766" s="96" t="s">
        <v>29</v>
      </c>
      <c r="J766" s="93"/>
      <c r="K766" s="93">
        <v>2439</v>
      </c>
      <c r="L766" s="103">
        <v>0</v>
      </c>
      <c r="M766" s="103">
        <v>0</v>
      </c>
      <c r="N766" s="103">
        <v>0</v>
      </c>
      <c r="O766" s="103">
        <v>0</v>
      </c>
      <c r="P766" s="103">
        <v>10</v>
      </c>
      <c r="Q766" s="103">
        <v>15</v>
      </c>
      <c r="R766" s="103">
        <v>45</v>
      </c>
      <c r="S766" s="93" t="s">
        <v>29</v>
      </c>
      <c r="T766" s="93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CA766" s="12"/>
      <c r="CB766" s="12"/>
    </row>
    <row r="767" spans="1:80" x14ac:dyDescent="0.2">
      <c r="A767" s="96">
        <v>2341</v>
      </c>
      <c r="B767" s="99">
        <v>0</v>
      </c>
      <c r="C767" s="99">
        <v>0</v>
      </c>
      <c r="D767" s="99">
        <v>0</v>
      </c>
      <c r="E767" s="99">
        <v>0</v>
      </c>
      <c r="F767" s="99">
        <v>0</v>
      </c>
      <c r="G767" s="99">
        <v>0</v>
      </c>
      <c r="H767" s="99">
        <v>0</v>
      </c>
      <c r="I767" s="96" t="s">
        <v>29</v>
      </c>
      <c r="J767" s="93"/>
      <c r="K767" s="93">
        <v>2440</v>
      </c>
      <c r="L767" s="103">
        <v>0</v>
      </c>
      <c r="M767" s="103">
        <v>0</v>
      </c>
      <c r="N767" s="103">
        <v>0</v>
      </c>
      <c r="O767" s="103">
        <v>0</v>
      </c>
      <c r="P767" s="103">
        <v>10</v>
      </c>
      <c r="Q767" s="103">
        <v>15</v>
      </c>
      <c r="R767" s="103">
        <v>45</v>
      </c>
      <c r="S767" s="93" t="s">
        <v>29</v>
      </c>
      <c r="T767" s="93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CA767" s="12"/>
      <c r="CB767" s="12"/>
    </row>
    <row r="768" spans="1:80" x14ac:dyDescent="0.2">
      <c r="A768" s="96">
        <v>2342</v>
      </c>
      <c r="B768" s="99">
        <v>0</v>
      </c>
      <c r="C768" s="99">
        <v>0</v>
      </c>
      <c r="D768" s="99">
        <v>0</v>
      </c>
      <c r="E768" s="99">
        <v>0</v>
      </c>
      <c r="F768" s="99">
        <v>0</v>
      </c>
      <c r="G768" s="99">
        <v>0</v>
      </c>
      <c r="H768" s="99">
        <v>0</v>
      </c>
      <c r="I768" s="96" t="s">
        <v>29</v>
      </c>
      <c r="J768" s="93"/>
      <c r="K768" s="93">
        <v>2441</v>
      </c>
      <c r="L768" s="103">
        <v>0</v>
      </c>
      <c r="M768" s="103">
        <v>0</v>
      </c>
      <c r="N768" s="103">
        <v>0</v>
      </c>
      <c r="O768" s="103">
        <v>0</v>
      </c>
      <c r="P768" s="103">
        <v>5</v>
      </c>
      <c r="Q768" s="103">
        <v>15</v>
      </c>
      <c r="R768" s="103">
        <v>40</v>
      </c>
      <c r="S768" s="93" t="s">
        <v>29</v>
      </c>
      <c r="T768" s="93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CA768" s="12"/>
      <c r="CB768" s="12"/>
    </row>
    <row r="769" spans="1:80" x14ac:dyDescent="0.2">
      <c r="A769" s="96">
        <v>2343</v>
      </c>
      <c r="B769" s="99">
        <v>0</v>
      </c>
      <c r="C769" s="99">
        <v>0</v>
      </c>
      <c r="D769" s="99">
        <v>0</v>
      </c>
      <c r="E769" s="99">
        <v>0</v>
      </c>
      <c r="F769" s="99">
        <v>0</v>
      </c>
      <c r="G769" s="99">
        <v>0</v>
      </c>
      <c r="H769" s="99">
        <v>0</v>
      </c>
      <c r="I769" s="96" t="s">
        <v>29</v>
      </c>
      <c r="J769" s="93"/>
      <c r="K769" s="93">
        <v>2442</v>
      </c>
      <c r="L769" s="103">
        <v>0</v>
      </c>
      <c r="M769" s="103">
        <v>0</v>
      </c>
      <c r="N769" s="103">
        <v>0</v>
      </c>
      <c r="O769" s="103">
        <v>0</v>
      </c>
      <c r="P769" s="103">
        <v>5</v>
      </c>
      <c r="Q769" s="103">
        <v>15</v>
      </c>
      <c r="R769" s="103">
        <v>40</v>
      </c>
      <c r="S769" s="93" t="s">
        <v>29</v>
      </c>
      <c r="T769" s="93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CA769" s="12"/>
      <c r="CB769" s="12"/>
    </row>
    <row r="770" spans="1:80" x14ac:dyDescent="0.2">
      <c r="A770" s="96">
        <v>2344</v>
      </c>
      <c r="B770" s="99">
        <v>0</v>
      </c>
      <c r="C770" s="99">
        <v>0</v>
      </c>
      <c r="D770" s="99">
        <v>0</v>
      </c>
      <c r="E770" s="99">
        <v>0</v>
      </c>
      <c r="F770" s="99">
        <v>0</v>
      </c>
      <c r="G770" s="99">
        <v>0</v>
      </c>
      <c r="H770" s="99">
        <v>0</v>
      </c>
      <c r="I770" s="96" t="s">
        <v>29</v>
      </c>
      <c r="J770" s="93"/>
      <c r="K770" s="93">
        <v>2443</v>
      </c>
      <c r="L770" s="103">
        <v>0</v>
      </c>
      <c r="M770" s="103">
        <v>0</v>
      </c>
      <c r="N770" s="103">
        <v>0</v>
      </c>
      <c r="O770" s="103">
        <v>0</v>
      </c>
      <c r="P770" s="103">
        <v>5</v>
      </c>
      <c r="Q770" s="103">
        <v>15</v>
      </c>
      <c r="R770" s="103">
        <v>40</v>
      </c>
      <c r="S770" s="93" t="s">
        <v>29</v>
      </c>
      <c r="T770" s="93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CA770" s="12"/>
      <c r="CB770" s="12"/>
    </row>
    <row r="771" spans="1:80" x14ac:dyDescent="0.2">
      <c r="A771" s="96">
        <v>2345</v>
      </c>
      <c r="B771" s="99">
        <v>0</v>
      </c>
      <c r="C771" s="99">
        <v>0</v>
      </c>
      <c r="D771" s="99">
        <v>0</v>
      </c>
      <c r="E771" s="99">
        <v>0</v>
      </c>
      <c r="F771" s="99">
        <v>0</v>
      </c>
      <c r="G771" s="99">
        <v>0</v>
      </c>
      <c r="H771" s="99">
        <v>0</v>
      </c>
      <c r="I771" s="96" t="s">
        <v>29</v>
      </c>
      <c r="J771" s="93"/>
      <c r="K771" s="93">
        <v>2444</v>
      </c>
      <c r="L771" s="103">
        <v>0</v>
      </c>
      <c r="M771" s="103">
        <v>0</v>
      </c>
      <c r="N771" s="103">
        <v>0</v>
      </c>
      <c r="O771" s="103">
        <v>0</v>
      </c>
      <c r="P771" s="103">
        <v>5</v>
      </c>
      <c r="Q771" s="103">
        <v>15</v>
      </c>
      <c r="R771" s="103">
        <v>40</v>
      </c>
      <c r="S771" s="93" t="s">
        <v>29</v>
      </c>
      <c r="T771" s="93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CA771" s="12"/>
      <c r="CB771" s="12"/>
    </row>
    <row r="772" spans="1:80" x14ac:dyDescent="0.2">
      <c r="A772" s="96">
        <v>2346</v>
      </c>
      <c r="B772" s="99">
        <v>0</v>
      </c>
      <c r="C772" s="99">
        <v>0</v>
      </c>
      <c r="D772" s="99">
        <v>0</v>
      </c>
      <c r="E772" s="99">
        <v>0</v>
      </c>
      <c r="F772" s="99">
        <v>0</v>
      </c>
      <c r="G772" s="99">
        <v>0</v>
      </c>
      <c r="H772" s="99">
        <v>0</v>
      </c>
      <c r="I772" s="96" t="s">
        <v>29</v>
      </c>
      <c r="J772" s="93"/>
      <c r="K772" s="93">
        <v>2445</v>
      </c>
      <c r="L772" s="103">
        <v>0</v>
      </c>
      <c r="M772" s="103">
        <v>0</v>
      </c>
      <c r="N772" s="103">
        <v>0</v>
      </c>
      <c r="O772" s="103">
        <v>0</v>
      </c>
      <c r="P772" s="103">
        <v>5</v>
      </c>
      <c r="Q772" s="103">
        <v>15</v>
      </c>
      <c r="R772" s="103">
        <v>40</v>
      </c>
      <c r="S772" s="93" t="s">
        <v>29</v>
      </c>
      <c r="T772" s="93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CA772" s="12"/>
      <c r="CB772" s="12"/>
    </row>
    <row r="773" spans="1:80" x14ac:dyDescent="0.2">
      <c r="A773" s="96">
        <v>2347</v>
      </c>
      <c r="B773" s="99">
        <v>0</v>
      </c>
      <c r="C773" s="99">
        <v>0</v>
      </c>
      <c r="D773" s="99">
        <v>0</v>
      </c>
      <c r="E773" s="99">
        <v>0</v>
      </c>
      <c r="F773" s="99">
        <v>0</v>
      </c>
      <c r="G773" s="99">
        <v>0</v>
      </c>
      <c r="H773" s="99">
        <v>0</v>
      </c>
      <c r="I773" s="96" t="s">
        <v>29</v>
      </c>
      <c r="J773" s="93"/>
      <c r="K773" s="93">
        <v>2446</v>
      </c>
      <c r="L773" s="103">
        <v>0</v>
      </c>
      <c r="M773" s="103">
        <v>0</v>
      </c>
      <c r="N773" s="103">
        <v>0</v>
      </c>
      <c r="O773" s="103">
        <v>0</v>
      </c>
      <c r="P773" s="103">
        <v>5</v>
      </c>
      <c r="Q773" s="103">
        <v>15</v>
      </c>
      <c r="R773" s="103">
        <v>40</v>
      </c>
      <c r="S773" s="93" t="s">
        <v>29</v>
      </c>
      <c r="T773" s="93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CA773" s="12"/>
      <c r="CB773" s="12"/>
    </row>
    <row r="774" spans="1:80" x14ac:dyDescent="0.2">
      <c r="A774" s="96">
        <v>2348</v>
      </c>
      <c r="B774" s="99">
        <v>0</v>
      </c>
      <c r="C774" s="99">
        <v>0</v>
      </c>
      <c r="D774" s="99">
        <v>0</v>
      </c>
      <c r="E774" s="99">
        <v>0</v>
      </c>
      <c r="F774" s="99">
        <v>0</v>
      </c>
      <c r="G774" s="99">
        <v>0</v>
      </c>
      <c r="H774" s="99">
        <v>0</v>
      </c>
      <c r="I774" s="96" t="s">
        <v>29</v>
      </c>
      <c r="J774" s="93"/>
      <c r="K774" s="93">
        <v>2447</v>
      </c>
      <c r="L774" s="103">
        <v>0</v>
      </c>
      <c r="M774" s="103">
        <v>0</v>
      </c>
      <c r="N774" s="103">
        <v>0</v>
      </c>
      <c r="O774" s="103">
        <v>0</v>
      </c>
      <c r="P774" s="103">
        <v>5</v>
      </c>
      <c r="Q774" s="103">
        <v>15</v>
      </c>
      <c r="R774" s="103">
        <v>40</v>
      </c>
      <c r="S774" s="93" t="s">
        <v>29</v>
      </c>
      <c r="T774" s="93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CA774" s="12"/>
      <c r="CB774" s="12"/>
    </row>
    <row r="775" spans="1:80" x14ac:dyDescent="0.2">
      <c r="A775" s="96">
        <v>2349</v>
      </c>
      <c r="B775" s="99">
        <v>0</v>
      </c>
      <c r="C775" s="99">
        <v>0</v>
      </c>
      <c r="D775" s="99">
        <v>0</v>
      </c>
      <c r="E775" s="99">
        <v>0</v>
      </c>
      <c r="F775" s="99">
        <v>0</v>
      </c>
      <c r="G775" s="99">
        <v>0</v>
      </c>
      <c r="H775" s="99">
        <v>0</v>
      </c>
      <c r="I775" s="96" t="s">
        <v>29</v>
      </c>
      <c r="J775" s="93"/>
      <c r="K775" s="93">
        <v>2448</v>
      </c>
      <c r="L775" s="103">
        <v>0</v>
      </c>
      <c r="M775" s="103">
        <v>0</v>
      </c>
      <c r="N775" s="103">
        <v>0</v>
      </c>
      <c r="O775" s="103">
        <v>0</v>
      </c>
      <c r="P775" s="103">
        <v>5</v>
      </c>
      <c r="Q775" s="103">
        <v>15</v>
      </c>
      <c r="R775" s="103">
        <v>40</v>
      </c>
      <c r="S775" s="93" t="s">
        <v>29</v>
      </c>
      <c r="T775" s="93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CA775" s="12"/>
      <c r="CB775" s="12"/>
    </row>
    <row r="776" spans="1:80" x14ac:dyDescent="0.2">
      <c r="A776" s="96">
        <v>2350</v>
      </c>
      <c r="B776" s="99">
        <v>0</v>
      </c>
      <c r="C776" s="99">
        <v>0</v>
      </c>
      <c r="D776" s="99">
        <v>0</v>
      </c>
      <c r="E776" s="99">
        <v>0</v>
      </c>
      <c r="F776" s="99">
        <v>0</v>
      </c>
      <c r="G776" s="99">
        <v>0</v>
      </c>
      <c r="H776" s="99">
        <v>0</v>
      </c>
      <c r="I776" s="96" t="s">
        <v>29</v>
      </c>
      <c r="J776" s="93"/>
      <c r="K776" s="93">
        <v>2449</v>
      </c>
      <c r="L776" s="103">
        <v>0</v>
      </c>
      <c r="M776" s="103">
        <v>0</v>
      </c>
      <c r="N776" s="103">
        <v>0</v>
      </c>
      <c r="O776" s="103">
        <v>0</v>
      </c>
      <c r="P776" s="103">
        <v>5</v>
      </c>
      <c r="Q776" s="103">
        <v>15</v>
      </c>
      <c r="R776" s="103">
        <v>40</v>
      </c>
      <c r="S776" s="93" t="s">
        <v>29</v>
      </c>
      <c r="T776" s="93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CA776" s="12"/>
      <c r="CB776" s="12"/>
    </row>
    <row r="777" spans="1:80" x14ac:dyDescent="0.2">
      <c r="A777" s="96">
        <v>2351</v>
      </c>
      <c r="B777" s="99">
        <v>0</v>
      </c>
      <c r="C777" s="99">
        <v>0</v>
      </c>
      <c r="D777" s="99">
        <v>0</v>
      </c>
      <c r="E777" s="99">
        <v>0</v>
      </c>
      <c r="F777" s="99">
        <v>0</v>
      </c>
      <c r="G777" s="99">
        <v>0</v>
      </c>
      <c r="H777" s="99">
        <v>0</v>
      </c>
      <c r="I777" s="96" t="s">
        <v>29</v>
      </c>
      <c r="J777" s="93"/>
      <c r="K777" s="93">
        <v>2450</v>
      </c>
      <c r="L777" s="103">
        <v>0</v>
      </c>
      <c r="M777" s="103">
        <v>0</v>
      </c>
      <c r="N777" s="103">
        <v>0</v>
      </c>
      <c r="O777" s="103">
        <v>0</v>
      </c>
      <c r="P777" s="103">
        <v>5</v>
      </c>
      <c r="Q777" s="103">
        <v>15</v>
      </c>
      <c r="R777" s="103">
        <v>40</v>
      </c>
      <c r="S777" s="93" t="s">
        <v>29</v>
      </c>
      <c r="T777" s="93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CA777" s="12"/>
      <c r="CB777" s="12"/>
    </row>
    <row r="778" spans="1:80" x14ac:dyDescent="0.2">
      <c r="A778" s="96">
        <v>2352</v>
      </c>
      <c r="B778" s="99">
        <v>0</v>
      </c>
      <c r="C778" s="99">
        <v>0</v>
      </c>
      <c r="D778" s="99">
        <v>0</v>
      </c>
      <c r="E778" s="99">
        <v>0</v>
      </c>
      <c r="F778" s="99">
        <v>0</v>
      </c>
      <c r="G778" s="99">
        <v>0</v>
      </c>
      <c r="H778" s="99">
        <v>0</v>
      </c>
      <c r="I778" s="96" t="s">
        <v>29</v>
      </c>
      <c r="J778" s="93"/>
      <c r="K778" s="93">
        <v>2451</v>
      </c>
      <c r="L778" s="103">
        <v>0</v>
      </c>
      <c r="M778" s="103">
        <v>0</v>
      </c>
      <c r="N778" s="103">
        <v>0</v>
      </c>
      <c r="O778" s="103">
        <v>0</v>
      </c>
      <c r="P778" s="103">
        <v>5</v>
      </c>
      <c r="Q778" s="103">
        <v>10</v>
      </c>
      <c r="R778" s="103">
        <v>40</v>
      </c>
      <c r="S778" s="93" t="s">
        <v>29</v>
      </c>
      <c r="T778" s="93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CA778" s="12"/>
      <c r="CB778" s="12"/>
    </row>
    <row r="779" spans="1:80" x14ac:dyDescent="0.2">
      <c r="A779" s="96">
        <v>2353</v>
      </c>
      <c r="B779" s="99">
        <v>0</v>
      </c>
      <c r="C779" s="99">
        <v>0</v>
      </c>
      <c r="D779" s="99">
        <v>0</v>
      </c>
      <c r="E779" s="99">
        <v>0</v>
      </c>
      <c r="F779" s="99">
        <v>0</v>
      </c>
      <c r="G779" s="99">
        <v>0</v>
      </c>
      <c r="H779" s="99">
        <v>0</v>
      </c>
      <c r="I779" s="96" t="s">
        <v>29</v>
      </c>
      <c r="J779" s="93"/>
      <c r="K779" s="93">
        <v>2452</v>
      </c>
      <c r="L779" s="103">
        <v>0</v>
      </c>
      <c r="M779" s="103">
        <v>0</v>
      </c>
      <c r="N779" s="103">
        <v>0</v>
      </c>
      <c r="O779" s="103">
        <v>0</v>
      </c>
      <c r="P779" s="103">
        <v>5</v>
      </c>
      <c r="Q779" s="103">
        <v>10</v>
      </c>
      <c r="R779" s="103">
        <v>40</v>
      </c>
      <c r="S779" s="93" t="s">
        <v>29</v>
      </c>
      <c r="T779" s="93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CA779" s="12"/>
      <c r="CB779" s="12"/>
    </row>
    <row r="780" spans="1:80" x14ac:dyDescent="0.2">
      <c r="A780" s="96">
        <v>2354</v>
      </c>
      <c r="B780" s="99">
        <v>0</v>
      </c>
      <c r="C780" s="99">
        <v>0</v>
      </c>
      <c r="D780" s="99">
        <v>0</v>
      </c>
      <c r="E780" s="99">
        <v>0</v>
      </c>
      <c r="F780" s="99">
        <v>0</v>
      </c>
      <c r="G780" s="99">
        <v>0</v>
      </c>
      <c r="H780" s="99">
        <v>0</v>
      </c>
      <c r="I780" s="96" t="s">
        <v>29</v>
      </c>
      <c r="J780" s="93"/>
      <c r="K780" s="93">
        <v>2453</v>
      </c>
      <c r="L780" s="103">
        <v>0</v>
      </c>
      <c r="M780" s="103">
        <v>0</v>
      </c>
      <c r="N780" s="103">
        <v>0</v>
      </c>
      <c r="O780" s="103">
        <v>0</v>
      </c>
      <c r="P780" s="103">
        <v>5</v>
      </c>
      <c r="Q780" s="103">
        <v>10</v>
      </c>
      <c r="R780" s="103">
        <v>40</v>
      </c>
      <c r="S780" s="93" t="s">
        <v>29</v>
      </c>
      <c r="T780" s="93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CA780" s="12"/>
      <c r="CB780" s="12"/>
    </row>
    <row r="781" spans="1:80" x14ac:dyDescent="0.2">
      <c r="A781" s="96">
        <v>2355</v>
      </c>
      <c r="B781" s="99">
        <v>0</v>
      </c>
      <c r="C781" s="99">
        <v>0</v>
      </c>
      <c r="D781" s="99">
        <v>0</v>
      </c>
      <c r="E781" s="99">
        <v>0</v>
      </c>
      <c r="F781" s="99">
        <v>0</v>
      </c>
      <c r="G781" s="99">
        <v>0</v>
      </c>
      <c r="H781" s="99">
        <v>0</v>
      </c>
      <c r="I781" s="96" t="s">
        <v>29</v>
      </c>
      <c r="J781" s="93"/>
      <c r="K781" s="93">
        <v>2454</v>
      </c>
      <c r="L781" s="103">
        <v>0</v>
      </c>
      <c r="M781" s="103">
        <v>0</v>
      </c>
      <c r="N781" s="103">
        <v>0</v>
      </c>
      <c r="O781" s="103">
        <v>0</v>
      </c>
      <c r="P781" s="103">
        <v>5</v>
      </c>
      <c r="Q781" s="103">
        <v>10</v>
      </c>
      <c r="R781" s="103">
        <v>40</v>
      </c>
      <c r="S781" s="93" t="s">
        <v>29</v>
      </c>
      <c r="T781" s="93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CA781" s="12"/>
      <c r="CB781" s="12"/>
    </row>
    <row r="782" spans="1:80" x14ac:dyDescent="0.2">
      <c r="A782" s="96">
        <v>2356</v>
      </c>
      <c r="B782" s="99">
        <v>0</v>
      </c>
      <c r="C782" s="99">
        <v>0</v>
      </c>
      <c r="D782" s="99">
        <v>0</v>
      </c>
      <c r="E782" s="99">
        <v>0</v>
      </c>
      <c r="F782" s="99">
        <v>0</v>
      </c>
      <c r="G782" s="99">
        <v>0</v>
      </c>
      <c r="H782" s="99">
        <v>0</v>
      </c>
      <c r="I782" s="96" t="s">
        <v>29</v>
      </c>
      <c r="J782" s="93"/>
      <c r="K782" s="93">
        <v>2455</v>
      </c>
      <c r="L782" s="103">
        <v>0</v>
      </c>
      <c r="M782" s="103">
        <v>0</v>
      </c>
      <c r="N782" s="103">
        <v>0</v>
      </c>
      <c r="O782" s="103">
        <v>0</v>
      </c>
      <c r="P782" s="103">
        <v>5</v>
      </c>
      <c r="Q782" s="103">
        <v>10</v>
      </c>
      <c r="R782" s="103">
        <v>40</v>
      </c>
      <c r="S782" s="93" t="s">
        <v>29</v>
      </c>
      <c r="T782" s="93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CA782" s="12"/>
      <c r="CB782" s="12"/>
    </row>
    <row r="783" spans="1:80" x14ac:dyDescent="0.2">
      <c r="A783" s="96">
        <v>2357</v>
      </c>
      <c r="B783" s="99">
        <v>0</v>
      </c>
      <c r="C783" s="99">
        <v>0</v>
      </c>
      <c r="D783" s="99">
        <v>0</v>
      </c>
      <c r="E783" s="99">
        <v>0</v>
      </c>
      <c r="F783" s="99">
        <v>0</v>
      </c>
      <c r="G783" s="99">
        <v>0</v>
      </c>
      <c r="H783" s="99">
        <v>0</v>
      </c>
      <c r="I783" s="96" t="s">
        <v>29</v>
      </c>
      <c r="J783" s="93"/>
      <c r="K783" s="93">
        <v>2456</v>
      </c>
      <c r="L783" s="103">
        <v>0</v>
      </c>
      <c r="M783" s="103">
        <v>0</v>
      </c>
      <c r="N783" s="103">
        <v>0</v>
      </c>
      <c r="O783" s="103">
        <v>0</v>
      </c>
      <c r="P783" s="103">
        <v>5</v>
      </c>
      <c r="Q783" s="103">
        <v>10</v>
      </c>
      <c r="R783" s="103">
        <v>40</v>
      </c>
      <c r="S783" s="93" t="s">
        <v>29</v>
      </c>
      <c r="T783" s="93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CA783" s="12"/>
      <c r="CB783" s="12"/>
    </row>
    <row r="784" spans="1:80" x14ac:dyDescent="0.2">
      <c r="A784" s="96">
        <v>2358</v>
      </c>
      <c r="B784" s="99">
        <v>0</v>
      </c>
      <c r="C784" s="99">
        <v>0</v>
      </c>
      <c r="D784" s="99">
        <v>0</v>
      </c>
      <c r="E784" s="99">
        <v>0</v>
      </c>
      <c r="F784" s="99">
        <v>0</v>
      </c>
      <c r="G784" s="99">
        <v>0</v>
      </c>
      <c r="H784" s="99">
        <v>0</v>
      </c>
      <c r="I784" s="96" t="s">
        <v>29</v>
      </c>
      <c r="J784" s="93"/>
      <c r="K784" s="93">
        <v>2457</v>
      </c>
      <c r="L784" s="103">
        <v>0</v>
      </c>
      <c r="M784" s="103">
        <v>0</v>
      </c>
      <c r="N784" s="103">
        <v>0</v>
      </c>
      <c r="O784" s="103">
        <v>0</v>
      </c>
      <c r="P784" s="103">
        <v>5</v>
      </c>
      <c r="Q784" s="103">
        <v>10</v>
      </c>
      <c r="R784" s="103">
        <v>40</v>
      </c>
      <c r="S784" s="93" t="s">
        <v>29</v>
      </c>
      <c r="T784" s="93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CA784" s="12"/>
      <c r="CB784" s="12"/>
    </row>
    <row r="785" spans="1:80" x14ac:dyDescent="0.2">
      <c r="A785" s="96">
        <v>2359</v>
      </c>
      <c r="B785" s="99">
        <v>0</v>
      </c>
      <c r="C785" s="99">
        <v>0</v>
      </c>
      <c r="D785" s="99">
        <v>0</v>
      </c>
      <c r="E785" s="99">
        <v>0</v>
      </c>
      <c r="F785" s="99">
        <v>0</v>
      </c>
      <c r="G785" s="99">
        <v>0</v>
      </c>
      <c r="H785" s="99">
        <v>0</v>
      </c>
      <c r="I785" s="96" t="s">
        <v>29</v>
      </c>
      <c r="J785" s="93"/>
      <c r="K785" s="93">
        <v>2458</v>
      </c>
      <c r="L785" s="103">
        <v>0</v>
      </c>
      <c r="M785" s="103">
        <v>0</v>
      </c>
      <c r="N785" s="103">
        <v>0</v>
      </c>
      <c r="O785" s="103">
        <v>0</v>
      </c>
      <c r="P785" s="103">
        <v>5</v>
      </c>
      <c r="Q785" s="103">
        <v>10</v>
      </c>
      <c r="R785" s="103">
        <v>40</v>
      </c>
      <c r="S785" s="93" t="s">
        <v>29</v>
      </c>
      <c r="T785" s="93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CA785" s="12"/>
      <c r="CB785" s="12"/>
    </row>
    <row r="786" spans="1:80" x14ac:dyDescent="0.2">
      <c r="A786" s="96">
        <v>2400</v>
      </c>
      <c r="B786" s="99">
        <v>0</v>
      </c>
      <c r="C786" s="99">
        <v>0</v>
      </c>
      <c r="D786" s="99">
        <v>0</v>
      </c>
      <c r="E786" s="99">
        <v>0</v>
      </c>
      <c r="F786" s="99">
        <v>0</v>
      </c>
      <c r="G786" s="99">
        <v>0</v>
      </c>
      <c r="H786" s="99">
        <v>0</v>
      </c>
      <c r="I786" s="96" t="s">
        <v>29</v>
      </c>
      <c r="J786" s="93"/>
      <c r="K786" s="93">
        <v>2459</v>
      </c>
      <c r="L786" s="103">
        <v>0</v>
      </c>
      <c r="M786" s="103">
        <v>0</v>
      </c>
      <c r="N786" s="103">
        <v>0</v>
      </c>
      <c r="O786" s="103">
        <v>0</v>
      </c>
      <c r="P786" s="103">
        <v>5</v>
      </c>
      <c r="Q786" s="103">
        <v>10</v>
      </c>
      <c r="R786" s="103">
        <v>40</v>
      </c>
      <c r="S786" s="93" t="s">
        <v>29</v>
      </c>
      <c r="T786" s="93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CA786" s="12"/>
      <c r="CB786" s="12"/>
    </row>
    <row r="787" spans="1:80" x14ac:dyDescent="0.2">
      <c r="A787" s="96">
        <v>2401</v>
      </c>
      <c r="B787" s="99">
        <v>0</v>
      </c>
      <c r="C787" s="99">
        <v>0</v>
      </c>
      <c r="D787" s="99">
        <v>0</v>
      </c>
      <c r="E787" s="99">
        <v>0</v>
      </c>
      <c r="F787" s="99">
        <v>0</v>
      </c>
      <c r="G787" s="99">
        <v>0</v>
      </c>
      <c r="H787" s="99">
        <v>0</v>
      </c>
      <c r="I787" s="99" t="s">
        <v>48</v>
      </c>
      <c r="J787" s="93"/>
      <c r="K787" s="93">
        <v>2500</v>
      </c>
      <c r="L787" s="103">
        <v>0</v>
      </c>
      <c r="M787" s="103">
        <v>0</v>
      </c>
      <c r="N787" s="103">
        <v>0</v>
      </c>
      <c r="O787" s="103">
        <v>0</v>
      </c>
      <c r="P787" s="103">
        <v>5</v>
      </c>
      <c r="Q787" s="103">
        <v>10</v>
      </c>
      <c r="R787" s="103">
        <v>40</v>
      </c>
      <c r="S787" s="93" t="s">
        <v>29</v>
      </c>
      <c r="T787" s="93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CA787" s="12"/>
      <c r="CB787" s="12"/>
    </row>
    <row r="788" spans="1:80" x14ac:dyDescent="0.2">
      <c r="A788" s="96">
        <v>2402</v>
      </c>
      <c r="B788" s="99">
        <v>0</v>
      </c>
      <c r="C788" s="99">
        <v>0</v>
      </c>
      <c r="D788" s="99">
        <v>0</v>
      </c>
      <c r="E788" s="99">
        <v>0</v>
      </c>
      <c r="F788" s="99">
        <v>0</v>
      </c>
      <c r="G788" s="99">
        <v>0</v>
      </c>
      <c r="H788" s="99">
        <v>0</v>
      </c>
      <c r="I788" s="99" t="s">
        <v>48</v>
      </c>
      <c r="J788" s="93"/>
      <c r="K788" s="93">
        <v>2501</v>
      </c>
      <c r="L788" s="103">
        <v>0</v>
      </c>
      <c r="M788" s="103">
        <v>0</v>
      </c>
      <c r="N788" s="103">
        <v>0</v>
      </c>
      <c r="O788" s="103">
        <v>0</v>
      </c>
      <c r="P788" s="103">
        <v>0</v>
      </c>
      <c r="Q788" s="103">
        <v>10</v>
      </c>
      <c r="R788" s="103">
        <v>35</v>
      </c>
      <c r="S788" s="103" t="s">
        <v>48</v>
      </c>
      <c r="T788" s="93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CA788" s="12"/>
      <c r="CB788" s="12"/>
    </row>
    <row r="789" spans="1:80" x14ac:dyDescent="0.2">
      <c r="A789" s="96">
        <v>2403</v>
      </c>
      <c r="B789" s="99">
        <v>0</v>
      </c>
      <c r="C789" s="99">
        <v>0</v>
      </c>
      <c r="D789" s="99">
        <v>0</v>
      </c>
      <c r="E789" s="99">
        <v>0</v>
      </c>
      <c r="F789" s="99">
        <v>0</v>
      </c>
      <c r="G789" s="99">
        <v>0</v>
      </c>
      <c r="H789" s="99">
        <v>0</v>
      </c>
      <c r="I789" s="99" t="s">
        <v>48</v>
      </c>
      <c r="J789" s="93"/>
      <c r="K789" s="93">
        <v>2502</v>
      </c>
      <c r="L789" s="103">
        <v>0</v>
      </c>
      <c r="M789" s="103">
        <v>0</v>
      </c>
      <c r="N789" s="103">
        <v>0</v>
      </c>
      <c r="O789" s="103">
        <v>0</v>
      </c>
      <c r="P789" s="103">
        <v>0</v>
      </c>
      <c r="Q789" s="103">
        <v>10</v>
      </c>
      <c r="R789" s="103">
        <v>35</v>
      </c>
      <c r="S789" s="103" t="s">
        <v>48</v>
      </c>
      <c r="T789" s="93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CA789" s="12"/>
      <c r="CB789" s="12"/>
    </row>
    <row r="790" spans="1:80" x14ac:dyDescent="0.2">
      <c r="A790" s="96">
        <v>2404</v>
      </c>
      <c r="B790" s="99">
        <v>0</v>
      </c>
      <c r="C790" s="99">
        <v>0</v>
      </c>
      <c r="D790" s="99">
        <v>0</v>
      </c>
      <c r="E790" s="99">
        <v>0</v>
      </c>
      <c r="F790" s="99">
        <v>0</v>
      </c>
      <c r="G790" s="99">
        <v>0</v>
      </c>
      <c r="H790" s="99">
        <v>0</v>
      </c>
      <c r="I790" s="99" t="s">
        <v>48</v>
      </c>
      <c r="J790" s="93"/>
      <c r="K790" s="93">
        <v>2503</v>
      </c>
      <c r="L790" s="103">
        <v>0</v>
      </c>
      <c r="M790" s="103">
        <v>0</v>
      </c>
      <c r="N790" s="103">
        <v>0</v>
      </c>
      <c r="O790" s="103">
        <v>0</v>
      </c>
      <c r="P790" s="103">
        <v>0</v>
      </c>
      <c r="Q790" s="103">
        <v>10</v>
      </c>
      <c r="R790" s="103">
        <v>35</v>
      </c>
      <c r="S790" s="103" t="s">
        <v>48</v>
      </c>
      <c r="T790" s="93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CA790" s="12"/>
      <c r="CB790" s="12"/>
    </row>
    <row r="791" spans="1:80" x14ac:dyDescent="0.2">
      <c r="A791" s="96">
        <v>2405</v>
      </c>
      <c r="B791" s="99">
        <v>0</v>
      </c>
      <c r="C791" s="99">
        <v>0</v>
      </c>
      <c r="D791" s="99">
        <v>0</v>
      </c>
      <c r="E791" s="99">
        <v>0</v>
      </c>
      <c r="F791" s="99">
        <v>0</v>
      </c>
      <c r="G791" s="99">
        <v>0</v>
      </c>
      <c r="H791" s="99">
        <v>0</v>
      </c>
      <c r="I791" s="99" t="s">
        <v>48</v>
      </c>
      <c r="J791" s="93"/>
      <c r="K791" s="93">
        <v>2504</v>
      </c>
      <c r="L791" s="103">
        <v>0</v>
      </c>
      <c r="M791" s="103">
        <v>0</v>
      </c>
      <c r="N791" s="103">
        <v>0</v>
      </c>
      <c r="O791" s="103">
        <v>0</v>
      </c>
      <c r="P791" s="103">
        <v>0</v>
      </c>
      <c r="Q791" s="103">
        <v>10</v>
      </c>
      <c r="R791" s="103">
        <v>35</v>
      </c>
      <c r="S791" s="103" t="s">
        <v>48</v>
      </c>
      <c r="T791" s="93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CA791" s="12"/>
      <c r="CB791" s="12"/>
    </row>
    <row r="792" spans="1:80" x14ac:dyDescent="0.2">
      <c r="A792" s="96">
        <v>2406</v>
      </c>
      <c r="B792" s="99">
        <v>0</v>
      </c>
      <c r="C792" s="99">
        <v>0</v>
      </c>
      <c r="D792" s="99">
        <v>0</v>
      </c>
      <c r="E792" s="99">
        <v>0</v>
      </c>
      <c r="F792" s="99">
        <v>0</v>
      </c>
      <c r="G792" s="99">
        <v>0</v>
      </c>
      <c r="H792" s="99">
        <v>0</v>
      </c>
      <c r="I792" s="99" t="s">
        <v>48</v>
      </c>
      <c r="J792" s="93"/>
      <c r="K792" s="93">
        <v>2505</v>
      </c>
      <c r="L792" s="103">
        <v>0</v>
      </c>
      <c r="M792" s="103">
        <v>0</v>
      </c>
      <c r="N792" s="103">
        <v>0</v>
      </c>
      <c r="O792" s="103">
        <v>0</v>
      </c>
      <c r="P792" s="103">
        <v>0</v>
      </c>
      <c r="Q792" s="103">
        <v>10</v>
      </c>
      <c r="R792" s="103">
        <v>35</v>
      </c>
      <c r="S792" s="103" t="s">
        <v>48</v>
      </c>
      <c r="T792" s="93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CA792" s="12"/>
      <c r="CB792" s="12"/>
    </row>
    <row r="793" spans="1:80" x14ac:dyDescent="0.2">
      <c r="A793" s="96">
        <v>2407</v>
      </c>
      <c r="B793" s="99">
        <v>0</v>
      </c>
      <c r="C793" s="99">
        <v>0</v>
      </c>
      <c r="D793" s="99">
        <v>0</v>
      </c>
      <c r="E793" s="99">
        <v>0</v>
      </c>
      <c r="F793" s="99">
        <v>0</v>
      </c>
      <c r="G793" s="99">
        <v>0</v>
      </c>
      <c r="H793" s="99">
        <v>0</v>
      </c>
      <c r="I793" s="99" t="s">
        <v>48</v>
      </c>
      <c r="J793" s="93"/>
      <c r="K793" s="93">
        <v>2506</v>
      </c>
      <c r="L793" s="103">
        <v>0</v>
      </c>
      <c r="M793" s="103">
        <v>0</v>
      </c>
      <c r="N793" s="103">
        <v>0</v>
      </c>
      <c r="O793" s="103">
        <v>0</v>
      </c>
      <c r="P793" s="103">
        <v>0</v>
      </c>
      <c r="Q793" s="103">
        <v>10</v>
      </c>
      <c r="R793" s="103">
        <v>35</v>
      </c>
      <c r="S793" s="103" t="s">
        <v>48</v>
      </c>
      <c r="T793" s="93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CA793" s="12"/>
      <c r="CB793" s="12"/>
    </row>
    <row r="794" spans="1:80" x14ac:dyDescent="0.2">
      <c r="A794" s="96">
        <v>2408</v>
      </c>
      <c r="B794" s="99">
        <v>0</v>
      </c>
      <c r="C794" s="99">
        <v>0</v>
      </c>
      <c r="D794" s="99">
        <v>0</v>
      </c>
      <c r="E794" s="99">
        <v>0</v>
      </c>
      <c r="F794" s="99">
        <v>0</v>
      </c>
      <c r="G794" s="99">
        <v>0</v>
      </c>
      <c r="H794" s="99">
        <v>0</v>
      </c>
      <c r="I794" s="99" t="s">
        <v>48</v>
      </c>
      <c r="J794" s="93"/>
      <c r="K794" s="93">
        <v>2507</v>
      </c>
      <c r="L794" s="103">
        <v>0</v>
      </c>
      <c r="M794" s="103">
        <v>0</v>
      </c>
      <c r="N794" s="103">
        <v>0</v>
      </c>
      <c r="O794" s="103">
        <v>0</v>
      </c>
      <c r="P794" s="103">
        <v>0</v>
      </c>
      <c r="Q794" s="103">
        <v>10</v>
      </c>
      <c r="R794" s="103">
        <v>35</v>
      </c>
      <c r="S794" s="103" t="s">
        <v>48</v>
      </c>
      <c r="T794" s="93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CA794" s="12"/>
      <c r="CB794" s="12"/>
    </row>
    <row r="795" spans="1:80" x14ac:dyDescent="0.2">
      <c r="A795" s="96">
        <v>2409</v>
      </c>
      <c r="B795" s="99">
        <v>0</v>
      </c>
      <c r="C795" s="99">
        <v>0</v>
      </c>
      <c r="D795" s="99">
        <v>0</v>
      </c>
      <c r="E795" s="99">
        <v>0</v>
      </c>
      <c r="F795" s="99">
        <v>0</v>
      </c>
      <c r="G795" s="99">
        <v>0</v>
      </c>
      <c r="H795" s="99">
        <v>0</v>
      </c>
      <c r="I795" s="99" t="s">
        <v>48</v>
      </c>
      <c r="J795" s="93"/>
      <c r="K795" s="93">
        <v>2508</v>
      </c>
      <c r="L795" s="103">
        <v>0</v>
      </c>
      <c r="M795" s="103">
        <v>0</v>
      </c>
      <c r="N795" s="103">
        <v>0</v>
      </c>
      <c r="O795" s="103">
        <v>0</v>
      </c>
      <c r="P795" s="103">
        <v>0</v>
      </c>
      <c r="Q795" s="103">
        <v>10</v>
      </c>
      <c r="R795" s="103">
        <v>35</v>
      </c>
      <c r="S795" s="103" t="s">
        <v>48</v>
      </c>
      <c r="T795" s="93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CA795" s="12"/>
      <c r="CB795" s="12"/>
    </row>
    <row r="796" spans="1:80" x14ac:dyDescent="0.2">
      <c r="A796" s="96">
        <v>2410</v>
      </c>
      <c r="B796" s="99">
        <v>0</v>
      </c>
      <c r="C796" s="99">
        <v>0</v>
      </c>
      <c r="D796" s="99">
        <v>0</v>
      </c>
      <c r="E796" s="99">
        <v>0</v>
      </c>
      <c r="F796" s="99">
        <v>0</v>
      </c>
      <c r="G796" s="99">
        <v>0</v>
      </c>
      <c r="H796" s="99">
        <v>0</v>
      </c>
      <c r="I796" s="99" t="s">
        <v>48</v>
      </c>
      <c r="J796" s="93"/>
      <c r="K796" s="93">
        <v>2509</v>
      </c>
      <c r="L796" s="103">
        <v>0</v>
      </c>
      <c r="M796" s="103">
        <v>0</v>
      </c>
      <c r="N796" s="103">
        <v>0</v>
      </c>
      <c r="O796" s="103">
        <v>0</v>
      </c>
      <c r="P796" s="103">
        <v>0</v>
      </c>
      <c r="Q796" s="103">
        <v>10</v>
      </c>
      <c r="R796" s="103">
        <v>35</v>
      </c>
      <c r="S796" s="103" t="s">
        <v>48</v>
      </c>
      <c r="T796" s="93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CA796" s="12"/>
      <c r="CB796" s="12"/>
    </row>
    <row r="797" spans="1:80" x14ac:dyDescent="0.2">
      <c r="A797" s="96">
        <v>2411</v>
      </c>
      <c r="B797" s="99">
        <v>0</v>
      </c>
      <c r="C797" s="99">
        <v>0</v>
      </c>
      <c r="D797" s="99">
        <v>0</v>
      </c>
      <c r="E797" s="99">
        <v>0</v>
      </c>
      <c r="F797" s="99">
        <v>0</v>
      </c>
      <c r="G797" s="99">
        <v>0</v>
      </c>
      <c r="H797" s="99">
        <v>0</v>
      </c>
      <c r="I797" s="99" t="s">
        <v>48</v>
      </c>
      <c r="J797" s="93"/>
      <c r="K797" s="93">
        <v>2510</v>
      </c>
      <c r="L797" s="103">
        <v>0</v>
      </c>
      <c r="M797" s="103">
        <v>0</v>
      </c>
      <c r="N797" s="103">
        <v>0</v>
      </c>
      <c r="O797" s="103">
        <v>0</v>
      </c>
      <c r="P797" s="103">
        <v>0</v>
      </c>
      <c r="Q797" s="103">
        <v>10</v>
      </c>
      <c r="R797" s="103">
        <v>35</v>
      </c>
      <c r="S797" s="103" t="s">
        <v>48</v>
      </c>
      <c r="T797" s="93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CA797" s="12"/>
      <c r="CB797" s="12"/>
    </row>
    <row r="798" spans="1:80" x14ac:dyDescent="0.2">
      <c r="A798" s="96">
        <v>2412</v>
      </c>
      <c r="B798" s="99">
        <v>0</v>
      </c>
      <c r="C798" s="99">
        <v>0</v>
      </c>
      <c r="D798" s="99">
        <v>0</v>
      </c>
      <c r="E798" s="99">
        <v>0</v>
      </c>
      <c r="F798" s="99">
        <v>0</v>
      </c>
      <c r="G798" s="99">
        <v>0</v>
      </c>
      <c r="H798" s="99">
        <v>0</v>
      </c>
      <c r="I798" s="99" t="s">
        <v>48</v>
      </c>
      <c r="J798" s="93"/>
      <c r="K798" s="93">
        <v>2511</v>
      </c>
      <c r="L798" s="103">
        <v>0</v>
      </c>
      <c r="M798" s="103">
        <v>0</v>
      </c>
      <c r="N798" s="103">
        <v>0</v>
      </c>
      <c r="O798" s="103">
        <v>0</v>
      </c>
      <c r="P798" s="103">
        <v>0</v>
      </c>
      <c r="Q798" s="103">
        <v>5</v>
      </c>
      <c r="R798" s="103">
        <v>35</v>
      </c>
      <c r="S798" s="103" t="s">
        <v>48</v>
      </c>
      <c r="T798" s="93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CA798" s="12"/>
      <c r="CB798" s="12"/>
    </row>
    <row r="799" spans="1:80" x14ac:dyDescent="0.2">
      <c r="A799" s="96">
        <v>2413</v>
      </c>
      <c r="B799" s="99">
        <v>0</v>
      </c>
      <c r="C799" s="99">
        <v>0</v>
      </c>
      <c r="D799" s="99">
        <v>0</v>
      </c>
      <c r="E799" s="99">
        <v>0</v>
      </c>
      <c r="F799" s="99">
        <v>0</v>
      </c>
      <c r="G799" s="99">
        <v>0</v>
      </c>
      <c r="H799" s="99">
        <v>0</v>
      </c>
      <c r="I799" s="99" t="s">
        <v>48</v>
      </c>
      <c r="J799" s="93"/>
      <c r="K799" s="93">
        <v>2512</v>
      </c>
      <c r="L799" s="103">
        <v>0</v>
      </c>
      <c r="M799" s="103">
        <v>0</v>
      </c>
      <c r="N799" s="103">
        <v>0</v>
      </c>
      <c r="O799" s="103">
        <v>0</v>
      </c>
      <c r="P799" s="103">
        <v>0</v>
      </c>
      <c r="Q799" s="103">
        <v>5</v>
      </c>
      <c r="R799" s="103">
        <v>35</v>
      </c>
      <c r="S799" s="103" t="s">
        <v>48</v>
      </c>
      <c r="T799" s="93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CA799" s="12"/>
      <c r="CB799" s="12"/>
    </row>
    <row r="800" spans="1:80" x14ac:dyDescent="0.2">
      <c r="A800" s="96">
        <v>2414</v>
      </c>
      <c r="B800" s="99">
        <v>0</v>
      </c>
      <c r="C800" s="99">
        <v>0</v>
      </c>
      <c r="D800" s="99">
        <v>0</v>
      </c>
      <c r="E800" s="99">
        <v>0</v>
      </c>
      <c r="F800" s="99">
        <v>0</v>
      </c>
      <c r="G800" s="99">
        <v>0</v>
      </c>
      <c r="H800" s="99">
        <v>0</v>
      </c>
      <c r="I800" s="99" t="s">
        <v>48</v>
      </c>
      <c r="J800" s="93"/>
      <c r="K800" s="93">
        <v>2513</v>
      </c>
      <c r="L800" s="103">
        <v>0</v>
      </c>
      <c r="M800" s="103">
        <v>0</v>
      </c>
      <c r="N800" s="103">
        <v>0</v>
      </c>
      <c r="O800" s="103">
        <v>0</v>
      </c>
      <c r="P800" s="103">
        <v>0</v>
      </c>
      <c r="Q800" s="103">
        <v>5</v>
      </c>
      <c r="R800" s="103">
        <v>35</v>
      </c>
      <c r="S800" s="103" t="s">
        <v>48</v>
      </c>
      <c r="T800" s="93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CA800" s="12"/>
      <c r="CB800" s="12"/>
    </row>
    <row r="801" spans="1:80" x14ac:dyDescent="0.2">
      <c r="A801" s="96">
        <v>2415</v>
      </c>
      <c r="B801" s="99">
        <v>0</v>
      </c>
      <c r="C801" s="99">
        <v>0</v>
      </c>
      <c r="D801" s="99">
        <v>0</v>
      </c>
      <c r="E801" s="99">
        <v>0</v>
      </c>
      <c r="F801" s="99">
        <v>0</v>
      </c>
      <c r="G801" s="99">
        <v>0</v>
      </c>
      <c r="H801" s="99">
        <v>0</v>
      </c>
      <c r="I801" s="99" t="s">
        <v>48</v>
      </c>
      <c r="J801" s="93"/>
      <c r="K801" s="93">
        <v>2514</v>
      </c>
      <c r="L801" s="103">
        <v>0</v>
      </c>
      <c r="M801" s="103">
        <v>0</v>
      </c>
      <c r="N801" s="103">
        <v>0</v>
      </c>
      <c r="O801" s="103">
        <v>0</v>
      </c>
      <c r="P801" s="103">
        <v>0</v>
      </c>
      <c r="Q801" s="103">
        <v>5</v>
      </c>
      <c r="R801" s="103">
        <v>35</v>
      </c>
      <c r="S801" s="103" t="s">
        <v>48</v>
      </c>
      <c r="T801" s="93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CA801" s="12"/>
      <c r="CB801" s="12"/>
    </row>
    <row r="802" spans="1:80" x14ac:dyDescent="0.2">
      <c r="A802" s="96">
        <v>2416</v>
      </c>
      <c r="B802" s="99">
        <v>0</v>
      </c>
      <c r="C802" s="99">
        <v>0</v>
      </c>
      <c r="D802" s="99">
        <v>0</v>
      </c>
      <c r="E802" s="99">
        <v>0</v>
      </c>
      <c r="F802" s="99">
        <v>0</v>
      </c>
      <c r="G802" s="99">
        <v>0</v>
      </c>
      <c r="H802" s="99">
        <v>0</v>
      </c>
      <c r="I802" s="99" t="s">
        <v>48</v>
      </c>
      <c r="J802" s="93"/>
      <c r="K802" s="93">
        <v>2515</v>
      </c>
      <c r="L802" s="103">
        <v>0</v>
      </c>
      <c r="M802" s="103">
        <v>0</v>
      </c>
      <c r="N802" s="103">
        <v>0</v>
      </c>
      <c r="O802" s="103">
        <v>0</v>
      </c>
      <c r="P802" s="103">
        <v>0</v>
      </c>
      <c r="Q802" s="103">
        <v>5</v>
      </c>
      <c r="R802" s="103">
        <v>35</v>
      </c>
      <c r="S802" s="103" t="s">
        <v>48</v>
      </c>
      <c r="T802" s="93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CA802" s="12"/>
      <c r="CB802" s="12"/>
    </row>
    <row r="803" spans="1:80" x14ac:dyDescent="0.2">
      <c r="A803" s="96">
        <v>2417</v>
      </c>
      <c r="B803" s="99">
        <v>0</v>
      </c>
      <c r="C803" s="99">
        <v>0</v>
      </c>
      <c r="D803" s="99">
        <v>0</v>
      </c>
      <c r="E803" s="99">
        <v>0</v>
      </c>
      <c r="F803" s="99">
        <v>0</v>
      </c>
      <c r="G803" s="99">
        <v>0</v>
      </c>
      <c r="H803" s="99">
        <v>0</v>
      </c>
      <c r="I803" s="99" t="s">
        <v>48</v>
      </c>
      <c r="J803" s="93"/>
      <c r="K803" s="93">
        <v>2516</v>
      </c>
      <c r="L803" s="103">
        <v>0</v>
      </c>
      <c r="M803" s="103">
        <v>0</v>
      </c>
      <c r="N803" s="103">
        <v>0</v>
      </c>
      <c r="O803" s="103">
        <v>0</v>
      </c>
      <c r="P803" s="103">
        <v>0</v>
      </c>
      <c r="Q803" s="103">
        <v>5</v>
      </c>
      <c r="R803" s="103">
        <v>35</v>
      </c>
      <c r="S803" s="103" t="s">
        <v>48</v>
      </c>
      <c r="T803" s="93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CA803" s="12"/>
      <c r="CB803" s="12"/>
    </row>
    <row r="804" spans="1:80" x14ac:dyDescent="0.2">
      <c r="A804" s="96">
        <v>2418</v>
      </c>
      <c r="B804" s="99">
        <v>0</v>
      </c>
      <c r="C804" s="99">
        <v>0</v>
      </c>
      <c r="D804" s="99">
        <v>0</v>
      </c>
      <c r="E804" s="99">
        <v>0</v>
      </c>
      <c r="F804" s="99">
        <v>0</v>
      </c>
      <c r="G804" s="99">
        <v>0</v>
      </c>
      <c r="H804" s="99">
        <v>0</v>
      </c>
      <c r="I804" s="99" t="s">
        <v>48</v>
      </c>
      <c r="J804" s="93"/>
      <c r="K804" s="93">
        <v>2517</v>
      </c>
      <c r="L804" s="103">
        <v>0</v>
      </c>
      <c r="M804" s="103">
        <v>0</v>
      </c>
      <c r="N804" s="103">
        <v>0</v>
      </c>
      <c r="O804" s="103">
        <v>0</v>
      </c>
      <c r="P804" s="103">
        <v>0</v>
      </c>
      <c r="Q804" s="103">
        <v>5</v>
      </c>
      <c r="R804" s="103">
        <v>35</v>
      </c>
      <c r="S804" s="103" t="s">
        <v>48</v>
      </c>
      <c r="T804" s="93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CA804" s="12"/>
      <c r="CB804" s="12"/>
    </row>
    <row r="805" spans="1:80" x14ac:dyDescent="0.2">
      <c r="A805" s="96">
        <v>2419</v>
      </c>
      <c r="B805" s="99">
        <v>0</v>
      </c>
      <c r="C805" s="99">
        <v>0</v>
      </c>
      <c r="D805" s="99">
        <v>0</v>
      </c>
      <c r="E805" s="99">
        <v>0</v>
      </c>
      <c r="F805" s="99">
        <v>0</v>
      </c>
      <c r="G805" s="99">
        <v>0</v>
      </c>
      <c r="H805" s="99">
        <v>0</v>
      </c>
      <c r="I805" s="99" t="s">
        <v>48</v>
      </c>
      <c r="J805" s="93"/>
      <c r="K805" s="93">
        <v>2518</v>
      </c>
      <c r="L805" s="103">
        <v>0</v>
      </c>
      <c r="M805" s="103">
        <v>0</v>
      </c>
      <c r="N805" s="103">
        <v>0</v>
      </c>
      <c r="O805" s="103">
        <v>0</v>
      </c>
      <c r="P805" s="103">
        <v>0</v>
      </c>
      <c r="Q805" s="103">
        <v>5</v>
      </c>
      <c r="R805" s="103">
        <v>35</v>
      </c>
      <c r="S805" s="103" t="s">
        <v>48</v>
      </c>
      <c r="T805" s="93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CA805" s="12"/>
      <c r="CB805" s="12"/>
    </row>
    <row r="806" spans="1:80" x14ac:dyDescent="0.2">
      <c r="A806" s="96">
        <v>2420</v>
      </c>
      <c r="B806" s="99">
        <v>0</v>
      </c>
      <c r="C806" s="99">
        <v>0</v>
      </c>
      <c r="D806" s="99">
        <v>0</v>
      </c>
      <c r="E806" s="99">
        <v>0</v>
      </c>
      <c r="F806" s="99">
        <v>0</v>
      </c>
      <c r="G806" s="99">
        <v>0</v>
      </c>
      <c r="H806" s="99">
        <v>0</v>
      </c>
      <c r="I806" s="99" t="s">
        <v>48</v>
      </c>
      <c r="J806" s="93"/>
      <c r="K806" s="93">
        <v>2519</v>
      </c>
      <c r="L806" s="103">
        <v>0</v>
      </c>
      <c r="M806" s="103">
        <v>0</v>
      </c>
      <c r="N806" s="103">
        <v>0</v>
      </c>
      <c r="O806" s="103">
        <v>0</v>
      </c>
      <c r="P806" s="103">
        <v>0</v>
      </c>
      <c r="Q806" s="103">
        <v>5</v>
      </c>
      <c r="R806" s="103">
        <v>35</v>
      </c>
      <c r="S806" s="103" t="s">
        <v>48</v>
      </c>
      <c r="T806" s="93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CA806" s="12"/>
      <c r="CB806" s="12"/>
    </row>
    <row r="807" spans="1:80" x14ac:dyDescent="0.2">
      <c r="A807" s="96">
        <v>2421</v>
      </c>
      <c r="B807" s="99">
        <v>0</v>
      </c>
      <c r="C807" s="99">
        <v>0</v>
      </c>
      <c r="D807" s="99">
        <v>0</v>
      </c>
      <c r="E807" s="99">
        <v>0</v>
      </c>
      <c r="F807" s="99">
        <v>0</v>
      </c>
      <c r="G807" s="99">
        <v>0</v>
      </c>
      <c r="H807" s="99">
        <v>0</v>
      </c>
      <c r="I807" s="99" t="s">
        <v>48</v>
      </c>
      <c r="J807" s="93"/>
      <c r="K807" s="93">
        <v>2520</v>
      </c>
      <c r="L807" s="103">
        <v>0</v>
      </c>
      <c r="M807" s="103">
        <v>0</v>
      </c>
      <c r="N807" s="103">
        <v>0</v>
      </c>
      <c r="O807" s="103">
        <v>0</v>
      </c>
      <c r="P807" s="103">
        <v>0</v>
      </c>
      <c r="Q807" s="103">
        <v>5</v>
      </c>
      <c r="R807" s="103">
        <v>35</v>
      </c>
      <c r="S807" s="103" t="s">
        <v>48</v>
      </c>
      <c r="T807" s="93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CA807" s="12"/>
      <c r="CB807" s="12"/>
    </row>
    <row r="808" spans="1:80" x14ac:dyDescent="0.2">
      <c r="A808" s="96">
        <v>2422</v>
      </c>
      <c r="B808" s="99">
        <v>0</v>
      </c>
      <c r="C808" s="99">
        <v>0</v>
      </c>
      <c r="D808" s="99">
        <v>0</v>
      </c>
      <c r="E808" s="99">
        <v>0</v>
      </c>
      <c r="F808" s="99">
        <v>0</v>
      </c>
      <c r="G808" s="99">
        <v>0</v>
      </c>
      <c r="H808" s="99">
        <v>0</v>
      </c>
      <c r="I808" s="99" t="s">
        <v>48</v>
      </c>
      <c r="J808" s="93"/>
      <c r="K808" s="93">
        <v>2521</v>
      </c>
      <c r="L808" s="103">
        <v>0</v>
      </c>
      <c r="M808" s="103">
        <v>0</v>
      </c>
      <c r="N808" s="103">
        <v>0</v>
      </c>
      <c r="O808" s="103">
        <v>0</v>
      </c>
      <c r="P808" s="103">
        <v>0</v>
      </c>
      <c r="Q808" s="103">
        <v>5</v>
      </c>
      <c r="R808" s="103">
        <v>30</v>
      </c>
      <c r="S808" s="103" t="s">
        <v>48</v>
      </c>
      <c r="T808" s="93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CA808" s="12"/>
      <c r="CB808" s="12"/>
    </row>
    <row r="809" spans="1:80" x14ac:dyDescent="0.2">
      <c r="A809" s="96">
        <v>2423</v>
      </c>
      <c r="B809" s="99">
        <v>0</v>
      </c>
      <c r="C809" s="99">
        <v>0</v>
      </c>
      <c r="D809" s="99">
        <v>0</v>
      </c>
      <c r="E809" s="99">
        <v>0</v>
      </c>
      <c r="F809" s="99">
        <v>0</v>
      </c>
      <c r="G809" s="99">
        <v>0</v>
      </c>
      <c r="H809" s="99">
        <v>0</v>
      </c>
      <c r="I809" s="99" t="s">
        <v>48</v>
      </c>
      <c r="J809" s="93"/>
      <c r="K809" s="93">
        <v>2522</v>
      </c>
      <c r="L809" s="103">
        <v>0</v>
      </c>
      <c r="M809" s="103">
        <v>0</v>
      </c>
      <c r="N809" s="103">
        <v>0</v>
      </c>
      <c r="O809" s="103">
        <v>0</v>
      </c>
      <c r="P809" s="103">
        <v>0</v>
      </c>
      <c r="Q809" s="103">
        <v>5</v>
      </c>
      <c r="R809" s="103">
        <v>30</v>
      </c>
      <c r="S809" s="103" t="s">
        <v>48</v>
      </c>
      <c r="T809" s="93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CA809" s="12"/>
      <c r="CB809" s="12"/>
    </row>
    <row r="810" spans="1:80" x14ac:dyDescent="0.2">
      <c r="A810" s="96">
        <v>2424</v>
      </c>
      <c r="B810" s="99">
        <v>0</v>
      </c>
      <c r="C810" s="99">
        <v>0</v>
      </c>
      <c r="D810" s="99">
        <v>0</v>
      </c>
      <c r="E810" s="99">
        <v>0</v>
      </c>
      <c r="F810" s="99">
        <v>0</v>
      </c>
      <c r="G810" s="99">
        <v>0</v>
      </c>
      <c r="H810" s="99">
        <v>0</v>
      </c>
      <c r="I810" s="99" t="s">
        <v>48</v>
      </c>
      <c r="J810" s="93"/>
      <c r="K810" s="93">
        <v>2523</v>
      </c>
      <c r="L810" s="103">
        <v>0</v>
      </c>
      <c r="M810" s="103">
        <v>0</v>
      </c>
      <c r="N810" s="103">
        <v>0</v>
      </c>
      <c r="O810" s="103">
        <v>0</v>
      </c>
      <c r="P810" s="103">
        <v>0</v>
      </c>
      <c r="Q810" s="103">
        <v>5</v>
      </c>
      <c r="R810" s="103">
        <v>30</v>
      </c>
      <c r="S810" s="103" t="s">
        <v>48</v>
      </c>
      <c r="T810" s="93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CA810" s="12"/>
      <c r="CB810" s="12"/>
    </row>
    <row r="811" spans="1:80" x14ac:dyDescent="0.2">
      <c r="A811" s="96">
        <v>2425</v>
      </c>
      <c r="B811" s="99">
        <v>0</v>
      </c>
      <c r="C811" s="99">
        <v>0</v>
      </c>
      <c r="D811" s="99">
        <v>0</v>
      </c>
      <c r="E811" s="99">
        <v>0</v>
      </c>
      <c r="F811" s="99">
        <v>0</v>
      </c>
      <c r="G811" s="99">
        <v>0</v>
      </c>
      <c r="H811" s="99">
        <v>0</v>
      </c>
      <c r="I811" s="99" t="s">
        <v>48</v>
      </c>
      <c r="J811" s="93"/>
      <c r="K811" s="93">
        <v>2524</v>
      </c>
      <c r="L811" s="103">
        <v>0</v>
      </c>
      <c r="M811" s="103">
        <v>0</v>
      </c>
      <c r="N811" s="103">
        <v>0</v>
      </c>
      <c r="O811" s="103">
        <v>0</v>
      </c>
      <c r="P811" s="103">
        <v>0</v>
      </c>
      <c r="Q811" s="103">
        <v>5</v>
      </c>
      <c r="R811" s="103">
        <v>30</v>
      </c>
      <c r="S811" s="103" t="s">
        <v>48</v>
      </c>
      <c r="T811" s="93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CA811" s="12"/>
      <c r="CB811" s="12"/>
    </row>
    <row r="812" spans="1:80" x14ac:dyDescent="0.2">
      <c r="A812" s="96">
        <v>2426</v>
      </c>
      <c r="B812" s="99">
        <v>0</v>
      </c>
      <c r="C812" s="99">
        <v>0</v>
      </c>
      <c r="D812" s="99">
        <v>0</v>
      </c>
      <c r="E812" s="99">
        <v>0</v>
      </c>
      <c r="F812" s="99">
        <v>0</v>
      </c>
      <c r="G812" s="99">
        <v>0</v>
      </c>
      <c r="H812" s="99">
        <v>0</v>
      </c>
      <c r="I812" s="99" t="s">
        <v>48</v>
      </c>
      <c r="J812" s="93"/>
      <c r="K812" s="93">
        <v>2525</v>
      </c>
      <c r="L812" s="103">
        <v>0</v>
      </c>
      <c r="M812" s="103">
        <v>0</v>
      </c>
      <c r="N812" s="103">
        <v>0</v>
      </c>
      <c r="O812" s="103">
        <v>0</v>
      </c>
      <c r="P812" s="103">
        <v>0</v>
      </c>
      <c r="Q812" s="103">
        <v>5</v>
      </c>
      <c r="R812" s="103">
        <v>30</v>
      </c>
      <c r="S812" s="103" t="s">
        <v>48</v>
      </c>
      <c r="T812" s="93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CA812" s="12"/>
      <c r="CB812" s="12"/>
    </row>
    <row r="813" spans="1:80" x14ac:dyDescent="0.2">
      <c r="A813" s="96">
        <v>2427</v>
      </c>
      <c r="B813" s="99">
        <v>0</v>
      </c>
      <c r="C813" s="99">
        <v>0</v>
      </c>
      <c r="D813" s="99">
        <v>0</v>
      </c>
      <c r="E813" s="99">
        <v>0</v>
      </c>
      <c r="F813" s="99">
        <v>0</v>
      </c>
      <c r="G813" s="99">
        <v>0</v>
      </c>
      <c r="H813" s="99">
        <v>0</v>
      </c>
      <c r="I813" s="99" t="s">
        <v>48</v>
      </c>
      <c r="J813" s="93"/>
      <c r="K813" s="93">
        <v>2526</v>
      </c>
      <c r="L813" s="103">
        <v>0</v>
      </c>
      <c r="M813" s="103">
        <v>0</v>
      </c>
      <c r="N813" s="103">
        <v>0</v>
      </c>
      <c r="O813" s="103">
        <v>0</v>
      </c>
      <c r="P813" s="103">
        <v>0</v>
      </c>
      <c r="Q813" s="103">
        <v>5</v>
      </c>
      <c r="R813" s="103">
        <v>30</v>
      </c>
      <c r="S813" s="103" t="s">
        <v>48</v>
      </c>
      <c r="T813" s="93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CA813" s="12"/>
      <c r="CB813" s="12"/>
    </row>
    <row r="814" spans="1:80" x14ac:dyDescent="0.2">
      <c r="A814" s="96">
        <v>2428</v>
      </c>
      <c r="B814" s="99">
        <v>0</v>
      </c>
      <c r="C814" s="99">
        <v>0</v>
      </c>
      <c r="D814" s="99">
        <v>0</v>
      </c>
      <c r="E814" s="99">
        <v>0</v>
      </c>
      <c r="F814" s="99">
        <v>0</v>
      </c>
      <c r="G814" s="99">
        <v>0</v>
      </c>
      <c r="H814" s="99">
        <v>0</v>
      </c>
      <c r="I814" s="99" t="s">
        <v>48</v>
      </c>
      <c r="J814" s="93"/>
      <c r="K814" s="93">
        <v>2527</v>
      </c>
      <c r="L814" s="103">
        <v>0</v>
      </c>
      <c r="M814" s="103">
        <v>0</v>
      </c>
      <c r="N814" s="103">
        <v>0</v>
      </c>
      <c r="O814" s="103">
        <v>0</v>
      </c>
      <c r="P814" s="103">
        <v>0</v>
      </c>
      <c r="Q814" s="103">
        <v>5</v>
      </c>
      <c r="R814" s="103">
        <v>30</v>
      </c>
      <c r="S814" s="103" t="s">
        <v>48</v>
      </c>
      <c r="T814" s="93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CA814" s="12"/>
      <c r="CB814" s="12"/>
    </row>
    <row r="815" spans="1:80" x14ac:dyDescent="0.2">
      <c r="A815" s="96">
        <v>2429</v>
      </c>
      <c r="B815" s="99">
        <v>0</v>
      </c>
      <c r="C815" s="99">
        <v>0</v>
      </c>
      <c r="D815" s="99">
        <v>0</v>
      </c>
      <c r="E815" s="99">
        <v>0</v>
      </c>
      <c r="F815" s="99">
        <v>0</v>
      </c>
      <c r="G815" s="99">
        <v>0</v>
      </c>
      <c r="H815" s="99">
        <v>0</v>
      </c>
      <c r="I815" s="99" t="s">
        <v>48</v>
      </c>
      <c r="J815" s="93"/>
      <c r="K815" s="93">
        <v>2528</v>
      </c>
      <c r="L815" s="103">
        <v>0</v>
      </c>
      <c r="M815" s="103">
        <v>0</v>
      </c>
      <c r="N815" s="103">
        <v>0</v>
      </c>
      <c r="O815" s="103">
        <v>0</v>
      </c>
      <c r="P815" s="103">
        <v>0</v>
      </c>
      <c r="Q815" s="103">
        <v>5</v>
      </c>
      <c r="R815" s="103">
        <v>30</v>
      </c>
      <c r="S815" s="103" t="s">
        <v>48</v>
      </c>
      <c r="T815" s="93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CA815" s="12"/>
      <c r="CB815" s="12"/>
    </row>
    <row r="816" spans="1:80" x14ac:dyDescent="0.2">
      <c r="A816" s="96">
        <v>2430</v>
      </c>
      <c r="B816" s="99">
        <v>0</v>
      </c>
      <c r="C816" s="99">
        <v>0</v>
      </c>
      <c r="D816" s="99">
        <v>0</v>
      </c>
      <c r="E816" s="99">
        <v>0</v>
      </c>
      <c r="F816" s="99">
        <v>0</v>
      </c>
      <c r="G816" s="99">
        <v>0</v>
      </c>
      <c r="H816" s="99">
        <v>0</v>
      </c>
      <c r="I816" s="99" t="s">
        <v>48</v>
      </c>
      <c r="J816" s="93"/>
      <c r="K816" s="93">
        <v>2529</v>
      </c>
      <c r="L816" s="103">
        <v>0</v>
      </c>
      <c r="M816" s="103">
        <v>0</v>
      </c>
      <c r="N816" s="103">
        <v>0</v>
      </c>
      <c r="O816" s="103">
        <v>0</v>
      </c>
      <c r="P816" s="103">
        <v>0</v>
      </c>
      <c r="Q816" s="103">
        <v>5</v>
      </c>
      <c r="R816" s="103">
        <v>30</v>
      </c>
      <c r="S816" s="103" t="s">
        <v>48</v>
      </c>
      <c r="T816" s="93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CA816" s="12"/>
      <c r="CB816" s="12"/>
    </row>
    <row r="817" spans="1:80" x14ac:dyDescent="0.2">
      <c r="A817" s="96">
        <v>2431</v>
      </c>
      <c r="B817" s="99">
        <v>0</v>
      </c>
      <c r="C817" s="99">
        <v>0</v>
      </c>
      <c r="D817" s="99">
        <v>0</v>
      </c>
      <c r="E817" s="99">
        <v>0</v>
      </c>
      <c r="F817" s="99">
        <v>0</v>
      </c>
      <c r="G817" s="99">
        <v>0</v>
      </c>
      <c r="H817" s="99">
        <v>0</v>
      </c>
      <c r="I817" s="99" t="s">
        <v>48</v>
      </c>
      <c r="J817" s="93"/>
      <c r="K817" s="93">
        <v>2530</v>
      </c>
      <c r="L817" s="103">
        <v>0</v>
      </c>
      <c r="M817" s="103">
        <v>0</v>
      </c>
      <c r="N817" s="103">
        <v>0</v>
      </c>
      <c r="O817" s="103">
        <v>0</v>
      </c>
      <c r="P817" s="103">
        <v>0</v>
      </c>
      <c r="Q817" s="103">
        <v>5</v>
      </c>
      <c r="R817" s="103">
        <v>30</v>
      </c>
      <c r="S817" s="103" t="s">
        <v>48</v>
      </c>
      <c r="T817" s="93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CA817" s="12"/>
      <c r="CB817" s="12"/>
    </row>
    <row r="818" spans="1:80" x14ac:dyDescent="0.2">
      <c r="A818" s="96">
        <v>2432</v>
      </c>
      <c r="B818" s="99">
        <v>0</v>
      </c>
      <c r="C818" s="99">
        <v>0</v>
      </c>
      <c r="D818" s="99">
        <v>0</v>
      </c>
      <c r="E818" s="99">
        <v>0</v>
      </c>
      <c r="F818" s="99">
        <v>0</v>
      </c>
      <c r="G818" s="99">
        <v>0</v>
      </c>
      <c r="H818" s="99">
        <v>0</v>
      </c>
      <c r="I818" s="99" t="s">
        <v>48</v>
      </c>
      <c r="J818" s="93"/>
      <c r="K818" s="93">
        <v>2531</v>
      </c>
      <c r="L818" s="103">
        <v>0</v>
      </c>
      <c r="M818" s="103">
        <v>0</v>
      </c>
      <c r="N818" s="103">
        <v>0</v>
      </c>
      <c r="O818" s="103">
        <v>0</v>
      </c>
      <c r="P818" s="103">
        <v>0</v>
      </c>
      <c r="Q818" s="103">
        <v>0</v>
      </c>
      <c r="R818" s="103">
        <v>30</v>
      </c>
      <c r="S818" s="103" t="s">
        <v>48</v>
      </c>
      <c r="T818" s="93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CA818" s="12"/>
      <c r="CB818" s="12"/>
    </row>
    <row r="819" spans="1:80" x14ac:dyDescent="0.2">
      <c r="A819" s="96">
        <v>2433</v>
      </c>
      <c r="B819" s="99">
        <v>0</v>
      </c>
      <c r="C819" s="99">
        <v>0</v>
      </c>
      <c r="D819" s="99">
        <v>0</v>
      </c>
      <c r="E819" s="99">
        <v>0</v>
      </c>
      <c r="F819" s="99">
        <v>0</v>
      </c>
      <c r="G819" s="99">
        <v>0</v>
      </c>
      <c r="H819" s="99">
        <v>0</v>
      </c>
      <c r="I819" s="99" t="s">
        <v>48</v>
      </c>
      <c r="J819" s="93"/>
      <c r="K819" s="93">
        <v>2532</v>
      </c>
      <c r="L819" s="103">
        <v>0</v>
      </c>
      <c r="M819" s="103">
        <v>0</v>
      </c>
      <c r="N819" s="103">
        <v>0</v>
      </c>
      <c r="O819" s="103">
        <v>0</v>
      </c>
      <c r="P819" s="103">
        <v>0</v>
      </c>
      <c r="Q819" s="103">
        <v>0</v>
      </c>
      <c r="R819" s="103">
        <v>30</v>
      </c>
      <c r="S819" s="103" t="s">
        <v>48</v>
      </c>
      <c r="T819" s="93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CA819" s="12"/>
      <c r="CB819" s="12"/>
    </row>
    <row r="820" spans="1:80" x14ac:dyDescent="0.2">
      <c r="A820" s="96">
        <v>2434</v>
      </c>
      <c r="B820" s="99">
        <v>0</v>
      </c>
      <c r="C820" s="99">
        <v>0</v>
      </c>
      <c r="D820" s="99">
        <v>0</v>
      </c>
      <c r="E820" s="99">
        <v>0</v>
      </c>
      <c r="F820" s="99">
        <v>0</v>
      </c>
      <c r="G820" s="99">
        <v>0</v>
      </c>
      <c r="H820" s="99">
        <v>0</v>
      </c>
      <c r="I820" s="99" t="s">
        <v>48</v>
      </c>
      <c r="J820" s="93"/>
      <c r="K820" s="93">
        <v>2533</v>
      </c>
      <c r="L820" s="103">
        <v>0</v>
      </c>
      <c r="M820" s="103">
        <v>0</v>
      </c>
      <c r="N820" s="103">
        <v>0</v>
      </c>
      <c r="O820" s="103">
        <v>0</v>
      </c>
      <c r="P820" s="103">
        <v>0</v>
      </c>
      <c r="Q820" s="103">
        <v>0</v>
      </c>
      <c r="R820" s="103">
        <v>30</v>
      </c>
      <c r="S820" s="103" t="s">
        <v>48</v>
      </c>
      <c r="T820" s="93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CA820" s="12"/>
      <c r="CB820" s="12"/>
    </row>
    <row r="821" spans="1:80" x14ac:dyDescent="0.2">
      <c r="A821" s="96">
        <v>2435</v>
      </c>
      <c r="B821" s="99">
        <v>0</v>
      </c>
      <c r="C821" s="99">
        <v>0</v>
      </c>
      <c r="D821" s="99">
        <v>0</v>
      </c>
      <c r="E821" s="99">
        <v>0</v>
      </c>
      <c r="F821" s="99">
        <v>0</v>
      </c>
      <c r="G821" s="99">
        <v>0</v>
      </c>
      <c r="H821" s="99">
        <v>0</v>
      </c>
      <c r="I821" s="99" t="s">
        <v>48</v>
      </c>
      <c r="J821" s="93"/>
      <c r="K821" s="93">
        <v>2534</v>
      </c>
      <c r="L821" s="103">
        <v>0</v>
      </c>
      <c r="M821" s="103">
        <v>0</v>
      </c>
      <c r="N821" s="103">
        <v>0</v>
      </c>
      <c r="O821" s="103">
        <v>0</v>
      </c>
      <c r="P821" s="103">
        <v>0</v>
      </c>
      <c r="Q821" s="103">
        <v>0</v>
      </c>
      <c r="R821" s="103">
        <v>30</v>
      </c>
      <c r="S821" s="103" t="s">
        <v>48</v>
      </c>
      <c r="T821" s="93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CA821" s="12"/>
      <c r="CB821" s="12"/>
    </row>
    <row r="822" spans="1:80" x14ac:dyDescent="0.2">
      <c r="A822" s="96">
        <v>2436</v>
      </c>
      <c r="B822" s="99">
        <v>0</v>
      </c>
      <c r="C822" s="99">
        <v>0</v>
      </c>
      <c r="D822" s="99">
        <v>0</v>
      </c>
      <c r="E822" s="99">
        <v>0</v>
      </c>
      <c r="F822" s="99">
        <v>0</v>
      </c>
      <c r="G822" s="99">
        <v>0</v>
      </c>
      <c r="H822" s="99">
        <v>0</v>
      </c>
      <c r="I822" s="99" t="s">
        <v>48</v>
      </c>
      <c r="J822" s="93"/>
      <c r="K822" s="93">
        <v>2535</v>
      </c>
      <c r="L822" s="103">
        <v>0</v>
      </c>
      <c r="M822" s="103">
        <v>0</v>
      </c>
      <c r="N822" s="103">
        <v>0</v>
      </c>
      <c r="O822" s="103">
        <v>0</v>
      </c>
      <c r="P822" s="103">
        <v>0</v>
      </c>
      <c r="Q822" s="103">
        <v>0</v>
      </c>
      <c r="R822" s="103">
        <v>30</v>
      </c>
      <c r="S822" s="103" t="s">
        <v>48</v>
      </c>
      <c r="T822" s="93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CA822" s="12"/>
      <c r="CB822" s="12"/>
    </row>
    <row r="823" spans="1:80" x14ac:dyDescent="0.2">
      <c r="A823" s="96">
        <v>2437</v>
      </c>
      <c r="B823" s="99">
        <v>0</v>
      </c>
      <c r="C823" s="99">
        <v>0</v>
      </c>
      <c r="D823" s="99">
        <v>0</v>
      </c>
      <c r="E823" s="99">
        <v>0</v>
      </c>
      <c r="F823" s="99">
        <v>0</v>
      </c>
      <c r="G823" s="99">
        <v>0</v>
      </c>
      <c r="H823" s="99">
        <v>0</v>
      </c>
      <c r="I823" s="99" t="s">
        <v>48</v>
      </c>
      <c r="J823" s="93"/>
      <c r="K823" s="93">
        <v>2536</v>
      </c>
      <c r="L823" s="103">
        <v>0</v>
      </c>
      <c r="M823" s="103">
        <v>0</v>
      </c>
      <c r="N823" s="103">
        <v>0</v>
      </c>
      <c r="O823" s="103">
        <v>0</v>
      </c>
      <c r="P823" s="103">
        <v>0</v>
      </c>
      <c r="Q823" s="103">
        <v>0</v>
      </c>
      <c r="R823" s="103">
        <v>30</v>
      </c>
      <c r="S823" s="103" t="s">
        <v>48</v>
      </c>
      <c r="T823" s="93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CA823" s="12"/>
      <c r="CB823" s="12"/>
    </row>
    <row r="824" spans="1:80" x14ac:dyDescent="0.2">
      <c r="A824" s="96">
        <v>2438</v>
      </c>
      <c r="B824" s="99">
        <v>0</v>
      </c>
      <c r="C824" s="99">
        <v>0</v>
      </c>
      <c r="D824" s="99">
        <v>0</v>
      </c>
      <c r="E824" s="99">
        <v>0</v>
      </c>
      <c r="F824" s="99">
        <v>0</v>
      </c>
      <c r="G824" s="99">
        <v>0</v>
      </c>
      <c r="H824" s="99">
        <v>0</v>
      </c>
      <c r="I824" s="99" t="s">
        <v>48</v>
      </c>
      <c r="J824" s="93"/>
      <c r="K824" s="93">
        <v>2537</v>
      </c>
      <c r="L824" s="103">
        <v>0</v>
      </c>
      <c r="M824" s="103">
        <v>0</v>
      </c>
      <c r="N824" s="103">
        <v>0</v>
      </c>
      <c r="O824" s="103">
        <v>0</v>
      </c>
      <c r="P824" s="103">
        <v>0</v>
      </c>
      <c r="Q824" s="103">
        <v>0</v>
      </c>
      <c r="R824" s="103">
        <v>30</v>
      </c>
      <c r="S824" s="103" t="s">
        <v>48</v>
      </c>
      <c r="T824" s="93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CA824" s="12"/>
      <c r="CB824" s="12"/>
    </row>
    <row r="825" spans="1:80" x14ac:dyDescent="0.2">
      <c r="A825" s="96">
        <v>2439</v>
      </c>
      <c r="B825" s="99">
        <v>0</v>
      </c>
      <c r="C825" s="99">
        <v>0</v>
      </c>
      <c r="D825" s="99">
        <v>0</v>
      </c>
      <c r="E825" s="99">
        <v>0</v>
      </c>
      <c r="F825" s="99">
        <v>0</v>
      </c>
      <c r="G825" s="99">
        <v>0</v>
      </c>
      <c r="H825" s="99">
        <v>0</v>
      </c>
      <c r="I825" s="99" t="s">
        <v>48</v>
      </c>
      <c r="J825" s="93"/>
      <c r="K825" s="93">
        <v>2538</v>
      </c>
      <c r="L825" s="103">
        <v>0</v>
      </c>
      <c r="M825" s="103">
        <v>0</v>
      </c>
      <c r="N825" s="103">
        <v>0</v>
      </c>
      <c r="O825" s="103">
        <v>0</v>
      </c>
      <c r="P825" s="103">
        <v>0</v>
      </c>
      <c r="Q825" s="103">
        <v>0</v>
      </c>
      <c r="R825" s="103">
        <v>30</v>
      </c>
      <c r="S825" s="103" t="s">
        <v>48</v>
      </c>
      <c r="T825" s="93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CA825" s="12"/>
      <c r="CB825" s="12"/>
    </row>
    <row r="826" spans="1:80" x14ac:dyDescent="0.2">
      <c r="A826" s="96">
        <v>2440</v>
      </c>
      <c r="B826" s="99">
        <v>0</v>
      </c>
      <c r="C826" s="99">
        <v>0</v>
      </c>
      <c r="D826" s="99">
        <v>0</v>
      </c>
      <c r="E826" s="99">
        <v>0</v>
      </c>
      <c r="F826" s="99">
        <v>0</v>
      </c>
      <c r="G826" s="99">
        <v>0</v>
      </c>
      <c r="H826" s="99">
        <v>0</v>
      </c>
      <c r="I826" s="99" t="s">
        <v>48</v>
      </c>
      <c r="J826" s="93"/>
      <c r="K826" s="93">
        <v>2539</v>
      </c>
      <c r="L826" s="103">
        <v>0</v>
      </c>
      <c r="M826" s="103">
        <v>0</v>
      </c>
      <c r="N826" s="103">
        <v>0</v>
      </c>
      <c r="O826" s="103">
        <v>0</v>
      </c>
      <c r="P826" s="103">
        <v>0</v>
      </c>
      <c r="Q826" s="103">
        <v>0</v>
      </c>
      <c r="R826" s="103">
        <v>30</v>
      </c>
      <c r="S826" s="103" t="s">
        <v>48</v>
      </c>
      <c r="T826" s="93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CA826" s="12"/>
      <c r="CB826" s="12"/>
    </row>
    <row r="827" spans="1:80" x14ac:dyDescent="0.2">
      <c r="A827" s="96">
        <v>2441</v>
      </c>
      <c r="B827" s="99">
        <v>0</v>
      </c>
      <c r="C827" s="99">
        <v>0</v>
      </c>
      <c r="D827" s="99">
        <v>0</v>
      </c>
      <c r="E827" s="99">
        <v>0</v>
      </c>
      <c r="F827" s="99">
        <v>0</v>
      </c>
      <c r="G827" s="99">
        <v>0</v>
      </c>
      <c r="H827" s="99">
        <v>0</v>
      </c>
      <c r="I827" s="99" t="s">
        <v>48</v>
      </c>
      <c r="J827" s="93"/>
      <c r="K827" s="93">
        <v>2540</v>
      </c>
      <c r="L827" s="103">
        <v>0</v>
      </c>
      <c r="M827" s="103">
        <v>0</v>
      </c>
      <c r="N827" s="103">
        <v>0</v>
      </c>
      <c r="O827" s="103">
        <v>0</v>
      </c>
      <c r="P827" s="103">
        <v>0</v>
      </c>
      <c r="Q827" s="103">
        <v>0</v>
      </c>
      <c r="R827" s="103">
        <v>30</v>
      </c>
      <c r="S827" s="103" t="s">
        <v>48</v>
      </c>
      <c r="T827" s="93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CA827" s="12"/>
      <c r="CB827" s="12"/>
    </row>
    <row r="828" spans="1:80" x14ac:dyDescent="0.2">
      <c r="A828" s="96">
        <v>2442</v>
      </c>
      <c r="B828" s="99">
        <v>0</v>
      </c>
      <c r="C828" s="99">
        <v>0</v>
      </c>
      <c r="D828" s="99">
        <v>0</v>
      </c>
      <c r="E828" s="99">
        <v>0</v>
      </c>
      <c r="F828" s="99">
        <v>0</v>
      </c>
      <c r="G828" s="99">
        <v>0</v>
      </c>
      <c r="H828" s="99">
        <v>0</v>
      </c>
      <c r="I828" s="99" t="s">
        <v>48</v>
      </c>
      <c r="J828" s="93"/>
      <c r="K828" s="93">
        <v>2541</v>
      </c>
      <c r="L828" s="103">
        <v>0</v>
      </c>
      <c r="M828" s="103">
        <v>0</v>
      </c>
      <c r="N828" s="103">
        <v>0</v>
      </c>
      <c r="O828" s="103">
        <v>0</v>
      </c>
      <c r="P828" s="103">
        <v>0</v>
      </c>
      <c r="Q828" s="103">
        <v>0</v>
      </c>
      <c r="R828" s="103">
        <v>25</v>
      </c>
      <c r="S828" s="103" t="s">
        <v>48</v>
      </c>
      <c r="T828" s="93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CA828" s="12"/>
      <c r="CB828" s="12"/>
    </row>
    <row r="829" spans="1:80" x14ac:dyDescent="0.2">
      <c r="A829" s="96">
        <v>2443</v>
      </c>
      <c r="B829" s="99">
        <v>0</v>
      </c>
      <c r="C829" s="99">
        <v>0</v>
      </c>
      <c r="D829" s="99">
        <v>0</v>
      </c>
      <c r="E829" s="99">
        <v>0</v>
      </c>
      <c r="F829" s="99">
        <v>0</v>
      </c>
      <c r="G829" s="99">
        <v>0</v>
      </c>
      <c r="H829" s="99">
        <v>0</v>
      </c>
      <c r="I829" s="99" t="s">
        <v>48</v>
      </c>
      <c r="J829" s="93"/>
      <c r="K829" s="93">
        <v>2542</v>
      </c>
      <c r="L829" s="103">
        <v>0</v>
      </c>
      <c r="M829" s="103">
        <v>0</v>
      </c>
      <c r="N829" s="103">
        <v>0</v>
      </c>
      <c r="O829" s="103">
        <v>0</v>
      </c>
      <c r="P829" s="103">
        <v>0</v>
      </c>
      <c r="Q829" s="103">
        <v>0</v>
      </c>
      <c r="R829" s="103">
        <v>25</v>
      </c>
      <c r="S829" s="103" t="s">
        <v>48</v>
      </c>
      <c r="T829" s="93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CA829" s="12"/>
      <c r="CB829" s="12"/>
    </row>
    <row r="830" spans="1:80" x14ac:dyDescent="0.2">
      <c r="A830" s="96">
        <v>2444</v>
      </c>
      <c r="B830" s="99">
        <v>0</v>
      </c>
      <c r="C830" s="99">
        <v>0</v>
      </c>
      <c r="D830" s="99">
        <v>0</v>
      </c>
      <c r="E830" s="99">
        <v>0</v>
      </c>
      <c r="F830" s="99">
        <v>0</v>
      </c>
      <c r="G830" s="99">
        <v>0</v>
      </c>
      <c r="H830" s="99">
        <v>0</v>
      </c>
      <c r="I830" s="99" t="s">
        <v>48</v>
      </c>
      <c r="J830" s="93"/>
      <c r="K830" s="93">
        <v>2543</v>
      </c>
      <c r="L830" s="103">
        <v>0</v>
      </c>
      <c r="M830" s="103">
        <v>0</v>
      </c>
      <c r="N830" s="103">
        <v>0</v>
      </c>
      <c r="O830" s="103">
        <v>0</v>
      </c>
      <c r="P830" s="103">
        <v>0</v>
      </c>
      <c r="Q830" s="103">
        <v>0</v>
      </c>
      <c r="R830" s="103">
        <v>25</v>
      </c>
      <c r="S830" s="103" t="s">
        <v>48</v>
      </c>
      <c r="T830" s="93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CA830" s="12"/>
      <c r="CB830" s="12"/>
    </row>
    <row r="831" spans="1:80" x14ac:dyDescent="0.2">
      <c r="A831" s="96">
        <v>2445</v>
      </c>
      <c r="B831" s="99">
        <v>0</v>
      </c>
      <c r="C831" s="99">
        <v>0</v>
      </c>
      <c r="D831" s="99">
        <v>0</v>
      </c>
      <c r="E831" s="99">
        <v>0</v>
      </c>
      <c r="F831" s="99">
        <v>0</v>
      </c>
      <c r="G831" s="99">
        <v>0</v>
      </c>
      <c r="H831" s="99">
        <v>0</v>
      </c>
      <c r="I831" s="99" t="s">
        <v>48</v>
      </c>
      <c r="J831" s="93"/>
      <c r="K831" s="93">
        <v>2544</v>
      </c>
      <c r="L831" s="103">
        <v>0</v>
      </c>
      <c r="M831" s="103">
        <v>0</v>
      </c>
      <c r="N831" s="103">
        <v>0</v>
      </c>
      <c r="O831" s="103">
        <v>0</v>
      </c>
      <c r="P831" s="103">
        <v>0</v>
      </c>
      <c r="Q831" s="103">
        <v>0</v>
      </c>
      <c r="R831" s="103">
        <v>25</v>
      </c>
      <c r="S831" s="103" t="s">
        <v>48</v>
      </c>
      <c r="T831" s="93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CA831" s="12"/>
      <c r="CB831" s="12"/>
    </row>
    <row r="832" spans="1:80" x14ac:dyDescent="0.2">
      <c r="A832" s="96">
        <v>2446</v>
      </c>
      <c r="B832" s="99">
        <v>0</v>
      </c>
      <c r="C832" s="99">
        <v>0</v>
      </c>
      <c r="D832" s="99">
        <v>0</v>
      </c>
      <c r="E832" s="99">
        <v>0</v>
      </c>
      <c r="F832" s="99">
        <v>0</v>
      </c>
      <c r="G832" s="99">
        <v>0</v>
      </c>
      <c r="H832" s="99">
        <v>0</v>
      </c>
      <c r="I832" s="99" t="s">
        <v>48</v>
      </c>
      <c r="J832" s="93"/>
      <c r="K832" s="93">
        <v>2545</v>
      </c>
      <c r="L832" s="103">
        <v>0</v>
      </c>
      <c r="M832" s="103">
        <v>0</v>
      </c>
      <c r="N832" s="103">
        <v>0</v>
      </c>
      <c r="O832" s="103">
        <v>0</v>
      </c>
      <c r="P832" s="103">
        <v>0</v>
      </c>
      <c r="Q832" s="103">
        <v>0</v>
      </c>
      <c r="R832" s="103">
        <v>25</v>
      </c>
      <c r="S832" s="103" t="s">
        <v>48</v>
      </c>
      <c r="T832" s="93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CA832" s="12"/>
      <c r="CB832" s="12"/>
    </row>
    <row r="833" spans="1:80" x14ac:dyDescent="0.2">
      <c r="A833" s="96">
        <v>2447</v>
      </c>
      <c r="B833" s="99">
        <v>0</v>
      </c>
      <c r="C833" s="99">
        <v>0</v>
      </c>
      <c r="D833" s="99">
        <v>0</v>
      </c>
      <c r="E833" s="99">
        <v>0</v>
      </c>
      <c r="F833" s="99">
        <v>0</v>
      </c>
      <c r="G833" s="99">
        <v>0</v>
      </c>
      <c r="H833" s="99">
        <v>0</v>
      </c>
      <c r="I833" s="99" t="s">
        <v>48</v>
      </c>
      <c r="J833" s="93"/>
      <c r="K833" s="93">
        <v>2546</v>
      </c>
      <c r="L833" s="103">
        <v>0</v>
      </c>
      <c r="M833" s="103">
        <v>0</v>
      </c>
      <c r="N833" s="103">
        <v>0</v>
      </c>
      <c r="O833" s="103">
        <v>0</v>
      </c>
      <c r="P833" s="103">
        <v>0</v>
      </c>
      <c r="Q833" s="103">
        <v>0</v>
      </c>
      <c r="R833" s="103">
        <v>25</v>
      </c>
      <c r="S833" s="103" t="s">
        <v>48</v>
      </c>
      <c r="T833" s="93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CA833" s="12"/>
      <c r="CB833" s="12"/>
    </row>
    <row r="834" spans="1:80" x14ac:dyDescent="0.2">
      <c r="A834" s="96">
        <v>2448</v>
      </c>
      <c r="B834" s="99">
        <v>0</v>
      </c>
      <c r="C834" s="99">
        <v>0</v>
      </c>
      <c r="D834" s="99">
        <v>0</v>
      </c>
      <c r="E834" s="99">
        <v>0</v>
      </c>
      <c r="F834" s="99">
        <v>0</v>
      </c>
      <c r="G834" s="99">
        <v>0</v>
      </c>
      <c r="H834" s="99">
        <v>0</v>
      </c>
      <c r="I834" s="99" t="s">
        <v>48</v>
      </c>
      <c r="J834" s="93"/>
      <c r="K834" s="93">
        <v>2547</v>
      </c>
      <c r="L834" s="103">
        <v>0</v>
      </c>
      <c r="M834" s="103">
        <v>0</v>
      </c>
      <c r="N834" s="103">
        <v>0</v>
      </c>
      <c r="O834" s="103">
        <v>0</v>
      </c>
      <c r="P834" s="103">
        <v>0</v>
      </c>
      <c r="Q834" s="103">
        <v>0</v>
      </c>
      <c r="R834" s="103">
        <v>25</v>
      </c>
      <c r="S834" s="103" t="s">
        <v>48</v>
      </c>
      <c r="T834" s="93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CA834" s="12"/>
      <c r="CB834" s="12"/>
    </row>
    <row r="835" spans="1:80" x14ac:dyDescent="0.2">
      <c r="A835" s="96">
        <v>2449</v>
      </c>
      <c r="B835" s="99">
        <v>0</v>
      </c>
      <c r="C835" s="99">
        <v>0</v>
      </c>
      <c r="D835" s="99">
        <v>0</v>
      </c>
      <c r="E835" s="99">
        <v>0</v>
      </c>
      <c r="F835" s="99">
        <v>0</v>
      </c>
      <c r="G835" s="99">
        <v>0</v>
      </c>
      <c r="H835" s="99">
        <v>0</v>
      </c>
      <c r="I835" s="99" t="s">
        <v>48</v>
      </c>
      <c r="J835" s="93"/>
      <c r="K835" s="93">
        <v>2548</v>
      </c>
      <c r="L835" s="103">
        <v>0</v>
      </c>
      <c r="M835" s="103">
        <v>0</v>
      </c>
      <c r="N835" s="103">
        <v>0</v>
      </c>
      <c r="O835" s="103">
        <v>0</v>
      </c>
      <c r="P835" s="103">
        <v>0</v>
      </c>
      <c r="Q835" s="103">
        <v>0</v>
      </c>
      <c r="R835" s="103">
        <v>25</v>
      </c>
      <c r="S835" s="103" t="s">
        <v>48</v>
      </c>
      <c r="T835" s="93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CA835" s="12"/>
      <c r="CB835" s="12"/>
    </row>
    <row r="836" spans="1:80" x14ac:dyDescent="0.2">
      <c r="A836" s="96">
        <v>2450</v>
      </c>
      <c r="B836" s="99">
        <v>0</v>
      </c>
      <c r="C836" s="99">
        <v>0</v>
      </c>
      <c r="D836" s="99">
        <v>0</v>
      </c>
      <c r="E836" s="99">
        <v>0</v>
      </c>
      <c r="F836" s="99">
        <v>0</v>
      </c>
      <c r="G836" s="99">
        <v>0</v>
      </c>
      <c r="H836" s="99">
        <v>0</v>
      </c>
      <c r="I836" s="99" t="s">
        <v>48</v>
      </c>
      <c r="J836" s="93"/>
      <c r="K836" s="93">
        <v>2549</v>
      </c>
      <c r="L836" s="103">
        <v>0</v>
      </c>
      <c r="M836" s="103">
        <v>0</v>
      </c>
      <c r="N836" s="103">
        <v>0</v>
      </c>
      <c r="O836" s="103">
        <v>0</v>
      </c>
      <c r="P836" s="103">
        <v>0</v>
      </c>
      <c r="Q836" s="103">
        <v>0</v>
      </c>
      <c r="R836" s="103">
        <v>25</v>
      </c>
      <c r="S836" s="103" t="s">
        <v>48</v>
      </c>
      <c r="T836" s="93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CA836" s="12"/>
      <c r="CB836" s="12"/>
    </row>
    <row r="837" spans="1:80" x14ac:dyDescent="0.2">
      <c r="A837" s="96">
        <v>2451</v>
      </c>
      <c r="B837" s="99">
        <v>0</v>
      </c>
      <c r="C837" s="99">
        <v>0</v>
      </c>
      <c r="D837" s="99">
        <v>0</v>
      </c>
      <c r="E837" s="99">
        <v>0</v>
      </c>
      <c r="F837" s="99">
        <v>0</v>
      </c>
      <c r="G837" s="99">
        <v>0</v>
      </c>
      <c r="H837" s="99">
        <v>0</v>
      </c>
      <c r="I837" s="99" t="s">
        <v>48</v>
      </c>
      <c r="J837" s="93"/>
      <c r="K837" s="93">
        <v>2550</v>
      </c>
      <c r="L837" s="103">
        <v>0</v>
      </c>
      <c r="M837" s="103">
        <v>0</v>
      </c>
      <c r="N837" s="103">
        <v>0</v>
      </c>
      <c r="O837" s="103">
        <v>0</v>
      </c>
      <c r="P837" s="103">
        <v>0</v>
      </c>
      <c r="Q837" s="103">
        <v>0</v>
      </c>
      <c r="R837" s="103">
        <v>25</v>
      </c>
      <c r="S837" s="103" t="s">
        <v>48</v>
      </c>
      <c r="T837" s="93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CA837" s="12"/>
      <c r="CB837" s="12"/>
    </row>
    <row r="838" spans="1:80" x14ac:dyDescent="0.2">
      <c r="A838" s="96">
        <v>2452</v>
      </c>
      <c r="B838" s="99">
        <v>0</v>
      </c>
      <c r="C838" s="99">
        <v>0</v>
      </c>
      <c r="D838" s="99">
        <v>0</v>
      </c>
      <c r="E838" s="99">
        <v>0</v>
      </c>
      <c r="F838" s="99">
        <v>0</v>
      </c>
      <c r="G838" s="99">
        <v>0</v>
      </c>
      <c r="H838" s="99">
        <v>0</v>
      </c>
      <c r="I838" s="99" t="s">
        <v>48</v>
      </c>
      <c r="J838" s="93"/>
      <c r="K838" s="93">
        <v>2551</v>
      </c>
      <c r="L838" s="103">
        <v>0</v>
      </c>
      <c r="M838" s="103">
        <v>0</v>
      </c>
      <c r="N838" s="103">
        <v>0</v>
      </c>
      <c r="O838" s="103">
        <v>0</v>
      </c>
      <c r="P838" s="103">
        <v>0</v>
      </c>
      <c r="Q838" s="103">
        <v>0</v>
      </c>
      <c r="R838" s="103">
        <v>25</v>
      </c>
      <c r="S838" s="103" t="s">
        <v>48</v>
      </c>
      <c r="T838" s="93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CA838" s="12"/>
      <c r="CB838" s="12"/>
    </row>
    <row r="839" spans="1:80" x14ac:dyDescent="0.2">
      <c r="A839" s="96">
        <v>2453</v>
      </c>
      <c r="B839" s="99">
        <v>0</v>
      </c>
      <c r="C839" s="99">
        <v>0</v>
      </c>
      <c r="D839" s="99">
        <v>0</v>
      </c>
      <c r="E839" s="99">
        <v>0</v>
      </c>
      <c r="F839" s="99">
        <v>0</v>
      </c>
      <c r="G839" s="99">
        <v>0</v>
      </c>
      <c r="H839" s="99">
        <v>0</v>
      </c>
      <c r="I839" s="99" t="s">
        <v>48</v>
      </c>
      <c r="J839" s="93"/>
      <c r="K839" s="93">
        <v>2552</v>
      </c>
      <c r="L839" s="103">
        <v>0</v>
      </c>
      <c r="M839" s="103">
        <v>0</v>
      </c>
      <c r="N839" s="103">
        <v>0</v>
      </c>
      <c r="O839" s="103">
        <v>0</v>
      </c>
      <c r="P839" s="103">
        <v>0</v>
      </c>
      <c r="Q839" s="103">
        <v>0</v>
      </c>
      <c r="R839" s="103">
        <v>25</v>
      </c>
      <c r="S839" s="103" t="s">
        <v>48</v>
      </c>
      <c r="T839" s="93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CA839" s="12"/>
      <c r="CB839" s="12"/>
    </row>
    <row r="840" spans="1:80" x14ac:dyDescent="0.2">
      <c r="A840" s="96">
        <v>2454</v>
      </c>
      <c r="B840" s="99">
        <v>0</v>
      </c>
      <c r="C840" s="99">
        <v>0</v>
      </c>
      <c r="D840" s="99">
        <v>0</v>
      </c>
      <c r="E840" s="99">
        <v>0</v>
      </c>
      <c r="F840" s="99">
        <v>0</v>
      </c>
      <c r="G840" s="99">
        <v>0</v>
      </c>
      <c r="H840" s="99">
        <v>0</v>
      </c>
      <c r="I840" s="99" t="s">
        <v>48</v>
      </c>
      <c r="J840" s="93"/>
      <c r="K840" s="93">
        <v>2553</v>
      </c>
      <c r="L840" s="103">
        <v>0</v>
      </c>
      <c r="M840" s="103">
        <v>0</v>
      </c>
      <c r="N840" s="103">
        <v>0</v>
      </c>
      <c r="O840" s="103">
        <v>0</v>
      </c>
      <c r="P840" s="103">
        <v>0</v>
      </c>
      <c r="Q840" s="103">
        <v>0</v>
      </c>
      <c r="R840" s="103">
        <v>25</v>
      </c>
      <c r="S840" s="103" t="s">
        <v>48</v>
      </c>
      <c r="T840" s="93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CA840" s="12"/>
      <c r="CB840" s="12"/>
    </row>
    <row r="841" spans="1:80" x14ac:dyDescent="0.2">
      <c r="A841" s="96">
        <v>2455</v>
      </c>
      <c r="B841" s="99">
        <v>0</v>
      </c>
      <c r="C841" s="99">
        <v>0</v>
      </c>
      <c r="D841" s="99">
        <v>0</v>
      </c>
      <c r="E841" s="99">
        <v>0</v>
      </c>
      <c r="F841" s="99">
        <v>0</v>
      </c>
      <c r="G841" s="99">
        <v>0</v>
      </c>
      <c r="H841" s="99">
        <v>0</v>
      </c>
      <c r="I841" s="99" t="s">
        <v>48</v>
      </c>
      <c r="J841" s="93"/>
      <c r="K841" s="93">
        <v>2554</v>
      </c>
      <c r="L841" s="103">
        <v>0</v>
      </c>
      <c r="M841" s="103">
        <v>0</v>
      </c>
      <c r="N841" s="103">
        <v>0</v>
      </c>
      <c r="O841" s="103">
        <v>0</v>
      </c>
      <c r="P841" s="103">
        <v>0</v>
      </c>
      <c r="Q841" s="103">
        <v>0</v>
      </c>
      <c r="R841" s="103">
        <v>25</v>
      </c>
      <c r="S841" s="103" t="s">
        <v>48</v>
      </c>
      <c r="T841" s="93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CA841" s="12"/>
      <c r="CB841" s="12"/>
    </row>
    <row r="842" spans="1:80" x14ac:dyDescent="0.2">
      <c r="A842" s="96">
        <v>2456</v>
      </c>
      <c r="B842" s="99">
        <v>0</v>
      </c>
      <c r="C842" s="99">
        <v>0</v>
      </c>
      <c r="D842" s="99">
        <v>0</v>
      </c>
      <c r="E842" s="99">
        <v>0</v>
      </c>
      <c r="F842" s="99">
        <v>0</v>
      </c>
      <c r="G842" s="99">
        <v>0</v>
      </c>
      <c r="H842" s="99">
        <v>0</v>
      </c>
      <c r="I842" s="99" t="s">
        <v>48</v>
      </c>
      <c r="J842" s="93"/>
      <c r="K842" s="93">
        <v>2555</v>
      </c>
      <c r="L842" s="103">
        <v>0</v>
      </c>
      <c r="M842" s="103">
        <v>0</v>
      </c>
      <c r="N842" s="103">
        <v>0</v>
      </c>
      <c r="O842" s="103">
        <v>0</v>
      </c>
      <c r="P842" s="103">
        <v>0</v>
      </c>
      <c r="Q842" s="103">
        <v>0</v>
      </c>
      <c r="R842" s="103">
        <v>25</v>
      </c>
      <c r="S842" s="103" t="s">
        <v>48</v>
      </c>
      <c r="T842" s="93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CA842" s="12"/>
      <c r="CB842" s="12"/>
    </row>
    <row r="843" spans="1:80" x14ac:dyDescent="0.2">
      <c r="A843" s="96">
        <v>2457</v>
      </c>
      <c r="B843" s="99">
        <v>0</v>
      </c>
      <c r="C843" s="99">
        <v>0</v>
      </c>
      <c r="D843" s="99">
        <v>0</v>
      </c>
      <c r="E843" s="99">
        <v>0</v>
      </c>
      <c r="F843" s="99">
        <v>0</v>
      </c>
      <c r="G843" s="99">
        <v>0</v>
      </c>
      <c r="H843" s="99">
        <v>0</v>
      </c>
      <c r="I843" s="99" t="s">
        <v>48</v>
      </c>
      <c r="J843" s="93"/>
      <c r="K843" s="93">
        <v>2556</v>
      </c>
      <c r="L843" s="103">
        <v>0</v>
      </c>
      <c r="M843" s="103">
        <v>0</v>
      </c>
      <c r="N843" s="103">
        <v>0</v>
      </c>
      <c r="O843" s="103">
        <v>0</v>
      </c>
      <c r="P843" s="103">
        <v>0</v>
      </c>
      <c r="Q843" s="103">
        <v>0</v>
      </c>
      <c r="R843" s="103">
        <v>25</v>
      </c>
      <c r="S843" s="103" t="s">
        <v>48</v>
      </c>
      <c r="T843" s="93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CA843" s="12"/>
      <c r="CB843" s="12"/>
    </row>
    <row r="844" spans="1:80" x14ac:dyDescent="0.2">
      <c r="A844" s="96">
        <v>2458</v>
      </c>
      <c r="B844" s="99">
        <v>0</v>
      </c>
      <c r="C844" s="99">
        <v>0</v>
      </c>
      <c r="D844" s="99">
        <v>0</v>
      </c>
      <c r="E844" s="99">
        <v>0</v>
      </c>
      <c r="F844" s="99">
        <v>0</v>
      </c>
      <c r="G844" s="99">
        <v>0</v>
      </c>
      <c r="H844" s="99">
        <v>0</v>
      </c>
      <c r="I844" s="99" t="s">
        <v>48</v>
      </c>
      <c r="J844" s="93"/>
      <c r="K844" s="93">
        <v>2557</v>
      </c>
      <c r="L844" s="103">
        <v>0</v>
      </c>
      <c r="M844" s="103">
        <v>0</v>
      </c>
      <c r="N844" s="103">
        <v>0</v>
      </c>
      <c r="O844" s="103">
        <v>0</v>
      </c>
      <c r="P844" s="103">
        <v>0</v>
      </c>
      <c r="Q844" s="103">
        <v>0</v>
      </c>
      <c r="R844" s="103">
        <v>25</v>
      </c>
      <c r="S844" s="103" t="s">
        <v>48</v>
      </c>
      <c r="T844" s="93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CA844" s="12"/>
      <c r="CB844" s="12"/>
    </row>
    <row r="845" spans="1:80" x14ac:dyDescent="0.2">
      <c r="A845" s="96">
        <v>2459</v>
      </c>
      <c r="B845" s="99">
        <v>0</v>
      </c>
      <c r="C845" s="99">
        <v>0</v>
      </c>
      <c r="D845" s="99">
        <v>0</v>
      </c>
      <c r="E845" s="99">
        <v>0</v>
      </c>
      <c r="F845" s="99">
        <v>0</v>
      </c>
      <c r="G845" s="99">
        <v>0</v>
      </c>
      <c r="H845" s="99">
        <v>0</v>
      </c>
      <c r="I845" s="99" t="s">
        <v>48</v>
      </c>
      <c r="J845" s="93"/>
      <c r="K845" s="93">
        <v>2558</v>
      </c>
      <c r="L845" s="103">
        <v>0</v>
      </c>
      <c r="M845" s="103">
        <v>0</v>
      </c>
      <c r="N845" s="103">
        <v>0</v>
      </c>
      <c r="O845" s="103">
        <v>0</v>
      </c>
      <c r="P845" s="103">
        <v>0</v>
      </c>
      <c r="Q845" s="103">
        <v>0</v>
      </c>
      <c r="R845" s="103">
        <v>25</v>
      </c>
      <c r="S845" s="103" t="s">
        <v>48</v>
      </c>
      <c r="T845" s="93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CA845" s="12"/>
      <c r="CB845" s="12"/>
    </row>
    <row r="846" spans="1:80" x14ac:dyDescent="0.2">
      <c r="A846" s="96">
        <v>2500</v>
      </c>
      <c r="B846" s="99">
        <v>0</v>
      </c>
      <c r="C846" s="99">
        <v>0</v>
      </c>
      <c r="D846" s="99">
        <v>0</v>
      </c>
      <c r="E846" s="99">
        <v>0</v>
      </c>
      <c r="F846" s="99">
        <v>0</v>
      </c>
      <c r="G846" s="99">
        <v>0</v>
      </c>
      <c r="H846" s="99">
        <v>0</v>
      </c>
      <c r="I846" s="99" t="s">
        <v>48</v>
      </c>
      <c r="J846" s="93"/>
      <c r="K846" s="93">
        <v>2559</v>
      </c>
      <c r="L846" s="103">
        <v>0</v>
      </c>
      <c r="M846" s="103">
        <v>0</v>
      </c>
      <c r="N846" s="103">
        <v>0</v>
      </c>
      <c r="O846" s="103">
        <v>0</v>
      </c>
      <c r="P846" s="103">
        <v>0</v>
      </c>
      <c r="Q846" s="103">
        <v>0</v>
      </c>
      <c r="R846" s="103">
        <v>25</v>
      </c>
      <c r="S846" s="103" t="s">
        <v>48</v>
      </c>
      <c r="T846" s="93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CA846" s="12"/>
      <c r="CB846" s="12"/>
    </row>
    <row r="847" spans="1:80" x14ac:dyDescent="0.2">
      <c r="A847" s="96">
        <v>2501</v>
      </c>
      <c r="B847" s="99">
        <v>0</v>
      </c>
      <c r="C847" s="99">
        <v>0</v>
      </c>
      <c r="D847" s="99">
        <v>0</v>
      </c>
      <c r="E847" s="99">
        <v>0</v>
      </c>
      <c r="F847" s="99">
        <v>0</v>
      </c>
      <c r="G847" s="99">
        <v>0</v>
      </c>
      <c r="H847" s="99">
        <v>0</v>
      </c>
      <c r="I847" s="99" t="s">
        <v>48</v>
      </c>
      <c r="J847" s="93"/>
      <c r="K847" s="93">
        <v>2600</v>
      </c>
      <c r="L847" s="103">
        <v>0</v>
      </c>
      <c r="M847" s="103">
        <v>0</v>
      </c>
      <c r="N847" s="103">
        <v>0</v>
      </c>
      <c r="O847" s="103">
        <v>0</v>
      </c>
      <c r="P847" s="103">
        <v>0</v>
      </c>
      <c r="Q847" s="103">
        <v>0</v>
      </c>
      <c r="R847" s="103">
        <v>25</v>
      </c>
      <c r="S847" s="103" t="s">
        <v>48</v>
      </c>
      <c r="T847" s="93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CA847" s="12"/>
      <c r="CB847" s="12"/>
    </row>
    <row r="848" spans="1:80" x14ac:dyDescent="0.2">
      <c r="A848" s="96">
        <v>2502</v>
      </c>
      <c r="B848" s="99">
        <v>0</v>
      </c>
      <c r="C848" s="99">
        <v>0</v>
      </c>
      <c r="D848" s="99">
        <v>0</v>
      </c>
      <c r="E848" s="99">
        <v>0</v>
      </c>
      <c r="F848" s="99">
        <v>0</v>
      </c>
      <c r="G848" s="99">
        <v>0</v>
      </c>
      <c r="H848" s="99">
        <v>0</v>
      </c>
      <c r="I848" s="99" t="s">
        <v>48</v>
      </c>
      <c r="J848" s="93"/>
      <c r="K848" s="93">
        <v>2601</v>
      </c>
      <c r="L848" s="103">
        <v>0</v>
      </c>
      <c r="M848" s="103">
        <v>0</v>
      </c>
      <c r="N848" s="103">
        <v>0</v>
      </c>
      <c r="O848" s="103">
        <v>0</v>
      </c>
      <c r="P848" s="103">
        <v>0</v>
      </c>
      <c r="Q848" s="103">
        <v>0</v>
      </c>
      <c r="R848" s="103">
        <v>20</v>
      </c>
      <c r="S848" s="103" t="s">
        <v>48</v>
      </c>
      <c r="T848" s="93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CA848" s="12"/>
      <c r="CB848" s="12"/>
    </row>
    <row r="849" spans="1:80" x14ac:dyDescent="0.2">
      <c r="A849" s="96">
        <v>2503</v>
      </c>
      <c r="B849" s="99">
        <v>0</v>
      </c>
      <c r="C849" s="99">
        <v>0</v>
      </c>
      <c r="D849" s="99">
        <v>0</v>
      </c>
      <c r="E849" s="99">
        <v>0</v>
      </c>
      <c r="F849" s="99">
        <v>0</v>
      </c>
      <c r="G849" s="99">
        <v>0</v>
      </c>
      <c r="H849" s="99">
        <v>0</v>
      </c>
      <c r="I849" s="99" t="s">
        <v>48</v>
      </c>
      <c r="J849" s="93"/>
      <c r="K849" s="93">
        <v>2602</v>
      </c>
      <c r="L849" s="103">
        <v>0</v>
      </c>
      <c r="M849" s="103">
        <v>0</v>
      </c>
      <c r="N849" s="103">
        <v>0</v>
      </c>
      <c r="O849" s="103">
        <v>0</v>
      </c>
      <c r="P849" s="103">
        <v>0</v>
      </c>
      <c r="Q849" s="103">
        <v>0</v>
      </c>
      <c r="R849" s="103">
        <v>20</v>
      </c>
      <c r="S849" s="103" t="s">
        <v>48</v>
      </c>
      <c r="T849" s="93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CA849" s="12"/>
      <c r="CB849" s="12"/>
    </row>
    <row r="850" spans="1:80" x14ac:dyDescent="0.2">
      <c r="A850" s="96">
        <v>2504</v>
      </c>
      <c r="B850" s="99">
        <v>0</v>
      </c>
      <c r="C850" s="99">
        <v>0</v>
      </c>
      <c r="D850" s="99">
        <v>0</v>
      </c>
      <c r="E850" s="99">
        <v>0</v>
      </c>
      <c r="F850" s="99">
        <v>0</v>
      </c>
      <c r="G850" s="99">
        <v>0</v>
      </c>
      <c r="H850" s="99">
        <v>0</v>
      </c>
      <c r="I850" s="99" t="s">
        <v>48</v>
      </c>
      <c r="J850" s="93"/>
      <c r="K850" s="93">
        <v>2603</v>
      </c>
      <c r="L850" s="103">
        <v>0</v>
      </c>
      <c r="M850" s="103">
        <v>0</v>
      </c>
      <c r="N850" s="103">
        <v>0</v>
      </c>
      <c r="O850" s="103">
        <v>0</v>
      </c>
      <c r="P850" s="103">
        <v>0</v>
      </c>
      <c r="Q850" s="103">
        <v>0</v>
      </c>
      <c r="R850" s="103">
        <v>20</v>
      </c>
      <c r="S850" s="103" t="s">
        <v>48</v>
      </c>
      <c r="T850" s="93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CA850" s="12"/>
      <c r="CB850" s="12"/>
    </row>
    <row r="851" spans="1:80" x14ac:dyDescent="0.2">
      <c r="A851" s="96">
        <v>2505</v>
      </c>
      <c r="B851" s="99">
        <v>0</v>
      </c>
      <c r="C851" s="99">
        <v>0</v>
      </c>
      <c r="D851" s="99">
        <v>0</v>
      </c>
      <c r="E851" s="99">
        <v>0</v>
      </c>
      <c r="F851" s="99">
        <v>0</v>
      </c>
      <c r="G851" s="99">
        <v>0</v>
      </c>
      <c r="H851" s="99">
        <v>0</v>
      </c>
      <c r="I851" s="99" t="s">
        <v>48</v>
      </c>
      <c r="J851" s="93"/>
      <c r="K851" s="93">
        <v>2604</v>
      </c>
      <c r="L851" s="103">
        <v>0</v>
      </c>
      <c r="M851" s="103">
        <v>0</v>
      </c>
      <c r="N851" s="103">
        <v>0</v>
      </c>
      <c r="O851" s="103">
        <v>0</v>
      </c>
      <c r="P851" s="103">
        <v>0</v>
      </c>
      <c r="Q851" s="103">
        <v>0</v>
      </c>
      <c r="R851" s="103">
        <v>20</v>
      </c>
      <c r="S851" s="103" t="s">
        <v>48</v>
      </c>
      <c r="T851" s="93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CA851" s="12"/>
      <c r="CB851" s="12"/>
    </row>
    <row r="852" spans="1:80" x14ac:dyDescent="0.2">
      <c r="A852" s="96">
        <v>2506</v>
      </c>
      <c r="B852" s="99">
        <v>0</v>
      </c>
      <c r="C852" s="99">
        <v>0</v>
      </c>
      <c r="D852" s="99">
        <v>0</v>
      </c>
      <c r="E852" s="99">
        <v>0</v>
      </c>
      <c r="F852" s="99">
        <v>0</v>
      </c>
      <c r="G852" s="99">
        <v>0</v>
      </c>
      <c r="H852" s="99">
        <v>0</v>
      </c>
      <c r="I852" s="99" t="s">
        <v>48</v>
      </c>
      <c r="J852" s="93"/>
      <c r="K852" s="93">
        <v>2605</v>
      </c>
      <c r="L852" s="103">
        <v>0</v>
      </c>
      <c r="M852" s="103">
        <v>0</v>
      </c>
      <c r="N852" s="103">
        <v>0</v>
      </c>
      <c r="O852" s="103">
        <v>0</v>
      </c>
      <c r="P852" s="103">
        <v>0</v>
      </c>
      <c r="Q852" s="103">
        <v>0</v>
      </c>
      <c r="R852" s="103">
        <v>20</v>
      </c>
      <c r="S852" s="103" t="s">
        <v>48</v>
      </c>
      <c r="T852" s="93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CA852" s="12"/>
      <c r="CB852" s="12"/>
    </row>
    <row r="853" spans="1:80" x14ac:dyDescent="0.2">
      <c r="A853" s="96">
        <v>2507</v>
      </c>
      <c r="B853" s="99">
        <v>0</v>
      </c>
      <c r="C853" s="99">
        <v>0</v>
      </c>
      <c r="D853" s="99">
        <v>0</v>
      </c>
      <c r="E853" s="99">
        <v>0</v>
      </c>
      <c r="F853" s="99">
        <v>0</v>
      </c>
      <c r="G853" s="99">
        <v>0</v>
      </c>
      <c r="H853" s="99">
        <v>0</v>
      </c>
      <c r="I853" s="99" t="s">
        <v>48</v>
      </c>
      <c r="J853" s="93"/>
      <c r="K853" s="93">
        <v>2606</v>
      </c>
      <c r="L853" s="103">
        <v>0</v>
      </c>
      <c r="M853" s="103">
        <v>0</v>
      </c>
      <c r="N853" s="103">
        <v>0</v>
      </c>
      <c r="O853" s="103">
        <v>0</v>
      </c>
      <c r="P853" s="103">
        <v>0</v>
      </c>
      <c r="Q853" s="103">
        <v>0</v>
      </c>
      <c r="R853" s="103">
        <v>20</v>
      </c>
      <c r="S853" s="103" t="s">
        <v>48</v>
      </c>
      <c r="T853" s="93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CA853" s="12"/>
      <c r="CB853" s="12"/>
    </row>
    <row r="854" spans="1:80" x14ac:dyDescent="0.2">
      <c r="A854" s="96">
        <v>2508</v>
      </c>
      <c r="B854" s="99">
        <v>0</v>
      </c>
      <c r="C854" s="99">
        <v>0</v>
      </c>
      <c r="D854" s="99">
        <v>0</v>
      </c>
      <c r="E854" s="99">
        <v>0</v>
      </c>
      <c r="F854" s="99">
        <v>0</v>
      </c>
      <c r="G854" s="99">
        <v>0</v>
      </c>
      <c r="H854" s="99">
        <v>0</v>
      </c>
      <c r="I854" s="99" t="s">
        <v>48</v>
      </c>
      <c r="J854" s="93"/>
      <c r="K854" s="93">
        <v>2607</v>
      </c>
      <c r="L854" s="103">
        <v>0</v>
      </c>
      <c r="M854" s="103">
        <v>0</v>
      </c>
      <c r="N854" s="103">
        <v>0</v>
      </c>
      <c r="O854" s="103">
        <v>0</v>
      </c>
      <c r="P854" s="103">
        <v>0</v>
      </c>
      <c r="Q854" s="103">
        <v>0</v>
      </c>
      <c r="R854" s="103">
        <v>20</v>
      </c>
      <c r="S854" s="103" t="s">
        <v>48</v>
      </c>
      <c r="T854" s="93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CA854" s="12"/>
      <c r="CB854" s="12"/>
    </row>
    <row r="855" spans="1:80" x14ac:dyDescent="0.2">
      <c r="A855" s="96">
        <v>2509</v>
      </c>
      <c r="B855" s="99">
        <v>0</v>
      </c>
      <c r="C855" s="99">
        <v>0</v>
      </c>
      <c r="D855" s="99">
        <v>0</v>
      </c>
      <c r="E855" s="99">
        <v>0</v>
      </c>
      <c r="F855" s="99">
        <v>0</v>
      </c>
      <c r="G855" s="99">
        <v>0</v>
      </c>
      <c r="H855" s="99">
        <v>0</v>
      </c>
      <c r="I855" s="99" t="s">
        <v>48</v>
      </c>
      <c r="J855" s="93"/>
      <c r="K855" s="93">
        <v>2608</v>
      </c>
      <c r="L855" s="103">
        <v>0</v>
      </c>
      <c r="M855" s="103">
        <v>0</v>
      </c>
      <c r="N855" s="103">
        <v>0</v>
      </c>
      <c r="O855" s="103">
        <v>0</v>
      </c>
      <c r="P855" s="103">
        <v>0</v>
      </c>
      <c r="Q855" s="103">
        <v>0</v>
      </c>
      <c r="R855" s="103">
        <v>20</v>
      </c>
      <c r="S855" s="103" t="s">
        <v>48</v>
      </c>
      <c r="T855" s="93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CA855" s="12"/>
      <c r="CB855" s="12"/>
    </row>
    <row r="856" spans="1:80" x14ac:dyDescent="0.2">
      <c r="A856" s="96">
        <v>2510</v>
      </c>
      <c r="B856" s="99">
        <v>0</v>
      </c>
      <c r="C856" s="99">
        <v>0</v>
      </c>
      <c r="D856" s="99">
        <v>0</v>
      </c>
      <c r="E856" s="99">
        <v>0</v>
      </c>
      <c r="F856" s="99">
        <v>0</v>
      </c>
      <c r="G856" s="99">
        <v>0</v>
      </c>
      <c r="H856" s="99">
        <v>0</v>
      </c>
      <c r="I856" s="99" t="s">
        <v>48</v>
      </c>
      <c r="J856" s="93"/>
      <c r="K856" s="93">
        <v>2609</v>
      </c>
      <c r="L856" s="103">
        <v>0</v>
      </c>
      <c r="M856" s="103">
        <v>0</v>
      </c>
      <c r="N856" s="103">
        <v>0</v>
      </c>
      <c r="O856" s="103">
        <v>0</v>
      </c>
      <c r="P856" s="103">
        <v>0</v>
      </c>
      <c r="Q856" s="103">
        <v>0</v>
      </c>
      <c r="R856" s="103">
        <v>20</v>
      </c>
      <c r="S856" s="103" t="s">
        <v>48</v>
      </c>
      <c r="T856" s="93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CA856" s="12"/>
      <c r="CB856" s="12"/>
    </row>
    <row r="857" spans="1:80" x14ac:dyDescent="0.2">
      <c r="A857" s="96">
        <v>2511</v>
      </c>
      <c r="B857" s="99">
        <v>0</v>
      </c>
      <c r="C857" s="99">
        <v>0</v>
      </c>
      <c r="D857" s="99">
        <v>0</v>
      </c>
      <c r="E857" s="99">
        <v>0</v>
      </c>
      <c r="F857" s="99">
        <v>0</v>
      </c>
      <c r="G857" s="99">
        <v>0</v>
      </c>
      <c r="H857" s="99">
        <v>0</v>
      </c>
      <c r="I857" s="99" t="s">
        <v>48</v>
      </c>
      <c r="J857" s="93"/>
      <c r="K857" s="93">
        <v>2610</v>
      </c>
      <c r="L857" s="103">
        <v>0</v>
      </c>
      <c r="M857" s="103">
        <v>0</v>
      </c>
      <c r="N857" s="103">
        <v>0</v>
      </c>
      <c r="O857" s="103">
        <v>0</v>
      </c>
      <c r="P857" s="103">
        <v>0</v>
      </c>
      <c r="Q857" s="103">
        <v>0</v>
      </c>
      <c r="R857" s="103">
        <v>20</v>
      </c>
      <c r="S857" s="103" t="s">
        <v>48</v>
      </c>
      <c r="T857" s="93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CA857" s="12"/>
      <c r="CB857" s="12"/>
    </row>
    <row r="858" spans="1:80" x14ac:dyDescent="0.2">
      <c r="A858" s="96">
        <v>2512</v>
      </c>
      <c r="B858" s="99">
        <v>0</v>
      </c>
      <c r="C858" s="99">
        <v>0</v>
      </c>
      <c r="D858" s="99">
        <v>0</v>
      </c>
      <c r="E858" s="99">
        <v>0</v>
      </c>
      <c r="F858" s="99">
        <v>0</v>
      </c>
      <c r="G858" s="99">
        <v>0</v>
      </c>
      <c r="H858" s="99">
        <v>0</v>
      </c>
      <c r="I858" s="99" t="s">
        <v>48</v>
      </c>
      <c r="J858" s="93"/>
      <c r="K858" s="93">
        <v>2611</v>
      </c>
      <c r="L858" s="103">
        <v>0</v>
      </c>
      <c r="M858" s="103">
        <v>0</v>
      </c>
      <c r="N858" s="103">
        <v>0</v>
      </c>
      <c r="O858" s="103">
        <v>0</v>
      </c>
      <c r="P858" s="103">
        <v>0</v>
      </c>
      <c r="Q858" s="103">
        <v>0</v>
      </c>
      <c r="R858" s="103">
        <v>20</v>
      </c>
      <c r="S858" s="103" t="s">
        <v>48</v>
      </c>
      <c r="T858" s="93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CA858" s="12"/>
      <c r="CB858" s="12"/>
    </row>
    <row r="859" spans="1:80" x14ac:dyDescent="0.2">
      <c r="A859" s="96">
        <v>2513</v>
      </c>
      <c r="B859" s="99">
        <v>0</v>
      </c>
      <c r="C859" s="99">
        <v>0</v>
      </c>
      <c r="D859" s="99">
        <v>0</v>
      </c>
      <c r="E859" s="99">
        <v>0</v>
      </c>
      <c r="F859" s="99">
        <v>0</v>
      </c>
      <c r="G859" s="99">
        <v>0</v>
      </c>
      <c r="H859" s="99">
        <v>0</v>
      </c>
      <c r="I859" s="99" t="s">
        <v>48</v>
      </c>
      <c r="J859" s="93"/>
      <c r="K859" s="93">
        <v>2612</v>
      </c>
      <c r="L859" s="103">
        <v>0</v>
      </c>
      <c r="M859" s="103">
        <v>0</v>
      </c>
      <c r="N859" s="103">
        <v>0</v>
      </c>
      <c r="O859" s="103">
        <v>0</v>
      </c>
      <c r="P859" s="103">
        <v>0</v>
      </c>
      <c r="Q859" s="103">
        <v>0</v>
      </c>
      <c r="R859" s="103">
        <v>20</v>
      </c>
      <c r="S859" s="103" t="s">
        <v>48</v>
      </c>
      <c r="T859" s="93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CA859" s="12"/>
      <c r="CB859" s="12"/>
    </row>
    <row r="860" spans="1:80" x14ac:dyDescent="0.2">
      <c r="A860" s="96">
        <v>2514</v>
      </c>
      <c r="B860" s="99">
        <v>0</v>
      </c>
      <c r="C860" s="99">
        <v>0</v>
      </c>
      <c r="D860" s="99">
        <v>0</v>
      </c>
      <c r="E860" s="99">
        <v>0</v>
      </c>
      <c r="F860" s="99">
        <v>0</v>
      </c>
      <c r="G860" s="99">
        <v>0</v>
      </c>
      <c r="H860" s="99">
        <v>0</v>
      </c>
      <c r="I860" s="99" t="s">
        <v>48</v>
      </c>
      <c r="J860" s="93"/>
      <c r="K860" s="93">
        <v>2613</v>
      </c>
      <c r="L860" s="103">
        <v>0</v>
      </c>
      <c r="M860" s="103">
        <v>0</v>
      </c>
      <c r="N860" s="103">
        <v>0</v>
      </c>
      <c r="O860" s="103">
        <v>0</v>
      </c>
      <c r="P860" s="103">
        <v>0</v>
      </c>
      <c r="Q860" s="103">
        <v>0</v>
      </c>
      <c r="R860" s="103">
        <v>20</v>
      </c>
      <c r="S860" s="103" t="s">
        <v>48</v>
      </c>
      <c r="T860" s="93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CA860" s="12"/>
      <c r="CB860" s="12"/>
    </row>
    <row r="861" spans="1:80" x14ac:dyDescent="0.2">
      <c r="A861" s="96">
        <v>2515</v>
      </c>
      <c r="B861" s="99">
        <v>0</v>
      </c>
      <c r="C861" s="99">
        <v>0</v>
      </c>
      <c r="D861" s="99">
        <v>0</v>
      </c>
      <c r="E861" s="99">
        <v>0</v>
      </c>
      <c r="F861" s="99">
        <v>0</v>
      </c>
      <c r="G861" s="99">
        <v>0</v>
      </c>
      <c r="H861" s="99">
        <v>0</v>
      </c>
      <c r="I861" s="99" t="s">
        <v>48</v>
      </c>
      <c r="J861" s="93"/>
      <c r="K861" s="93">
        <v>2614</v>
      </c>
      <c r="L861" s="103">
        <v>0</v>
      </c>
      <c r="M861" s="103">
        <v>0</v>
      </c>
      <c r="N861" s="103">
        <v>0</v>
      </c>
      <c r="O861" s="103">
        <v>0</v>
      </c>
      <c r="P861" s="103">
        <v>0</v>
      </c>
      <c r="Q861" s="103">
        <v>0</v>
      </c>
      <c r="R861" s="103">
        <v>20</v>
      </c>
      <c r="S861" s="103" t="s">
        <v>48</v>
      </c>
      <c r="T861" s="93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CA861" s="12"/>
      <c r="CB861" s="12"/>
    </row>
    <row r="862" spans="1:80" x14ac:dyDescent="0.2">
      <c r="A862" s="96">
        <v>2516</v>
      </c>
      <c r="B862" s="99">
        <v>0</v>
      </c>
      <c r="C862" s="99">
        <v>0</v>
      </c>
      <c r="D862" s="99">
        <v>0</v>
      </c>
      <c r="E862" s="99">
        <v>0</v>
      </c>
      <c r="F862" s="99">
        <v>0</v>
      </c>
      <c r="G862" s="99">
        <v>0</v>
      </c>
      <c r="H862" s="99">
        <v>0</v>
      </c>
      <c r="I862" s="99" t="s">
        <v>48</v>
      </c>
      <c r="J862" s="93"/>
      <c r="K862" s="93">
        <v>2615</v>
      </c>
      <c r="L862" s="103">
        <v>0</v>
      </c>
      <c r="M862" s="103">
        <v>0</v>
      </c>
      <c r="N862" s="103">
        <v>0</v>
      </c>
      <c r="O862" s="103">
        <v>0</v>
      </c>
      <c r="P862" s="103">
        <v>0</v>
      </c>
      <c r="Q862" s="103">
        <v>0</v>
      </c>
      <c r="R862" s="103">
        <v>20</v>
      </c>
      <c r="S862" s="103" t="s">
        <v>48</v>
      </c>
      <c r="T862" s="93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CA862" s="12"/>
      <c r="CB862" s="12"/>
    </row>
    <row r="863" spans="1:80" x14ac:dyDescent="0.2">
      <c r="A863" s="96">
        <v>2517</v>
      </c>
      <c r="B863" s="99">
        <v>0</v>
      </c>
      <c r="C863" s="99">
        <v>0</v>
      </c>
      <c r="D863" s="99">
        <v>0</v>
      </c>
      <c r="E863" s="99">
        <v>0</v>
      </c>
      <c r="F863" s="99">
        <v>0</v>
      </c>
      <c r="G863" s="99">
        <v>0</v>
      </c>
      <c r="H863" s="99">
        <v>0</v>
      </c>
      <c r="I863" s="99" t="s">
        <v>48</v>
      </c>
      <c r="J863" s="93"/>
      <c r="K863" s="93">
        <v>2616</v>
      </c>
      <c r="L863" s="103">
        <v>0</v>
      </c>
      <c r="M863" s="103">
        <v>0</v>
      </c>
      <c r="N863" s="103">
        <v>0</v>
      </c>
      <c r="O863" s="103">
        <v>0</v>
      </c>
      <c r="P863" s="103">
        <v>0</v>
      </c>
      <c r="Q863" s="103">
        <v>0</v>
      </c>
      <c r="R863" s="103">
        <v>20</v>
      </c>
      <c r="S863" s="103" t="s">
        <v>48</v>
      </c>
      <c r="T863" s="93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CA863" s="12"/>
      <c r="CB863" s="12"/>
    </row>
    <row r="864" spans="1:80" x14ac:dyDescent="0.2">
      <c r="A864" s="96">
        <v>2518</v>
      </c>
      <c r="B864" s="99">
        <v>0</v>
      </c>
      <c r="C864" s="99">
        <v>0</v>
      </c>
      <c r="D864" s="99">
        <v>0</v>
      </c>
      <c r="E864" s="99">
        <v>0</v>
      </c>
      <c r="F864" s="99">
        <v>0</v>
      </c>
      <c r="G864" s="99">
        <v>0</v>
      </c>
      <c r="H864" s="99">
        <v>0</v>
      </c>
      <c r="I864" s="99" t="s">
        <v>48</v>
      </c>
      <c r="J864" s="93"/>
      <c r="K864" s="93">
        <v>2617</v>
      </c>
      <c r="L864" s="103">
        <v>0</v>
      </c>
      <c r="M864" s="103">
        <v>0</v>
      </c>
      <c r="N864" s="103">
        <v>0</v>
      </c>
      <c r="O864" s="103">
        <v>0</v>
      </c>
      <c r="P864" s="103">
        <v>0</v>
      </c>
      <c r="Q864" s="103">
        <v>0</v>
      </c>
      <c r="R864" s="103">
        <v>20</v>
      </c>
      <c r="S864" s="103" t="s">
        <v>48</v>
      </c>
      <c r="T864" s="93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CA864" s="12"/>
      <c r="CB864" s="12"/>
    </row>
    <row r="865" spans="1:80" x14ac:dyDescent="0.2">
      <c r="A865" s="96">
        <v>2519</v>
      </c>
      <c r="B865" s="99">
        <v>0</v>
      </c>
      <c r="C865" s="99">
        <v>0</v>
      </c>
      <c r="D865" s="99">
        <v>0</v>
      </c>
      <c r="E865" s="99">
        <v>0</v>
      </c>
      <c r="F865" s="99">
        <v>0</v>
      </c>
      <c r="G865" s="99">
        <v>0</v>
      </c>
      <c r="H865" s="99">
        <v>0</v>
      </c>
      <c r="I865" s="99" t="s">
        <v>48</v>
      </c>
      <c r="J865" s="93"/>
      <c r="K865" s="93">
        <v>2618</v>
      </c>
      <c r="L865" s="103">
        <v>0</v>
      </c>
      <c r="M865" s="103">
        <v>0</v>
      </c>
      <c r="N865" s="103">
        <v>0</v>
      </c>
      <c r="O865" s="103">
        <v>0</v>
      </c>
      <c r="P865" s="103">
        <v>0</v>
      </c>
      <c r="Q865" s="103">
        <v>0</v>
      </c>
      <c r="R865" s="103">
        <v>20</v>
      </c>
      <c r="S865" s="103" t="s">
        <v>48</v>
      </c>
      <c r="T865" s="93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CA865" s="12"/>
      <c r="CB865" s="12"/>
    </row>
    <row r="866" spans="1:80" x14ac:dyDescent="0.2">
      <c r="A866" s="96">
        <v>2520</v>
      </c>
      <c r="B866" s="99">
        <v>0</v>
      </c>
      <c r="C866" s="99">
        <v>0</v>
      </c>
      <c r="D866" s="99">
        <v>0</v>
      </c>
      <c r="E866" s="99">
        <v>0</v>
      </c>
      <c r="F866" s="99">
        <v>0</v>
      </c>
      <c r="G866" s="99">
        <v>0</v>
      </c>
      <c r="H866" s="99">
        <v>0</v>
      </c>
      <c r="I866" s="99" t="s">
        <v>48</v>
      </c>
      <c r="J866" s="93"/>
      <c r="K866" s="93">
        <v>2619</v>
      </c>
      <c r="L866" s="103">
        <v>0</v>
      </c>
      <c r="M866" s="103">
        <v>0</v>
      </c>
      <c r="N866" s="103">
        <v>0</v>
      </c>
      <c r="O866" s="103">
        <v>0</v>
      </c>
      <c r="P866" s="103">
        <v>0</v>
      </c>
      <c r="Q866" s="103">
        <v>0</v>
      </c>
      <c r="R866" s="103">
        <v>20</v>
      </c>
      <c r="S866" s="103" t="s">
        <v>48</v>
      </c>
      <c r="T866" s="93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CA866" s="12"/>
      <c r="CB866" s="12"/>
    </row>
    <row r="867" spans="1:80" x14ac:dyDescent="0.2">
      <c r="A867" s="96">
        <v>2521</v>
      </c>
      <c r="B867" s="99">
        <v>0</v>
      </c>
      <c r="C867" s="99">
        <v>0</v>
      </c>
      <c r="D867" s="99">
        <v>0</v>
      </c>
      <c r="E867" s="99">
        <v>0</v>
      </c>
      <c r="F867" s="99">
        <v>0</v>
      </c>
      <c r="G867" s="99">
        <v>0</v>
      </c>
      <c r="H867" s="99">
        <v>0</v>
      </c>
      <c r="I867" s="99" t="s">
        <v>48</v>
      </c>
      <c r="J867" s="93"/>
      <c r="K867" s="93">
        <v>2620</v>
      </c>
      <c r="L867" s="103">
        <v>0</v>
      </c>
      <c r="M867" s="103">
        <v>0</v>
      </c>
      <c r="N867" s="103">
        <v>0</v>
      </c>
      <c r="O867" s="103">
        <v>0</v>
      </c>
      <c r="P867" s="103">
        <v>0</v>
      </c>
      <c r="Q867" s="103">
        <v>0</v>
      </c>
      <c r="R867" s="103">
        <v>20</v>
      </c>
      <c r="S867" s="103" t="s">
        <v>48</v>
      </c>
      <c r="T867" s="93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CA867" s="12"/>
      <c r="CB867" s="12"/>
    </row>
    <row r="868" spans="1:80" x14ac:dyDescent="0.2">
      <c r="A868" s="96">
        <v>2522</v>
      </c>
      <c r="B868" s="99">
        <v>0</v>
      </c>
      <c r="C868" s="99">
        <v>0</v>
      </c>
      <c r="D868" s="99">
        <v>0</v>
      </c>
      <c r="E868" s="99">
        <v>0</v>
      </c>
      <c r="F868" s="99">
        <v>0</v>
      </c>
      <c r="G868" s="99">
        <v>0</v>
      </c>
      <c r="H868" s="99">
        <v>0</v>
      </c>
      <c r="I868" s="99" t="s">
        <v>48</v>
      </c>
      <c r="J868" s="93"/>
      <c r="K868" s="93">
        <v>2621</v>
      </c>
      <c r="L868" s="103">
        <v>0</v>
      </c>
      <c r="M868" s="103">
        <v>0</v>
      </c>
      <c r="N868" s="103">
        <v>0</v>
      </c>
      <c r="O868" s="103">
        <v>0</v>
      </c>
      <c r="P868" s="103">
        <v>0</v>
      </c>
      <c r="Q868" s="103">
        <v>0</v>
      </c>
      <c r="R868" s="103">
        <v>15</v>
      </c>
      <c r="S868" s="103" t="s">
        <v>48</v>
      </c>
      <c r="T868" s="93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CA868" s="12"/>
      <c r="CB868" s="12"/>
    </row>
    <row r="869" spans="1:80" x14ac:dyDescent="0.2">
      <c r="A869" s="96">
        <v>2523</v>
      </c>
      <c r="B869" s="99">
        <v>0</v>
      </c>
      <c r="C869" s="99">
        <v>0</v>
      </c>
      <c r="D869" s="99">
        <v>0</v>
      </c>
      <c r="E869" s="99">
        <v>0</v>
      </c>
      <c r="F869" s="99">
        <v>0</v>
      </c>
      <c r="G869" s="99">
        <v>0</v>
      </c>
      <c r="H869" s="99">
        <v>0</v>
      </c>
      <c r="I869" s="99" t="s">
        <v>48</v>
      </c>
      <c r="J869" s="93"/>
      <c r="K869" s="93">
        <v>2622</v>
      </c>
      <c r="L869" s="103">
        <v>0</v>
      </c>
      <c r="M869" s="103">
        <v>0</v>
      </c>
      <c r="N869" s="103">
        <v>0</v>
      </c>
      <c r="O869" s="103">
        <v>0</v>
      </c>
      <c r="P869" s="103">
        <v>0</v>
      </c>
      <c r="Q869" s="103">
        <v>0</v>
      </c>
      <c r="R869" s="103">
        <v>15</v>
      </c>
      <c r="S869" s="103" t="s">
        <v>48</v>
      </c>
      <c r="T869" s="93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CA869" s="12"/>
      <c r="CB869" s="12"/>
    </row>
    <row r="870" spans="1:80" x14ac:dyDescent="0.2">
      <c r="A870" s="96">
        <v>2524</v>
      </c>
      <c r="B870" s="99">
        <v>0</v>
      </c>
      <c r="C870" s="99">
        <v>0</v>
      </c>
      <c r="D870" s="99">
        <v>0</v>
      </c>
      <c r="E870" s="99">
        <v>0</v>
      </c>
      <c r="F870" s="99">
        <v>0</v>
      </c>
      <c r="G870" s="99">
        <v>0</v>
      </c>
      <c r="H870" s="99">
        <v>0</v>
      </c>
      <c r="I870" s="99" t="s">
        <v>48</v>
      </c>
      <c r="J870" s="93"/>
      <c r="K870" s="93">
        <v>2623</v>
      </c>
      <c r="L870" s="103">
        <v>0</v>
      </c>
      <c r="M870" s="103">
        <v>0</v>
      </c>
      <c r="N870" s="103">
        <v>0</v>
      </c>
      <c r="O870" s="103">
        <v>0</v>
      </c>
      <c r="P870" s="103">
        <v>0</v>
      </c>
      <c r="Q870" s="103">
        <v>0</v>
      </c>
      <c r="R870" s="103">
        <v>15</v>
      </c>
      <c r="S870" s="103" t="s">
        <v>48</v>
      </c>
      <c r="T870" s="93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CA870" s="12"/>
      <c r="CB870" s="12"/>
    </row>
    <row r="871" spans="1:80" x14ac:dyDescent="0.2">
      <c r="A871" s="96">
        <v>2525</v>
      </c>
      <c r="B871" s="99">
        <v>0</v>
      </c>
      <c r="C871" s="99">
        <v>0</v>
      </c>
      <c r="D871" s="99">
        <v>0</v>
      </c>
      <c r="E871" s="99">
        <v>0</v>
      </c>
      <c r="F871" s="99">
        <v>0</v>
      </c>
      <c r="G871" s="99">
        <v>0</v>
      </c>
      <c r="H871" s="99">
        <v>0</v>
      </c>
      <c r="I871" s="99" t="s">
        <v>48</v>
      </c>
      <c r="J871" s="93"/>
      <c r="K871" s="93">
        <v>2624</v>
      </c>
      <c r="L871" s="103">
        <v>0</v>
      </c>
      <c r="M871" s="103">
        <v>0</v>
      </c>
      <c r="N871" s="103">
        <v>0</v>
      </c>
      <c r="O871" s="103">
        <v>0</v>
      </c>
      <c r="P871" s="103">
        <v>0</v>
      </c>
      <c r="Q871" s="103">
        <v>0</v>
      </c>
      <c r="R871" s="103">
        <v>15</v>
      </c>
      <c r="S871" s="103" t="s">
        <v>48</v>
      </c>
      <c r="T871" s="93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CA871" s="12"/>
      <c r="CB871" s="12"/>
    </row>
    <row r="872" spans="1:80" x14ac:dyDescent="0.2">
      <c r="A872" s="96">
        <v>2526</v>
      </c>
      <c r="B872" s="99">
        <v>0</v>
      </c>
      <c r="C872" s="99">
        <v>0</v>
      </c>
      <c r="D872" s="99">
        <v>0</v>
      </c>
      <c r="E872" s="99">
        <v>0</v>
      </c>
      <c r="F872" s="99">
        <v>0</v>
      </c>
      <c r="G872" s="99">
        <v>0</v>
      </c>
      <c r="H872" s="99">
        <v>0</v>
      </c>
      <c r="I872" s="99" t="s">
        <v>48</v>
      </c>
      <c r="J872" s="93"/>
      <c r="K872" s="93">
        <v>2625</v>
      </c>
      <c r="L872" s="103">
        <v>0</v>
      </c>
      <c r="M872" s="103">
        <v>0</v>
      </c>
      <c r="N872" s="103">
        <v>0</v>
      </c>
      <c r="O872" s="103">
        <v>0</v>
      </c>
      <c r="P872" s="103">
        <v>0</v>
      </c>
      <c r="Q872" s="103">
        <v>0</v>
      </c>
      <c r="R872" s="103">
        <v>15</v>
      </c>
      <c r="S872" s="103" t="s">
        <v>48</v>
      </c>
      <c r="T872" s="93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CA872" s="12"/>
      <c r="CB872" s="12"/>
    </row>
    <row r="873" spans="1:80" x14ac:dyDescent="0.2">
      <c r="A873" s="96">
        <v>2527</v>
      </c>
      <c r="B873" s="99">
        <v>0</v>
      </c>
      <c r="C873" s="99">
        <v>0</v>
      </c>
      <c r="D873" s="99">
        <v>0</v>
      </c>
      <c r="E873" s="99">
        <v>0</v>
      </c>
      <c r="F873" s="99">
        <v>0</v>
      </c>
      <c r="G873" s="99">
        <v>0</v>
      </c>
      <c r="H873" s="99">
        <v>0</v>
      </c>
      <c r="I873" s="99" t="s">
        <v>48</v>
      </c>
      <c r="J873" s="93"/>
      <c r="K873" s="93">
        <v>2626</v>
      </c>
      <c r="L873" s="103">
        <v>0</v>
      </c>
      <c r="M873" s="103">
        <v>0</v>
      </c>
      <c r="N873" s="103">
        <v>0</v>
      </c>
      <c r="O873" s="103">
        <v>0</v>
      </c>
      <c r="P873" s="103">
        <v>0</v>
      </c>
      <c r="Q873" s="103">
        <v>0</v>
      </c>
      <c r="R873" s="103">
        <v>15</v>
      </c>
      <c r="S873" s="103" t="s">
        <v>48</v>
      </c>
      <c r="T873" s="93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CA873" s="12"/>
      <c r="CB873" s="12"/>
    </row>
    <row r="874" spans="1:80" x14ac:dyDescent="0.2">
      <c r="A874" s="96">
        <v>2528</v>
      </c>
      <c r="B874" s="99">
        <v>0</v>
      </c>
      <c r="C874" s="99">
        <v>0</v>
      </c>
      <c r="D874" s="99">
        <v>0</v>
      </c>
      <c r="E874" s="99">
        <v>0</v>
      </c>
      <c r="F874" s="99">
        <v>0</v>
      </c>
      <c r="G874" s="99">
        <v>0</v>
      </c>
      <c r="H874" s="99">
        <v>0</v>
      </c>
      <c r="I874" s="99" t="s">
        <v>48</v>
      </c>
      <c r="J874" s="93"/>
      <c r="K874" s="93">
        <v>2627</v>
      </c>
      <c r="L874" s="103">
        <v>0</v>
      </c>
      <c r="M874" s="103">
        <v>0</v>
      </c>
      <c r="N874" s="103">
        <v>0</v>
      </c>
      <c r="O874" s="103">
        <v>0</v>
      </c>
      <c r="P874" s="103">
        <v>0</v>
      </c>
      <c r="Q874" s="103">
        <v>0</v>
      </c>
      <c r="R874" s="103">
        <v>15</v>
      </c>
      <c r="S874" s="103" t="s">
        <v>48</v>
      </c>
      <c r="T874" s="93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CA874" s="12"/>
      <c r="CB874" s="12"/>
    </row>
    <row r="875" spans="1:80" x14ac:dyDescent="0.2">
      <c r="A875" s="96">
        <v>2529</v>
      </c>
      <c r="B875" s="99">
        <v>0</v>
      </c>
      <c r="C875" s="99">
        <v>0</v>
      </c>
      <c r="D875" s="99">
        <v>0</v>
      </c>
      <c r="E875" s="99">
        <v>0</v>
      </c>
      <c r="F875" s="99">
        <v>0</v>
      </c>
      <c r="G875" s="99">
        <v>0</v>
      </c>
      <c r="H875" s="99">
        <v>0</v>
      </c>
      <c r="I875" s="99" t="s">
        <v>48</v>
      </c>
      <c r="J875" s="93"/>
      <c r="K875" s="93">
        <v>2628</v>
      </c>
      <c r="L875" s="103">
        <v>0</v>
      </c>
      <c r="M875" s="103">
        <v>0</v>
      </c>
      <c r="N875" s="103">
        <v>0</v>
      </c>
      <c r="O875" s="103">
        <v>0</v>
      </c>
      <c r="P875" s="103">
        <v>0</v>
      </c>
      <c r="Q875" s="103">
        <v>0</v>
      </c>
      <c r="R875" s="103">
        <v>15</v>
      </c>
      <c r="S875" s="103" t="s">
        <v>48</v>
      </c>
      <c r="T875" s="93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CA875" s="12"/>
      <c r="CB875" s="12"/>
    </row>
    <row r="876" spans="1:80" x14ac:dyDescent="0.2">
      <c r="A876" s="96">
        <v>2530</v>
      </c>
      <c r="B876" s="99">
        <v>0</v>
      </c>
      <c r="C876" s="99">
        <v>0</v>
      </c>
      <c r="D876" s="99">
        <v>0</v>
      </c>
      <c r="E876" s="99">
        <v>0</v>
      </c>
      <c r="F876" s="99">
        <v>0</v>
      </c>
      <c r="G876" s="99">
        <v>0</v>
      </c>
      <c r="H876" s="99">
        <v>0</v>
      </c>
      <c r="I876" s="99" t="s">
        <v>48</v>
      </c>
      <c r="J876" s="93"/>
      <c r="K876" s="93">
        <v>2629</v>
      </c>
      <c r="L876" s="103">
        <v>0</v>
      </c>
      <c r="M876" s="103">
        <v>0</v>
      </c>
      <c r="N876" s="103">
        <v>0</v>
      </c>
      <c r="O876" s="103">
        <v>0</v>
      </c>
      <c r="P876" s="103">
        <v>0</v>
      </c>
      <c r="Q876" s="103">
        <v>0</v>
      </c>
      <c r="R876" s="103">
        <v>15</v>
      </c>
      <c r="S876" s="103" t="s">
        <v>48</v>
      </c>
      <c r="T876" s="93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CA876" s="12"/>
      <c r="CB876" s="12"/>
    </row>
    <row r="877" spans="1:80" x14ac:dyDescent="0.2">
      <c r="A877" s="96">
        <v>2531</v>
      </c>
      <c r="B877" s="99">
        <v>0</v>
      </c>
      <c r="C877" s="99">
        <v>0</v>
      </c>
      <c r="D877" s="99">
        <v>0</v>
      </c>
      <c r="E877" s="99">
        <v>0</v>
      </c>
      <c r="F877" s="99">
        <v>0</v>
      </c>
      <c r="G877" s="99">
        <v>0</v>
      </c>
      <c r="H877" s="99">
        <v>0</v>
      </c>
      <c r="I877" s="99" t="s">
        <v>48</v>
      </c>
      <c r="J877" s="93"/>
      <c r="K877" s="93">
        <v>2630</v>
      </c>
      <c r="L877" s="103">
        <v>0</v>
      </c>
      <c r="M877" s="103">
        <v>0</v>
      </c>
      <c r="N877" s="103">
        <v>0</v>
      </c>
      <c r="O877" s="103">
        <v>0</v>
      </c>
      <c r="P877" s="103">
        <v>0</v>
      </c>
      <c r="Q877" s="103">
        <v>0</v>
      </c>
      <c r="R877" s="103">
        <v>15</v>
      </c>
      <c r="S877" s="103" t="s">
        <v>48</v>
      </c>
      <c r="T877" s="93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CA877" s="12"/>
      <c r="CB877" s="12"/>
    </row>
    <row r="878" spans="1:80" x14ac:dyDescent="0.2">
      <c r="A878" s="96">
        <v>2532</v>
      </c>
      <c r="B878" s="99">
        <v>0</v>
      </c>
      <c r="C878" s="99">
        <v>0</v>
      </c>
      <c r="D878" s="99">
        <v>0</v>
      </c>
      <c r="E878" s="99">
        <v>0</v>
      </c>
      <c r="F878" s="99">
        <v>0</v>
      </c>
      <c r="G878" s="99">
        <v>0</v>
      </c>
      <c r="H878" s="99">
        <v>0</v>
      </c>
      <c r="I878" s="99" t="s">
        <v>48</v>
      </c>
      <c r="J878" s="93"/>
      <c r="K878" s="93">
        <v>2631</v>
      </c>
      <c r="L878" s="103">
        <v>0</v>
      </c>
      <c r="M878" s="103">
        <v>0</v>
      </c>
      <c r="N878" s="103">
        <v>0</v>
      </c>
      <c r="O878" s="103">
        <v>0</v>
      </c>
      <c r="P878" s="103">
        <v>0</v>
      </c>
      <c r="Q878" s="103">
        <v>0</v>
      </c>
      <c r="R878" s="103">
        <v>15</v>
      </c>
      <c r="S878" s="103" t="s">
        <v>48</v>
      </c>
      <c r="T878" s="93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CA878" s="12"/>
      <c r="CB878" s="12"/>
    </row>
    <row r="879" spans="1:80" x14ac:dyDescent="0.2">
      <c r="A879" s="96">
        <v>2533</v>
      </c>
      <c r="B879" s="99">
        <v>0</v>
      </c>
      <c r="C879" s="99">
        <v>0</v>
      </c>
      <c r="D879" s="99">
        <v>0</v>
      </c>
      <c r="E879" s="99">
        <v>0</v>
      </c>
      <c r="F879" s="99">
        <v>0</v>
      </c>
      <c r="G879" s="99">
        <v>0</v>
      </c>
      <c r="H879" s="99">
        <v>0</v>
      </c>
      <c r="I879" s="99" t="s">
        <v>48</v>
      </c>
      <c r="J879" s="93"/>
      <c r="K879" s="93">
        <v>2632</v>
      </c>
      <c r="L879" s="103">
        <v>0</v>
      </c>
      <c r="M879" s="103">
        <v>0</v>
      </c>
      <c r="N879" s="103">
        <v>0</v>
      </c>
      <c r="O879" s="103">
        <v>0</v>
      </c>
      <c r="P879" s="103">
        <v>0</v>
      </c>
      <c r="Q879" s="103">
        <v>0</v>
      </c>
      <c r="R879" s="103">
        <v>15</v>
      </c>
      <c r="S879" s="103" t="s">
        <v>48</v>
      </c>
      <c r="T879" s="93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CA879" s="12"/>
      <c r="CB879" s="12"/>
    </row>
    <row r="880" spans="1:80" x14ac:dyDescent="0.2">
      <c r="A880" s="96">
        <v>2534</v>
      </c>
      <c r="B880" s="99">
        <v>0</v>
      </c>
      <c r="C880" s="99">
        <v>0</v>
      </c>
      <c r="D880" s="99">
        <v>0</v>
      </c>
      <c r="E880" s="99">
        <v>0</v>
      </c>
      <c r="F880" s="99">
        <v>0</v>
      </c>
      <c r="G880" s="99">
        <v>0</v>
      </c>
      <c r="H880" s="99">
        <v>0</v>
      </c>
      <c r="I880" s="99" t="s">
        <v>48</v>
      </c>
      <c r="J880" s="93"/>
      <c r="K880" s="93">
        <v>2633</v>
      </c>
      <c r="L880" s="103">
        <v>0</v>
      </c>
      <c r="M880" s="103">
        <v>0</v>
      </c>
      <c r="N880" s="103">
        <v>0</v>
      </c>
      <c r="O880" s="103">
        <v>0</v>
      </c>
      <c r="P880" s="103">
        <v>0</v>
      </c>
      <c r="Q880" s="103">
        <v>0</v>
      </c>
      <c r="R880" s="103">
        <v>15</v>
      </c>
      <c r="S880" s="103" t="s">
        <v>48</v>
      </c>
      <c r="T880" s="93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CA880" s="12"/>
      <c r="CB880" s="12"/>
    </row>
    <row r="881" spans="1:80" x14ac:dyDescent="0.2">
      <c r="A881" s="96">
        <v>2535</v>
      </c>
      <c r="B881" s="99">
        <v>0</v>
      </c>
      <c r="C881" s="99">
        <v>0</v>
      </c>
      <c r="D881" s="99">
        <v>0</v>
      </c>
      <c r="E881" s="99">
        <v>0</v>
      </c>
      <c r="F881" s="99">
        <v>0</v>
      </c>
      <c r="G881" s="99">
        <v>0</v>
      </c>
      <c r="H881" s="99">
        <v>0</v>
      </c>
      <c r="I881" s="99" t="s">
        <v>48</v>
      </c>
      <c r="J881" s="93"/>
      <c r="K881" s="93">
        <v>2634</v>
      </c>
      <c r="L881" s="103">
        <v>0</v>
      </c>
      <c r="M881" s="103">
        <v>0</v>
      </c>
      <c r="N881" s="103">
        <v>0</v>
      </c>
      <c r="O881" s="103">
        <v>0</v>
      </c>
      <c r="P881" s="103">
        <v>0</v>
      </c>
      <c r="Q881" s="103">
        <v>0</v>
      </c>
      <c r="R881" s="103">
        <v>15</v>
      </c>
      <c r="S881" s="103" t="s">
        <v>48</v>
      </c>
      <c r="T881" s="93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CA881" s="12"/>
      <c r="CB881" s="12"/>
    </row>
    <row r="882" spans="1:80" x14ac:dyDescent="0.2">
      <c r="A882" s="96">
        <v>2536</v>
      </c>
      <c r="B882" s="99">
        <v>0</v>
      </c>
      <c r="C882" s="99">
        <v>0</v>
      </c>
      <c r="D882" s="99">
        <v>0</v>
      </c>
      <c r="E882" s="99">
        <v>0</v>
      </c>
      <c r="F882" s="99">
        <v>0</v>
      </c>
      <c r="G882" s="99">
        <v>0</v>
      </c>
      <c r="H882" s="99">
        <v>0</v>
      </c>
      <c r="I882" s="99" t="s">
        <v>48</v>
      </c>
      <c r="J882" s="93"/>
      <c r="K882" s="93">
        <v>2635</v>
      </c>
      <c r="L882" s="103">
        <v>0</v>
      </c>
      <c r="M882" s="103">
        <v>0</v>
      </c>
      <c r="N882" s="103">
        <v>0</v>
      </c>
      <c r="O882" s="103">
        <v>0</v>
      </c>
      <c r="P882" s="103">
        <v>0</v>
      </c>
      <c r="Q882" s="103">
        <v>0</v>
      </c>
      <c r="R882" s="103">
        <v>15</v>
      </c>
      <c r="S882" s="103" t="s">
        <v>48</v>
      </c>
      <c r="T882" s="93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CA882" s="12"/>
      <c r="CB882" s="12"/>
    </row>
    <row r="883" spans="1:80" x14ac:dyDescent="0.2">
      <c r="A883" s="96">
        <v>2537</v>
      </c>
      <c r="B883" s="99">
        <v>0</v>
      </c>
      <c r="C883" s="99">
        <v>0</v>
      </c>
      <c r="D883" s="99">
        <v>0</v>
      </c>
      <c r="E883" s="99">
        <v>0</v>
      </c>
      <c r="F883" s="99">
        <v>0</v>
      </c>
      <c r="G883" s="99">
        <v>0</v>
      </c>
      <c r="H883" s="99">
        <v>0</v>
      </c>
      <c r="I883" s="99" t="s">
        <v>48</v>
      </c>
      <c r="J883" s="93"/>
      <c r="K883" s="93">
        <v>2636</v>
      </c>
      <c r="L883" s="103">
        <v>0</v>
      </c>
      <c r="M883" s="103">
        <v>0</v>
      </c>
      <c r="N883" s="103">
        <v>0</v>
      </c>
      <c r="O883" s="103">
        <v>0</v>
      </c>
      <c r="P883" s="103">
        <v>0</v>
      </c>
      <c r="Q883" s="103">
        <v>0</v>
      </c>
      <c r="R883" s="103">
        <v>15</v>
      </c>
      <c r="S883" s="103" t="s">
        <v>48</v>
      </c>
      <c r="T883" s="93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CA883" s="12"/>
      <c r="CB883" s="12"/>
    </row>
    <row r="884" spans="1:80" x14ac:dyDescent="0.2">
      <c r="A884" s="96">
        <v>2538</v>
      </c>
      <c r="B884" s="99">
        <v>0</v>
      </c>
      <c r="C884" s="99">
        <v>0</v>
      </c>
      <c r="D884" s="99">
        <v>0</v>
      </c>
      <c r="E884" s="99">
        <v>0</v>
      </c>
      <c r="F884" s="99">
        <v>0</v>
      </c>
      <c r="G884" s="99">
        <v>0</v>
      </c>
      <c r="H884" s="99">
        <v>0</v>
      </c>
      <c r="I884" s="99" t="s">
        <v>48</v>
      </c>
      <c r="J884" s="93"/>
      <c r="K884" s="93">
        <v>2637</v>
      </c>
      <c r="L884" s="103">
        <v>0</v>
      </c>
      <c r="M884" s="103">
        <v>0</v>
      </c>
      <c r="N884" s="103">
        <v>0</v>
      </c>
      <c r="O884" s="103">
        <v>0</v>
      </c>
      <c r="P884" s="103">
        <v>0</v>
      </c>
      <c r="Q884" s="103">
        <v>0</v>
      </c>
      <c r="R884" s="103">
        <v>15</v>
      </c>
      <c r="S884" s="103" t="s">
        <v>48</v>
      </c>
      <c r="T884" s="93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CA884" s="12"/>
      <c r="CB884" s="12"/>
    </row>
    <row r="885" spans="1:80" x14ac:dyDescent="0.2">
      <c r="A885" s="96">
        <v>2539</v>
      </c>
      <c r="B885" s="99">
        <v>0</v>
      </c>
      <c r="C885" s="99">
        <v>0</v>
      </c>
      <c r="D885" s="99">
        <v>0</v>
      </c>
      <c r="E885" s="99">
        <v>0</v>
      </c>
      <c r="F885" s="99">
        <v>0</v>
      </c>
      <c r="G885" s="99">
        <v>0</v>
      </c>
      <c r="H885" s="99">
        <v>0</v>
      </c>
      <c r="I885" s="99" t="s">
        <v>48</v>
      </c>
      <c r="J885" s="93"/>
      <c r="K885" s="93">
        <v>2638</v>
      </c>
      <c r="L885" s="103">
        <v>0</v>
      </c>
      <c r="M885" s="103">
        <v>0</v>
      </c>
      <c r="N885" s="103">
        <v>0</v>
      </c>
      <c r="O885" s="103">
        <v>0</v>
      </c>
      <c r="P885" s="103">
        <v>0</v>
      </c>
      <c r="Q885" s="103">
        <v>0</v>
      </c>
      <c r="R885" s="103">
        <v>15</v>
      </c>
      <c r="S885" s="103" t="s">
        <v>48</v>
      </c>
      <c r="T885" s="93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CA885" s="12"/>
      <c r="CB885" s="12"/>
    </row>
    <row r="886" spans="1:80" x14ac:dyDescent="0.2">
      <c r="A886" s="96">
        <v>2540</v>
      </c>
      <c r="B886" s="99">
        <v>0</v>
      </c>
      <c r="C886" s="99">
        <v>0</v>
      </c>
      <c r="D886" s="99">
        <v>0</v>
      </c>
      <c r="E886" s="99">
        <v>0</v>
      </c>
      <c r="F886" s="99">
        <v>0</v>
      </c>
      <c r="G886" s="99">
        <v>0</v>
      </c>
      <c r="H886" s="99">
        <v>0</v>
      </c>
      <c r="I886" s="99" t="s">
        <v>48</v>
      </c>
      <c r="J886" s="93"/>
      <c r="K886" s="93">
        <v>2639</v>
      </c>
      <c r="L886" s="103">
        <v>0</v>
      </c>
      <c r="M886" s="103">
        <v>0</v>
      </c>
      <c r="N886" s="103">
        <v>0</v>
      </c>
      <c r="O886" s="103">
        <v>0</v>
      </c>
      <c r="P886" s="103">
        <v>0</v>
      </c>
      <c r="Q886" s="103">
        <v>0</v>
      </c>
      <c r="R886" s="103">
        <v>15</v>
      </c>
      <c r="S886" s="103" t="s">
        <v>48</v>
      </c>
      <c r="T886" s="93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CA886" s="12"/>
      <c r="CB886" s="12"/>
    </row>
    <row r="887" spans="1:80" x14ac:dyDescent="0.2">
      <c r="A887" s="96">
        <v>2541</v>
      </c>
      <c r="B887" s="99">
        <v>0</v>
      </c>
      <c r="C887" s="99">
        <v>0</v>
      </c>
      <c r="D887" s="99">
        <v>0</v>
      </c>
      <c r="E887" s="99">
        <v>0</v>
      </c>
      <c r="F887" s="99">
        <v>0</v>
      </c>
      <c r="G887" s="99">
        <v>0</v>
      </c>
      <c r="H887" s="99">
        <v>0</v>
      </c>
      <c r="I887" s="99" t="s">
        <v>48</v>
      </c>
      <c r="J887" s="93"/>
      <c r="K887" s="93">
        <v>2640</v>
      </c>
      <c r="L887" s="103">
        <v>0</v>
      </c>
      <c r="M887" s="103">
        <v>0</v>
      </c>
      <c r="N887" s="103">
        <v>0</v>
      </c>
      <c r="O887" s="103">
        <v>0</v>
      </c>
      <c r="P887" s="103">
        <v>0</v>
      </c>
      <c r="Q887" s="103">
        <v>0</v>
      </c>
      <c r="R887" s="103">
        <v>15</v>
      </c>
      <c r="S887" s="103" t="s">
        <v>48</v>
      </c>
      <c r="T887" s="93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CA887" s="12"/>
      <c r="CB887" s="12"/>
    </row>
    <row r="888" spans="1:80" x14ac:dyDescent="0.2">
      <c r="A888" s="96">
        <v>2542</v>
      </c>
      <c r="B888" s="99">
        <v>0</v>
      </c>
      <c r="C888" s="99">
        <v>0</v>
      </c>
      <c r="D888" s="99">
        <v>0</v>
      </c>
      <c r="E888" s="99">
        <v>0</v>
      </c>
      <c r="F888" s="99">
        <v>0</v>
      </c>
      <c r="G888" s="99">
        <v>0</v>
      </c>
      <c r="H888" s="99">
        <v>0</v>
      </c>
      <c r="I888" s="99" t="s">
        <v>48</v>
      </c>
      <c r="J888" s="93"/>
      <c r="K888" s="93">
        <v>2641</v>
      </c>
      <c r="L888" s="103">
        <v>0</v>
      </c>
      <c r="M888" s="103">
        <v>0</v>
      </c>
      <c r="N888" s="103">
        <v>0</v>
      </c>
      <c r="O888" s="103">
        <v>0</v>
      </c>
      <c r="P888" s="103">
        <v>0</v>
      </c>
      <c r="Q888" s="103">
        <v>0</v>
      </c>
      <c r="R888" s="103">
        <v>10</v>
      </c>
      <c r="S888" s="103" t="s">
        <v>48</v>
      </c>
      <c r="T888" s="93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CA888" s="12"/>
      <c r="CB888" s="12"/>
    </row>
    <row r="889" spans="1:80" x14ac:dyDescent="0.2">
      <c r="A889" s="96">
        <v>2543</v>
      </c>
      <c r="B889" s="99">
        <v>0</v>
      </c>
      <c r="C889" s="99">
        <v>0</v>
      </c>
      <c r="D889" s="99">
        <v>0</v>
      </c>
      <c r="E889" s="99">
        <v>0</v>
      </c>
      <c r="F889" s="99">
        <v>0</v>
      </c>
      <c r="G889" s="99">
        <v>0</v>
      </c>
      <c r="H889" s="99">
        <v>0</v>
      </c>
      <c r="I889" s="99" t="s">
        <v>48</v>
      </c>
      <c r="J889" s="93"/>
      <c r="K889" s="93">
        <v>2642</v>
      </c>
      <c r="L889" s="103">
        <v>0</v>
      </c>
      <c r="M889" s="103">
        <v>0</v>
      </c>
      <c r="N889" s="103">
        <v>0</v>
      </c>
      <c r="O889" s="103">
        <v>0</v>
      </c>
      <c r="P889" s="103">
        <v>0</v>
      </c>
      <c r="Q889" s="103">
        <v>0</v>
      </c>
      <c r="R889" s="103">
        <v>10</v>
      </c>
      <c r="S889" s="103" t="s">
        <v>48</v>
      </c>
      <c r="T889" s="93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CA889" s="12"/>
      <c r="CB889" s="12"/>
    </row>
    <row r="890" spans="1:80" x14ac:dyDescent="0.2">
      <c r="A890" s="96">
        <v>2544</v>
      </c>
      <c r="B890" s="99">
        <v>0</v>
      </c>
      <c r="C890" s="99">
        <v>0</v>
      </c>
      <c r="D890" s="99">
        <v>0</v>
      </c>
      <c r="E890" s="99">
        <v>0</v>
      </c>
      <c r="F890" s="99">
        <v>0</v>
      </c>
      <c r="G890" s="99">
        <v>0</v>
      </c>
      <c r="H890" s="99">
        <v>0</v>
      </c>
      <c r="I890" s="99" t="s">
        <v>48</v>
      </c>
      <c r="J890" s="93"/>
      <c r="K890" s="93">
        <v>2643</v>
      </c>
      <c r="L890" s="103">
        <v>0</v>
      </c>
      <c r="M890" s="103">
        <v>0</v>
      </c>
      <c r="N890" s="103">
        <v>0</v>
      </c>
      <c r="O890" s="103">
        <v>0</v>
      </c>
      <c r="P890" s="103">
        <v>0</v>
      </c>
      <c r="Q890" s="103">
        <v>0</v>
      </c>
      <c r="R890" s="103">
        <v>10</v>
      </c>
      <c r="S890" s="103" t="s">
        <v>48</v>
      </c>
      <c r="T890" s="93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CA890" s="12"/>
      <c r="CB890" s="12"/>
    </row>
    <row r="891" spans="1:80" x14ac:dyDescent="0.2">
      <c r="A891" s="96">
        <v>2545</v>
      </c>
      <c r="B891" s="99">
        <v>0</v>
      </c>
      <c r="C891" s="99">
        <v>0</v>
      </c>
      <c r="D891" s="99">
        <v>0</v>
      </c>
      <c r="E891" s="99">
        <v>0</v>
      </c>
      <c r="F891" s="99">
        <v>0</v>
      </c>
      <c r="G891" s="99">
        <v>0</v>
      </c>
      <c r="H891" s="99">
        <v>0</v>
      </c>
      <c r="I891" s="99" t="s">
        <v>48</v>
      </c>
      <c r="J891" s="93"/>
      <c r="K891" s="93">
        <v>2644</v>
      </c>
      <c r="L891" s="103">
        <v>0</v>
      </c>
      <c r="M891" s="103">
        <v>0</v>
      </c>
      <c r="N891" s="103">
        <v>0</v>
      </c>
      <c r="O891" s="103">
        <v>0</v>
      </c>
      <c r="P891" s="103">
        <v>0</v>
      </c>
      <c r="Q891" s="103">
        <v>0</v>
      </c>
      <c r="R891" s="103">
        <v>10</v>
      </c>
      <c r="S891" s="103" t="s">
        <v>48</v>
      </c>
      <c r="T891" s="93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CA891" s="12"/>
      <c r="CB891" s="12"/>
    </row>
    <row r="892" spans="1:80" x14ac:dyDescent="0.2">
      <c r="A892" s="96">
        <v>2546</v>
      </c>
      <c r="B892" s="99">
        <v>0</v>
      </c>
      <c r="C892" s="99">
        <v>0</v>
      </c>
      <c r="D892" s="99">
        <v>0</v>
      </c>
      <c r="E892" s="99">
        <v>0</v>
      </c>
      <c r="F892" s="99">
        <v>0</v>
      </c>
      <c r="G892" s="99">
        <v>0</v>
      </c>
      <c r="H892" s="99">
        <v>0</v>
      </c>
      <c r="I892" s="99" t="s">
        <v>48</v>
      </c>
      <c r="J892" s="93"/>
      <c r="K892" s="93">
        <v>2645</v>
      </c>
      <c r="L892" s="103">
        <v>0</v>
      </c>
      <c r="M892" s="103">
        <v>0</v>
      </c>
      <c r="N892" s="103">
        <v>0</v>
      </c>
      <c r="O892" s="103">
        <v>0</v>
      </c>
      <c r="P892" s="103">
        <v>0</v>
      </c>
      <c r="Q892" s="103">
        <v>0</v>
      </c>
      <c r="R892" s="103">
        <v>10</v>
      </c>
      <c r="S892" s="103" t="s">
        <v>48</v>
      </c>
      <c r="T892" s="93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CA892" s="12"/>
      <c r="CB892" s="12"/>
    </row>
    <row r="893" spans="1:80" x14ac:dyDescent="0.2">
      <c r="A893" s="96">
        <v>2547</v>
      </c>
      <c r="B893" s="99">
        <v>0</v>
      </c>
      <c r="C893" s="99">
        <v>0</v>
      </c>
      <c r="D893" s="99">
        <v>0</v>
      </c>
      <c r="E893" s="99">
        <v>0</v>
      </c>
      <c r="F893" s="99">
        <v>0</v>
      </c>
      <c r="G893" s="99">
        <v>0</v>
      </c>
      <c r="H893" s="99">
        <v>0</v>
      </c>
      <c r="I893" s="99" t="s">
        <v>48</v>
      </c>
      <c r="J893" s="93"/>
      <c r="K893" s="93">
        <v>2646</v>
      </c>
      <c r="L893" s="103">
        <v>0</v>
      </c>
      <c r="M893" s="103">
        <v>0</v>
      </c>
      <c r="N893" s="103">
        <v>0</v>
      </c>
      <c r="O893" s="103">
        <v>0</v>
      </c>
      <c r="P893" s="103">
        <v>0</v>
      </c>
      <c r="Q893" s="103">
        <v>0</v>
      </c>
      <c r="R893" s="103">
        <v>10</v>
      </c>
      <c r="S893" s="103" t="s">
        <v>48</v>
      </c>
      <c r="T893" s="93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CA893" s="12"/>
      <c r="CB893" s="12"/>
    </row>
    <row r="894" spans="1:80" x14ac:dyDescent="0.2">
      <c r="A894" s="96">
        <v>2548</v>
      </c>
      <c r="B894" s="99">
        <v>0</v>
      </c>
      <c r="C894" s="99">
        <v>0</v>
      </c>
      <c r="D894" s="99">
        <v>0</v>
      </c>
      <c r="E894" s="99">
        <v>0</v>
      </c>
      <c r="F894" s="99">
        <v>0</v>
      </c>
      <c r="G894" s="99">
        <v>0</v>
      </c>
      <c r="H894" s="99">
        <v>0</v>
      </c>
      <c r="I894" s="99" t="s">
        <v>48</v>
      </c>
      <c r="J894" s="93"/>
      <c r="K894" s="93">
        <v>2647</v>
      </c>
      <c r="L894" s="103">
        <v>0</v>
      </c>
      <c r="M894" s="103">
        <v>0</v>
      </c>
      <c r="N894" s="103">
        <v>0</v>
      </c>
      <c r="O894" s="103">
        <v>0</v>
      </c>
      <c r="P894" s="103">
        <v>0</v>
      </c>
      <c r="Q894" s="103">
        <v>0</v>
      </c>
      <c r="R894" s="103">
        <v>10</v>
      </c>
      <c r="S894" s="103" t="s">
        <v>48</v>
      </c>
      <c r="T894" s="93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CA894" s="12"/>
      <c r="CB894" s="12"/>
    </row>
    <row r="895" spans="1:80" x14ac:dyDescent="0.2">
      <c r="A895" s="96">
        <v>2549</v>
      </c>
      <c r="B895" s="99">
        <v>0</v>
      </c>
      <c r="C895" s="99">
        <v>0</v>
      </c>
      <c r="D895" s="99">
        <v>0</v>
      </c>
      <c r="E895" s="99">
        <v>0</v>
      </c>
      <c r="F895" s="99">
        <v>0</v>
      </c>
      <c r="G895" s="99">
        <v>0</v>
      </c>
      <c r="H895" s="99">
        <v>0</v>
      </c>
      <c r="I895" s="99" t="s">
        <v>48</v>
      </c>
      <c r="J895" s="93"/>
      <c r="K895" s="93">
        <v>2648</v>
      </c>
      <c r="L895" s="103">
        <v>0</v>
      </c>
      <c r="M895" s="103">
        <v>0</v>
      </c>
      <c r="N895" s="103">
        <v>0</v>
      </c>
      <c r="O895" s="103">
        <v>0</v>
      </c>
      <c r="P895" s="103">
        <v>0</v>
      </c>
      <c r="Q895" s="103">
        <v>0</v>
      </c>
      <c r="R895" s="103">
        <v>10</v>
      </c>
      <c r="S895" s="103" t="s">
        <v>48</v>
      </c>
      <c r="T895" s="93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CA895" s="12"/>
      <c r="CB895" s="12"/>
    </row>
    <row r="896" spans="1:80" x14ac:dyDescent="0.2">
      <c r="A896" s="96">
        <v>2550</v>
      </c>
      <c r="B896" s="99">
        <v>0</v>
      </c>
      <c r="C896" s="99">
        <v>0</v>
      </c>
      <c r="D896" s="99">
        <v>0</v>
      </c>
      <c r="E896" s="99">
        <v>0</v>
      </c>
      <c r="F896" s="99">
        <v>0</v>
      </c>
      <c r="G896" s="99">
        <v>0</v>
      </c>
      <c r="H896" s="99">
        <v>0</v>
      </c>
      <c r="I896" s="99" t="s">
        <v>48</v>
      </c>
      <c r="J896" s="93"/>
      <c r="K896" s="93">
        <v>2649</v>
      </c>
      <c r="L896" s="103">
        <v>0</v>
      </c>
      <c r="M896" s="103">
        <v>0</v>
      </c>
      <c r="N896" s="103">
        <v>0</v>
      </c>
      <c r="O896" s="103">
        <v>0</v>
      </c>
      <c r="P896" s="103">
        <v>0</v>
      </c>
      <c r="Q896" s="103">
        <v>0</v>
      </c>
      <c r="R896" s="103">
        <v>10</v>
      </c>
      <c r="S896" s="103" t="s">
        <v>48</v>
      </c>
      <c r="T896" s="93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CA896" s="12"/>
      <c r="CB896" s="12"/>
    </row>
    <row r="897" spans="1:80" x14ac:dyDescent="0.2">
      <c r="A897" s="96">
        <v>2551</v>
      </c>
      <c r="B897" s="99">
        <v>0</v>
      </c>
      <c r="C897" s="99">
        <v>0</v>
      </c>
      <c r="D897" s="99">
        <v>0</v>
      </c>
      <c r="E897" s="99">
        <v>0</v>
      </c>
      <c r="F897" s="99">
        <v>0</v>
      </c>
      <c r="G897" s="99">
        <v>0</v>
      </c>
      <c r="H897" s="99">
        <v>0</v>
      </c>
      <c r="I897" s="99" t="s">
        <v>48</v>
      </c>
      <c r="J897" s="93"/>
      <c r="K897" s="93">
        <v>2650</v>
      </c>
      <c r="L897" s="103">
        <v>0</v>
      </c>
      <c r="M897" s="103">
        <v>0</v>
      </c>
      <c r="N897" s="103">
        <v>0</v>
      </c>
      <c r="O897" s="103">
        <v>0</v>
      </c>
      <c r="P897" s="103">
        <v>0</v>
      </c>
      <c r="Q897" s="103">
        <v>0</v>
      </c>
      <c r="R897" s="103">
        <v>10</v>
      </c>
      <c r="S897" s="103" t="s">
        <v>48</v>
      </c>
      <c r="T897" s="93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CA897" s="12"/>
      <c r="CB897" s="12"/>
    </row>
    <row r="898" spans="1:80" x14ac:dyDescent="0.2">
      <c r="A898" s="96">
        <v>2552</v>
      </c>
      <c r="B898" s="99">
        <v>0</v>
      </c>
      <c r="C898" s="99">
        <v>0</v>
      </c>
      <c r="D898" s="99">
        <v>0</v>
      </c>
      <c r="E898" s="99">
        <v>0</v>
      </c>
      <c r="F898" s="99">
        <v>0</v>
      </c>
      <c r="G898" s="99">
        <v>0</v>
      </c>
      <c r="H898" s="99">
        <v>0</v>
      </c>
      <c r="I898" s="99" t="s">
        <v>48</v>
      </c>
      <c r="J898" s="93"/>
      <c r="K898" s="93">
        <v>2651</v>
      </c>
      <c r="L898" s="103">
        <v>0</v>
      </c>
      <c r="M898" s="103">
        <v>0</v>
      </c>
      <c r="N898" s="103">
        <v>0</v>
      </c>
      <c r="O898" s="103">
        <v>0</v>
      </c>
      <c r="P898" s="103">
        <v>0</v>
      </c>
      <c r="Q898" s="103">
        <v>0</v>
      </c>
      <c r="R898" s="103">
        <v>10</v>
      </c>
      <c r="S898" s="103" t="s">
        <v>48</v>
      </c>
      <c r="T898" s="93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CA898" s="12"/>
      <c r="CB898" s="12"/>
    </row>
    <row r="899" spans="1:80" x14ac:dyDescent="0.2">
      <c r="A899" s="96">
        <v>2553</v>
      </c>
      <c r="B899" s="99">
        <v>0</v>
      </c>
      <c r="C899" s="99">
        <v>0</v>
      </c>
      <c r="D899" s="99">
        <v>0</v>
      </c>
      <c r="E899" s="99">
        <v>0</v>
      </c>
      <c r="F899" s="99">
        <v>0</v>
      </c>
      <c r="G899" s="99">
        <v>0</v>
      </c>
      <c r="H899" s="99">
        <v>0</v>
      </c>
      <c r="I899" s="99" t="s">
        <v>48</v>
      </c>
      <c r="J899" s="93"/>
      <c r="K899" s="93">
        <v>2652</v>
      </c>
      <c r="L899" s="103">
        <v>0</v>
      </c>
      <c r="M899" s="103">
        <v>0</v>
      </c>
      <c r="N899" s="103">
        <v>0</v>
      </c>
      <c r="O899" s="103">
        <v>0</v>
      </c>
      <c r="P899" s="103">
        <v>0</v>
      </c>
      <c r="Q899" s="103">
        <v>0</v>
      </c>
      <c r="R899" s="103">
        <v>10</v>
      </c>
      <c r="S899" s="103" t="s">
        <v>48</v>
      </c>
      <c r="T899" s="93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CA899" s="12"/>
      <c r="CB899" s="12"/>
    </row>
    <row r="900" spans="1:80" x14ac:dyDescent="0.2">
      <c r="A900" s="96">
        <v>2554</v>
      </c>
      <c r="B900" s="99">
        <v>0</v>
      </c>
      <c r="C900" s="99">
        <v>0</v>
      </c>
      <c r="D900" s="99">
        <v>0</v>
      </c>
      <c r="E900" s="99">
        <v>0</v>
      </c>
      <c r="F900" s="99">
        <v>0</v>
      </c>
      <c r="G900" s="99">
        <v>0</v>
      </c>
      <c r="H900" s="99">
        <v>0</v>
      </c>
      <c r="I900" s="99" t="s">
        <v>48</v>
      </c>
      <c r="J900" s="93"/>
      <c r="K900" s="93">
        <v>2653</v>
      </c>
      <c r="L900" s="103">
        <v>0</v>
      </c>
      <c r="M900" s="103">
        <v>0</v>
      </c>
      <c r="N900" s="103">
        <v>0</v>
      </c>
      <c r="O900" s="103">
        <v>0</v>
      </c>
      <c r="P900" s="103">
        <v>0</v>
      </c>
      <c r="Q900" s="103">
        <v>0</v>
      </c>
      <c r="R900" s="103">
        <v>10</v>
      </c>
      <c r="S900" s="103" t="s">
        <v>48</v>
      </c>
      <c r="T900" s="93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CA900" s="12"/>
      <c r="CB900" s="12"/>
    </row>
    <row r="901" spans="1:80" x14ac:dyDescent="0.2">
      <c r="A901" s="96">
        <v>2555</v>
      </c>
      <c r="B901" s="99">
        <v>0</v>
      </c>
      <c r="C901" s="99">
        <v>0</v>
      </c>
      <c r="D901" s="99">
        <v>0</v>
      </c>
      <c r="E901" s="99">
        <v>0</v>
      </c>
      <c r="F901" s="99">
        <v>0</v>
      </c>
      <c r="G901" s="99">
        <v>0</v>
      </c>
      <c r="H901" s="99">
        <v>0</v>
      </c>
      <c r="I901" s="99" t="s">
        <v>48</v>
      </c>
      <c r="J901" s="93"/>
      <c r="K901" s="93">
        <v>2654</v>
      </c>
      <c r="L901" s="103">
        <v>0</v>
      </c>
      <c r="M901" s="103">
        <v>0</v>
      </c>
      <c r="N901" s="103">
        <v>0</v>
      </c>
      <c r="O901" s="103">
        <v>0</v>
      </c>
      <c r="P901" s="103">
        <v>0</v>
      </c>
      <c r="Q901" s="103">
        <v>0</v>
      </c>
      <c r="R901" s="103">
        <v>10</v>
      </c>
      <c r="S901" s="103" t="s">
        <v>48</v>
      </c>
      <c r="T901" s="93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CA901" s="12"/>
      <c r="CB901" s="12"/>
    </row>
    <row r="902" spans="1:80" x14ac:dyDescent="0.2">
      <c r="A902" s="96">
        <v>2556</v>
      </c>
      <c r="B902" s="99">
        <v>0</v>
      </c>
      <c r="C902" s="99">
        <v>0</v>
      </c>
      <c r="D902" s="99">
        <v>0</v>
      </c>
      <c r="E902" s="99">
        <v>0</v>
      </c>
      <c r="F902" s="99">
        <v>0</v>
      </c>
      <c r="G902" s="99">
        <v>0</v>
      </c>
      <c r="H902" s="99">
        <v>0</v>
      </c>
      <c r="I902" s="99" t="s">
        <v>48</v>
      </c>
      <c r="J902" s="93"/>
      <c r="K902" s="93">
        <v>2655</v>
      </c>
      <c r="L902" s="103">
        <v>0</v>
      </c>
      <c r="M902" s="103">
        <v>0</v>
      </c>
      <c r="N902" s="103">
        <v>0</v>
      </c>
      <c r="O902" s="103">
        <v>0</v>
      </c>
      <c r="P902" s="103">
        <v>0</v>
      </c>
      <c r="Q902" s="103">
        <v>0</v>
      </c>
      <c r="R902" s="103">
        <v>10</v>
      </c>
      <c r="S902" s="103" t="s">
        <v>48</v>
      </c>
      <c r="T902" s="93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CA902" s="12"/>
      <c r="CB902" s="12"/>
    </row>
    <row r="903" spans="1:80" x14ac:dyDescent="0.2">
      <c r="A903" s="96">
        <v>2557</v>
      </c>
      <c r="B903" s="99">
        <v>0</v>
      </c>
      <c r="C903" s="99">
        <v>0</v>
      </c>
      <c r="D903" s="99">
        <v>0</v>
      </c>
      <c r="E903" s="99">
        <v>0</v>
      </c>
      <c r="F903" s="99">
        <v>0</v>
      </c>
      <c r="G903" s="99">
        <v>0</v>
      </c>
      <c r="H903" s="99">
        <v>0</v>
      </c>
      <c r="I903" s="99" t="s">
        <v>48</v>
      </c>
      <c r="J903" s="93"/>
      <c r="K903" s="93">
        <v>2656</v>
      </c>
      <c r="L903" s="103">
        <v>0</v>
      </c>
      <c r="M903" s="103">
        <v>0</v>
      </c>
      <c r="N903" s="103">
        <v>0</v>
      </c>
      <c r="O903" s="103">
        <v>0</v>
      </c>
      <c r="P903" s="103">
        <v>0</v>
      </c>
      <c r="Q903" s="103">
        <v>0</v>
      </c>
      <c r="R903" s="103">
        <v>10</v>
      </c>
      <c r="S903" s="103" t="s">
        <v>48</v>
      </c>
      <c r="T903" s="93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CA903" s="12"/>
      <c r="CB903" s="12"/>
    </row>
    <row r="904" spans="1:80" x14ac:dyDescent="0.2">
      <c r="A904" s="96">
        <v>2558</v>
      </c>
      <c r="B904" s="99">
        <v>0</v>
      </c>
      <c r="C904" s="99">
        <v>0</v>
      </c>
      <c r="D904" s="99">
        <v>0</v>
      </c>
      <c r="E904" s="99">
        <v>0</v>
      </c>
      <c r="F904" s="99">
        <v>0</v>
      </c>
      <c r="G904" s="99">
        <v>0</v>
      </c>
      <c r="H904" s="99">
        <v>0</v>
      </c>
      <c r="I904" s="99" t="s">
        <v>48</v>
      </c>
      <c r="J904" s="93"/>
      <c r="K904" s="93">
        <v>2657</v>
      </c>
      <c r="L904" s="103">
        <v>0</v>
      </c>
      <c r="M904" s="103">
        <v>0</v>
      </c>
      <c r="N904" s="103">
        <v>0</v>
      </c>
      <c r="O904" s="103">
        <v>0</v>
      </c>
      <c r="P904" s="103">
        <v>0</v>
      </c>
      <c r="Q904" s="103">
        <v>0</v>
      </c>
      <c r="R904" s="103">
        <v>10</v>
      </c>
      <c r="S904" s="103" t="s">
        <v>48</v>
      </c>
      <c r="T904" s="93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CA904" s="12"/>
      <c r="CB904" s="12"/>
    </row>
    <row r="905" spans="1:80" x14ac:dyDescent="0.2">
      <c r="A905" s="96">
        <v>2559</v>
      </c>
      <c r="B905" s="99">
        <v>0</v>
      </c>
      <c r="C905" s="99">
        <v>0</v>
      </c>
      <c r="D905" s="99">
        <v>0</v>
      </c>
      <c r="E905" s="99">
        <v>0</v>
      </c>
      <c r="F905" s="99">
        <v>0</v>
      </c>
      <c r="G905" s="99">
        <v>0</v>
      </c>
      <c r="H905" s="99">
        <v>0</v>
      </c>
      <c r="I905" s="99" t="s">
        <v>48</v>
      </c>
      <c r="J905" s="93"/>
      <c r="K905" s="93">
        <v>2658</v>
      </c>
      <c r="L905" s="103">
        <v>0</v>
      </c>
      <c r="M905" s="103">
        <v>0</v>
      </c>
      <c r="N905" s="103">
        <v>0</v>
      </c>
      <c r="O905" s="103">
        <v>0</v>
      </c>
      <c r="P905" s="103">
        <v>0</v>
      </c>
      <c r="Q905" s="103">
        <v>0</v>
      </c>
      <c r="R905" s="103">
        <v>10</v>
      </c>
      <c r="S905" s="103" t="s">
        <v>48</v>
      </c>
      <c r="T905" s="93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CA905" s="12"/>
      <c r="CB905" s="12"/>
    </row>
    <row r="906" spans="1:80" x14ac:dyDescent="0.2">
      <c r="A906" s="96">
        <v>2600</v>
      </c>
      <c r="B906" s="99">
        <v>0</v>
      </c>
      <c r="C906" s="99">
        <v>0</v>
      </c>
      <c r="D906" s="99">
        <v>0</v>
      </c>
      <c r="E906" s="99">
        <v>0</v>
      </c>
      <c r="F906" s="99">
        <v>0</v>
      </c>
      <c r="G906" s="99">
        <v>0</v>
      </c>
      <c r="H906" s="99">
        <v>0</v>
      </c>
      <c r="I906" s="99" t="s">
        <v>48</v>
      </c>
      <c r="J906" s="93"/>
      <c r="K906" s="93">
        <v>2659</v>
      </c>
      <c r="L906" s="103">
        <v>0</v>
      </c>
      <c r="M906" s="103">
        <v>0</v>
      </c>
      <c r="N906" s="103">
        <v>0</v>
      </c>
      <c r="O906" s="103">
        <v>0</v>
      </c>
      <c r="P906" s="103">
        <v>0</v>
      </c>
      <c r="Q906" s="103">
        <v>0</v>
      </c>
      <c r="R906" s="103">
        <v>10</v>
      </c>
      <c r="S906" s="103" t="s">
        <v>48</v>
      </c>
      <c r="T906" s="93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CA906" s="12"/>
      <c r="CB906" s="12"/>
    </row>
    <row r="907" spans="1:80" x14ac:dyDescent="0.2">
      <c r="A907" s="96">
        <v>2601</v>
      </c>
      <c r="B907" s="99">
        <v>0</v>
      </c>
      <c r="C907" s="99">
        <v>0</v>
      </c>
      <c r="D907" s="99">
        <v>0</v>
      </c>
      <c r="E907" s="99">
        <v>0</v>
      </c>
      <c r="F907" s="99">
        <v>0</v>
      </c>
      <c r="G907" s="99">
        <v>0</v>
      </c>
      <c r="H907" s="99">
        <v>0</v>
      </c>
      <c r="I907" s="99" t="s">
        <v>48</v>
      </c>
      <c r="J907" s="93"/>
      <c r="K907" s="93">
        <v>2700</v>
      </c>
      <c r="L907" s="103">
        <v>0</v>
      </c>
      <c r="M907" s="103">
        <v>0</v>
      </c>
      <c r="N907" s="103">
        <v>0</v>
      </c>
      <c r="O907" s="103">
        <v>0</v>
      </c>
      <c r="P907" s="103">
        <v>0</v>
      </c>
      <c r="Q907" s="103">
        <v>0</v>
      </c>
      <c r="R907" s="103">
        <v>10</v>
      </c>
      <c r="S907" s="103" t="s">
        <v>48</v>
      </c>
      <c r="T907" s="93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CA907" s="12"/>
      <c r="CB907" s="12"/>
    </row>
    <row r="908" spans="1:80" x14ac:dyDescent="0.2">
      <c r="A908" s="96">
        <v>2602</v>
      </c>
      <c r="B908" s="99">
        <v>0</v>
      </c>
      <c r="C908" s="99">
        <v>0</v>
      </c>
      <c r="D908" s="99">
        <v>0</v>
      </c>
      <c r="E908" s="99">
        <v>0</v>
      </c>
      <c r="F908" s="99">
        <v>0</v>
      </c>
      <c r="G908" s="99">
        <v>0</v>
      </c>
      <c r="H908" s="99">
        <v>0</v>
      </c>
      <c r="I908" s="99" t="s">
        <v>48</v>
      </c>
      <c r="J908" s="93"/>
      <c r="K908" s="93">
        <v>2701</v>
      </c>
      <c r="L908" s="103">
        <v>0</v>
      </c>
      <c r="M908" s="103">
        <v>0</v>
      </c>
      <c r="N908" s="103">
        <v>0</v>
      </c>
      <c r="O908" s="103">
        <v>0</v>
      </c>
      <c r="P908" s="103">
        <v>0</v>
      </c>
      <c r="Q908" s="103">
        <v>0</v>
      </c>
      <c r="R908" s="103">
        <v>5</v>
      </c>
      <c r="S908" s="103" t="s">
        <v>48</v>
      </c>
      <c r="T908" s="93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CA908" s="12"/>
      <c r="CB908" s="12"/>
    </row>
    <row r="909" spans="1:80" x14ac:dyDescent="0.2">
      <c r="A909" s="96">
        <v>2603</v>
      </c>
      <c r="B909" s="99">
        <v>0</v>
      </c>
      <c r="C909" s="99">
        <v>0</v>
      </c>
      <c r="D909" s="99">
        <v>0</v>
      </c>
      <c r="E909" s="99">
        <v>0</v>
      </c>
      <c r="F909" s="99">
        <v>0</v>
      </c>
      <c r="G909" s="99">
        <v>0</v>
      </c>
      <c r="H909" s="99">
        <v>0</v>
      </c>
      <c r="I909" s="99" t="s">
        <v>48</v>
      </c>
      <c r="J909" s="93"/>
      <c r="K909" s="93">
        <v>2702</v>
      </c>
      <c r="L909" s="103">
        <v>0</v>
      </c>
      <c r="M909" s="103">
        <v>0</v>
      </c>
      <c r="N909" s="103">
        <v>0</v>
      </c>
      <c r="O909" s="103">
        <v>0</v>
      </c>
      <c r="P909" s="103">
        <v>0</v>
      </c>
      <c r="Q909" s="103">
        <v>0</v>
      </c>
      <c r="R909" s="103">
        <v>5</v>
      </c>
      <c r="S909" s="103" t="s">
        <v>48</v>
      </c>
      <c r="T909" s="93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CA909" s="12"/>
      <c r="CB909" s="12"/>
    </row>
    <row r="910" spans="1:80" x14ac:dyDescent="0.2">
      <c r="A910" s="96">
        <v>2604</v>
      </c>
      <c r="B910" s="99">
        <v>0</v>
      </c>
      <c r="C910" s="99">
        <v>0</v>
      </c>
      <c r="D910" s="99">
        <v>0</v>
      </c>
      <c r="E910" s="99">
        <v>0</v>
      </c>
      <c r="F910" s="99">
        <v>0</v>
      </c>
      <c r="G910" s="99">
        <v>0</v>
      </c>
      <c r="H910" s="99">
        <v>0</v>
      </c>
      <c r="I910" s="99" t="s">
        <v>48</v>
      </c>
      <c r="J910" s="93"/>
      <c r="K910" s="93">
        <v>2703</v>
      </c>
      <c r="L910" s="103">
        <v>0</v>
      </c>
      <c r="M910" s="103">
        <v>0</v>
      </c>
      <c r="N910" s="103">
        <v>0</v>
      </c>
      <c r="O910" s="103">
        <v>0</v>
      </c>
      <c r="P910" s="103">
        <v>0</v>
      </c>
      <c r="Q910" s="103">
        <v>0</v>
      </c>
      <c r="R910" s="103">
        <v>5</v>
      </c>
      <c r="S910" s="103" t="s">
        <v>48</v>
      </c>
      <c r="T910" s="93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CA910" s="12"/>
      <c r="CB910" s="12"/>
    </row>
    <row r="911" spans="1:80" x14ac:dyDescent="0.2">
      <c r="A911" s="96">
        <v>2605</v>
      </c>
      <c r="B911" s="99">
        <v>0</v>
      </c>
      <c r="C911" s="99">
        <v>0</v>
      </c>
      <c r="D911" s="99">
        <v>0</v>
      </c>
      <c r="E911" s="99">
        <v>0</v>
      </c>
      <c r="F911" s="99">
        <v>0</v>
      </c>
      <c r="G911" s="99">
        <v>0</v>
      </c>
      <c r="H911" s="99">
        <v>0</v>
      </c>
      <c r="I911" s="99" t="s">
        <v>48</v>
      </c>
      <c r="J911" s="93"/>
      <c r="K911" s="93">
        <v>2704</v>
      </c>
      <c r="L911" s="103">
        <v>0</v>
      </c>
      <c r="M911" s="103">
        <v>0</v>
      </c>
      <c r="N911" s="103">
        <v>0</v>
      </c>
      <c r="O911" s="103">
        <v>0</v>
      </c>
      <c r="P911" s="103">
        <v>0</v>
      </c>
      <c r="Q911" s="103">
        <v>0</v>
      </c>
      <c r="R911" s="103">
        <v>5</v>
      </c>
      <c r="S911" s="103" t="s">
        <v>48</v>
      </c>
      <c r="T911" s="93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CA911" s="12"/>
      <c r="CB911" s="12"/>
    </row>
    <row r="912" spans="1:80" x14ac:dyDescent="0.2">
      <c r="A912" s="96">
        <v>2606</v>
      </c>
      <c r="B912" s="99">
        <v>0</v>
      </c>
      <c r="C912" s="99">
        <v>0</v>
      </c>
      <c r="D912" s="99">
        <v>0</v>
      </c>
      <c r="E912" s="99">
        <v>0</v>
      </c>
      <c r="F912" s="99">
        <v>0</v>
      </c>
      <c r="G912" s="99">
        <v>0</v>
      </c>
      <c r="H912" s="99">
        <v>0</v>
      </c>
      <c r="I912" s="99" t="s">
        <v>48</v>
      </c>
      <c r="J912" s="93"/>
      <c r="K912" s="93">
        <v>2705</v>
      </c>
      <c r="L912" s="103">
        <v>0</v>
      </c>
      <c r="M912" s="103">
        <v>0</v>
      </c>
      <c r="N912" s="103">
        <v>0</v>
      </c>
      <c r="O912" s="103">
        <v>0</v>
      </c>
      <c r="P912" s="103">
        <v>0</v>
      </c>
      <c r="Q912" s="103">
        <v>0</v>
      </c>
      <c r="R912" s="103">
        <v>5</v>
      </c>
      <c r="S912" s="103" t="s">
        <v>48</v>
      </c>
      <c r="T912" s="93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CA912" s="12"/>
      <c r="CB912" s="12"/>
    </row>
    <row r="913" spans="1:80" x14ac:dyDescent="0.2">
      <c r="A913" s="96">
        <v>2607</v>
      </c>
      <c r="B913" s="99">
        <v>0</v>
      </c>
      <c r="C913" s="99">
        <v>0</v>
      </c>
      <c r="D913" s="99">
        <v>0</v>
      </c>
      <c r="E913" s="99">
        <v>0</v>
      </c>
      <c r="F913" s="99">
        <v>0</v>
      </c>
      <c r="G913" s="99">
        <v>0</v>
      </c>
      <c r="H913" s="99">
        <v>0</v>
      </c>
      <c r="I913" s="99" t="s">
        <v>48</v>
      </c>
      <c r="J913" s="93"/>
      <c r="K913" s="93">
        <v>2706</v>
      </c>
      <c r="L913" s="103">
        <v>0</v>
      </c>
      <c r="M913" s="103">
        <v>0</v>
      </c>
      <c r="N913" s="103">
        <v>0</v>
      </c>
      <c r="O913" s="103">
        <v>0</v>
      </c>
      <c r="P913" s="103">
        <v>0</v>
      </c>
      <c r="Q913" s="103">
        <v>0</v>
      </c>
      <c r="R913" s="103">
        <v>5</v>
      </c>
      <c r="S913" s="103" t="s">
        <v>48</v>
      </c>
      <c r="T913" s="93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CA913" s="12"/>
      <c r="CB913" s="12"/>
    </row>
    <row r="914" spans="1:80" x14ac:dyDescent="0.2">
      <c r="A914" s="96">
        <v>2608</v>
      </c>
      <c r="B914" s="99">
        <v>0</v>
      </c>
      <c r="C914" s="99">
        <v>0</v>
      </c>
      <c r="D914" s="99">
        <v>0</v>
      </c>
      <c r="E914" s="99">
        <v>0</v>
      </c>
      <c r="F914" s="99">
        <v>0</v>
      </c>
      <c r="G914" s="99">
        <v>0</v>
      </c>
      <c r="H914" s="99">
        <v>0</v>
      </c>
      <c r="I914" s="99" t="s">
        <v>48</v>
      </c>
      <c r="J914" s="93"/>
      <c r="K914" s="93">
        <v>2707</v>
      </c>
      <c r="L914" s="103">
        <v>0</v>
      </c>
      <c r="M914" s="103">
        <v>0</v>
      </c>
      <c r="N914" s="103">
        <v>0</v>
      </c>
      <c r="O914" s="103">
        <v>0</v>
      </c>
      <c r="P914" s="103">
        <v>0</v>
      </c>
      <c r="Q914" s="103">
        <v>0</v>
      </c>
      <c r="R914" s="103">
        <v>5</v>
      </c>
      <c r="S914" s="103" t="s">
        <v>48</v>
      </c>
      <c r="T914" s="93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CA914" s="12"/>
      <c r="CB914" s="12"/>
    </row>
    <row r="915" spans="1:80" x14ac:dyDescent="0.2">
      <c r="A915" s="96">
        <v>2609</v>
      </c>
      <c r="B915" s="99">
        <v>0</v>
      </c>
      <c r="C915" s="99">
        <v>0</v>
      </c>
      <c r="D915" s="99">
        <v>0</v>
      </c>
      <c r="E915" s="99">
        <v>0</v>
      </c>
      <c r="F915" s="99">
        <v>0</v>
      </c>
      <c r="G915" s="99">
        <v>0</v>
      </c>
      <c r="H915" s="99">
        <v>0</v>
      </c>
      <c r="I915" s="99" t="s">
        <v>48</v>
      </c>
      <c r="J915" s="93"/>
      <c r="K915" s="93">
        <v>2708</v>
      </c>
      <c r="L915" s="103">
        <v>0</v>
      </c>
      <c r="M915" s="103">
        <v>0</v>
      </c>
      <c r="N915" s="103">
        <v>0</v>
      </c>
      <c r="O915" s="103">
        <v>0</v>
      </c>
      <c r="P915" s="103">
        <v>0</v>
      </c>
      <c r="Q915" s="103">
        <v>0</v>
      </c>
      <c r="R915" s="103">
        <v>5</v>
      </c>
      <c r="S915" s="103" t="s">
        <v>48</v>
      </c>
      <c r="T915" s="93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CA915" s="12"/>
      <c r="CB915" s="12"/>
    </row>
    <row r="916" spans="1:80" x14ac:dyDescent="0.2">
      <c r="A916" s="96">
        <v>2610</v>
      </c>
      <c r="B916" s="99">
        <v>0</v>
      </c>
      <c r="C916" s="99">
        <v>0</v>
      </c>
      <c r="D916" s="99">
        <v>0</v>
      </c>
      <c r="E916" s="99">
        <v>0</v>
      </c>
      <c r="F916" s="99">
        <v>0</v>
      </c>
      <c r="G916" s="99">
        <v>0</v>
      </c>
      <c r="H916" s="99">
        <v>0</v>
      </c>
      <c r="I916" s="99" t="s">
        <v>48</v>
      </c>
      <c r="J916" s="93"/>
      <c r="K916" s="93">
        <v>2709</v>
      </c>
      <c r="L916" s="103">
        <v>0</v>
      </c>
      <c r="M916" s="103">
        <v>0</v>
      </c>
      <c r="N916" s="103">
        <v>0</v>
      </c>
      <c r="O916" s="103">
        <v>0</v>
      </c>
      <c r="P916" s="103">
        <v>0</v>
      </c>
      <c r="Q916" s="103">
        <v>0</v>
      </c>
      <c r="R916" s="103">
        <v>5</v>
      </c>
      <c r="S916" s="103" t="s">
        <v>48</v>
      </c>
      <c r="T916" s="93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CA916" s="12"/>
      <c r="CB916" s="12"/>
    </row>
    <row r="917" spans="1:80" x14ac:dyDescent="0.2">
      <c r="A917" s="96">
        <v>2611</v>
      </c>
      <c r="B917" s="99">
        <v>0</v>
      </c>
      <c r="C917" s="99">
        <v>0</v>
      </c>
      <c r="D917" s="99">
        <v>0</v>
      </c>
      <c r="E917" s="99">
        <v>0</v>
      </c>
      <c r="F917" s="99">
        <v>0</v>
      </c>
      <c r="G917" s="99">
        <v>0</v>
      </c>
      <c r="H917" s="99">
        <v>0</v>
      </c>
      <c r="I917" s="99" t="s">
        <v>48</v>
      </c>
      <c r="J917" s="93"/>
      <c r="K917" s="93">
        <v>2710</v>
      </c>
      <c r="L917" s="103">
        <v>0</v>
      </c>
      <c r="M917" s="103">
        <v>0</v>
      </c>
      <c r="N917" s="103">
        <v>0</v>
      </c>
      <c r="O917" s="103">
        <v>0</v>
      </c>
      <c r="P917" s="103">
        <v>0</v>
      </c>
      <c r="Q917" s="103">
        <v>0</v>
      </c>
      <c r="R917" s="103">
        <v>5</v>
      </c>
      <c r="S917" s="103" t="s">
        <v>48</v>
      </c>
      <c r="T917" s="93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CA917" s="12"/>
      <c r="CB917" s="12"/>
    </row>
    <row r="918" spans="1:80" x14ac:dyDescent="0.2">
      <c r="A918" s="96">
        <v>2612</v>
      </c>
      <c r="B918" s="99">
        <v>0</v>
      </c>
      <c r="C918" s="99">
        <v>0</v>
      </c>
      <c r="D918" s="99">
        <v>0</v>
      </c>
      <c r="E918" s="99">
        <v>0</v>
      </c>
      <c r="F918" s="99">
        <v>0</v>
      </c>
      <c r="G918" s="99">
        <v>0</v>
      </c>
      <c r="H918" s="99">
        <v>0</v>
      </c>
      <c r="I918" s="99" t="s">
        <v>48</v>
      </c>
      <c r="J918" s="93"/>
      <c r="K918" s="93">
        <v>2711</v>
      </c>
      <c r="L918" s="103">
        <v>0</v>
      </c>
      <c r="M918" s="103">
        <v>0</v>
      </c>
      <c r="N918" s="103">
        <v>0</v>
      </c>
      <c r="O918" s="103">
        <v>0</v>
      </c>
      <c r="P918" s="103">
        <v>0</v>
      </c>
      <c r="Q918" s="103">
        <v>0</v>
      </c>
      <c r="R918" s="103">
        <v>5</v>
      </c>
      <c r="S918" s="103" t="s">
        <v>48</v>
      </c>
      <c r="T918" s="93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CA918" s="12"/>
      <c r="CB918" s="12"/>
    </row>
    <row r="919" spans="1:80" x14ac:dyDescent="0.2">
      <c r="A919" s="96">
        <v>2613</v>
      </c>
      <c r="B919" s="99">
        <v>0</v>
      </c>
      <c r="C919" s="99">
        <v>0</v>
      </c>
      <c r="D919" s="99">
        <v>0</v>
      </c>
      <c r="E919" s="99">
        <v>0</v>
      </c>
      <c r="F919" s="99">
        <v>0</v>
      </c>
      <c r="G919" s="99">
        <v>0</v>
      </c>
      <c r="H919" s="99">
        <v>0</v>
      </c>
      <c r="I919" s="99" t="s">
        <v>48</v>
      </c>
      <c r="J919" s="93"/>
      <c r="K919" s="93">
        <v>2712</v>
      </c>
      <c r="L919" s="103">
        <v>0</v>
      </c>
      <c r="M919" s="103">
        <v>0</v>
      </c>
      <c r="N919" s="103">
        <v>0</v>
      </c>
      <c r="O919" s="103">
        <v>0</v>
      </c>
      <c r="P919" s="103">
        <v>0</v>
      </c>
      <c r="Q919" s="103">
        <v>0</v>
      </c>
      <c r="R919" s="103">
        <v>5</v>
      </c>
      <c r="S919" s="103" t="s">
        <v>48</v>
      </c>
      <c r="T919" s="93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CA919" s="12"/>
      <c r="CB919" s="12"/>
    </row>
    <row r="920" spans="1:80" x14ac:dyDescent="0.2">
      <c r="A920" s="96">
        <v>2614</v>
      </c>
      <c r="B920" s="99">
        <v>0</v>
      </c>
      <c r="C920" s="99">
        <v>0</v>
      </c>
      <c r="D920" s="99">
        <v>0</v>
      </c>
      <c r="E920" s="99">
        <v>0</v>
      </c>
      <c r="F920" s="99">
        <v>0</v>
      </c>
      <c r="G920" s="99">
        <v>0</v>
      </c>
      <c r="H920" s="99">
        <v>0</v>
      </c>
      <c r="I920" s="99" t="s">
        <v>48</v>
      </c>
      <c r="J920" s="93"/>
      <c r="K920" s="93">
        <v>2713</v>
      </c>
      <c r="L920" s="103">
        <v>0</v>
      </c>
      <c r="M920" s="103">
        <v>0</v>
      </c>
      <c r="N920" s="103">
        <v>0</v>
      </c>
      <c r="O920" s="103">
        <v>0</v>
      </c>
      <c r="P920" s="103">
        <v>0</v>
      </c>
      <c r="Q920" s="103">
        <v>0</v>
      </c>
      <c r="R920" s="103">
        <v>5</v>
      </c>
      <c r="S920" s="103" t="s">
        <v>48</v>
      </c>
      <c r="T920" s="93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CA920" s="12"/>
      <c r="CB920" s="12"/>
    </row>
    <row r="921" spans="1:80" x14ac:dyDescent="0.2">
      <c r="A921" s="96">
        <v>2615</v>
      </c>
      <c r="B921" s="99">
        <v>0</v>
      </c>
      <c r="C921" s="99">
        <v>0</v>
      </c>
      <c r="D921" s="99">
        <v>0</v>
      </c>
      <c r="E921" s="99">
        <v>0</v>
      </c>
      <c r="F921" s="99">
        <v>0</v>
      </c>
      <c r="G921" s="99">
        <v>0</v>
      </c>
      <c r="H921" s="99">
        <v>0</v>
      </c>
      <c r="I921" s="99" t="s">
        <v>48</v>
      </c>
      <c r="J921" s="93"/>
      <c r="K921" s="93">
        <v>2714</v>
      </c>
      <c r="L921" s="103">
        <v>0</v>
      </c>
      <c r="M921" s="103">
        <v>0</v>
      </c>
      <c r="N921" s="103">
        <v>0</v>
      </c>
      <c r="O921" s="103">
        <v>0</v>
      </c>
      <c r="P921" s="103">
        <v>0</v>
      </c>
      <c r="Q921" s="103">
        <v>0</v>
      </c>
      <c r="R921" s="103">
        <v>5</v>
      </c>
      <c r="S921" s="103" t="s">
        <v>48</v>
      </c>
      <c r="T921" s="93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CA921" s="12"/>
      <c r="CB921" s="12"/>
    </row>
    <row r="922" spans="1:80" x14ac:dyDescent="0.2">
      <c r="A922" s="96">
        <v>2616</v>
      </c>
      <c r="B922" s="99">
        <v>0</v>
      </c>
      <c r="C922" s="99">
        <v>0</v>
      </c>
      <c r="D922" s="99">
        <v>0</v>
      </c>
      <c r="E922" s="99">
        <v>0</v>
      </c>
      <c r="F922" s="99">
        <v>0</v>
      </c>
      <c r="G922" s="99">
        <v>0</v>
      </c>
      <c r="H922" s="99">
        <v>0</v>
      </c>
      <c r="I922" s="99" t="s">
        <v>48</v>
      </c>
      <c r="J922" s="93"/>
      <c r="K922" s="93">
        <v>2715</v>
      </c>
      <c r="L922" s="103">
        <v>0</v>
      </c>
      <c r="M922" s="103">
        <v>0</v>
      </c>
      <c r="N922" s="103">
        <v>0</v>
      </c>
      <c r="O922" s="103">
        <v>0</v>
      </c>
      <c r="P922" s="103">
        <v>0</v>
      </c>
      <c r="Q922" s="103">
        <v>0</v>
      </c>
      <c r="R922" s="103">
        <v>5</v>
      </c>
      <c r="S922" s="103" t="s">
        <v>48</v>
      </c>
      <c r="T922" s="93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CA922" s="12"/>
      <c r="CB922" s="12"/>
    </row>
    <row r="923" spans="1:80" x14ac:dyDescent="0.2">
      <c r="A923" s="96">
        <v>2617</v>
      </c>
      <c r="B923" s="99">
        <v>0</v>
      </c>
      <c r="C923" s="99">
        <v>0</v>
      </c>
      <c r="D923" s="99">
        <v>0</v>
      </c>
      <c r="E923" s="99">
        <v>0</v>
      </c>
      <c r="F923" s="99">
        <v>0</v>
      </c>
      <c r="G923" s="99">
        <v>0</v>
      </c>
      <c r="H923" s="99">
        <v>0</v>
      </c>
      <c r="I923" s="99" t="s">
        <v>48</v>
      </c>
      <c r="J923" s="93"/>
      <c r="K923" s="93">
        <v>2716</v>
      </c>
      <c r="L923" s="103">
        <v>0</v>
      </c>
      <c r="M923" s="103">
        <v>0</v>
      </c>
      <c r="N923" s="103">
        <v>0</v>
      </c>
      <c r="O923" s="103">
        <v>0</v>
      </c>
      <c r="P923" s="103">
        <v>0</v>
      </c>
      <c r="Q923" s="103">
        <v>0</v>
      </c>
      <c r="R923" s="103">
        <v>5</v>
      </c>
      <c r="S923" s="103" t="s">
        <v>48</v>
      </c>
      <c r="T923" s="93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CA923" s="12"/>
      <c r="CB923" s="12"/>
    </row>
    <row r="924" spans="1:80" x14ac:dyDescent="0.2">
      <c r="A924" s="96">
        <v>2618</v>
      </c>
      <c r="B924" s="99">
        <v>0</v>
      </c>
      <c r="C924" s="99">
        <v>0</v>
      </c>
      <c r="D924" s="99">
        <v>0</v>
      </c>
      <c r="E924" s="99">
        <v>0</v>
      </c>
      <c r="F924" s="99">
        <v>0</v>
      </c>
      <c r="G924" s="99">
        <v>0</v>
      </c>
      <c r="H924" s="99">
        <v>0</v>
      </c>
      <c r="I924" s="99" t="s">
        <v>48</v>
      </c>
      <c r="J924" s="93"/>
      <c r="K924" s="93">
        <v>2717</v>
      </c>
      <c r="L924" s="103">
        <v>0</v>
      </c>
      <c r="M924" s="103">
        <v>0</v>
      </c>
      <c r="N924" s="103">
        <v>0</v>
      </c>
      <c r="O924" s="103">
        <v>0</v>
      </c>
      <c r="P924" s="103">
        <v>0</v>
      </c>
      <c r="Q924" s="103">
        <v>0</v>
      </c>
      <c r="R924" s="103">
        <v>5</v>
      </c>
      <c r="S924" s="103" t="s">
        <v>48</v>
      </c>
      <c r="T924" s="93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CA924" s="12"/>
      <c r="CB924" s="12"/>
    </row>
    <row r="925" spans="1:80" x14ac:dyDescent="0.2">
      <c r="A925" s="96">
        <v>2619</v>
      </c>
      <c r="B925" s="99">
        <v>0</v>
      </c>
      <c r="C925" s="99">
        <v>0</v>
      </c>
      <c r="D925" s="99">
        <v>0</v>
      </c>
      <c r="E925" s="99">
        <v>0</v>
      </c>
      <c r="F925" s="99">
        <v>0</v>
      </c>
      <c r="G925" s="99">
        <v>0</v>
      </c>
      <c r="H925" s="99">
        <v>0</v>
      </c>
      <c r="I925" s="99" t="s">
        <v>48</v>
      </c>
      <c r="J925" s="93"/>
      <c r="K925" s="93">
        <v>2718</v>
      </c>
      <c r="L925" s="103">
        <v>0</v>
      </c>
      <c r="M925" s="103">
        <v>0</v>
      </c>
      <c r="N925" s="103">
        <v>0</v>
      </c>
      <c r="O925" s="103">
        <v>0</v>
      </c>
      <c r="P925" s="103">
        <v>0</v>
      </c>
      <c r="Q925" s="103">
        <v>0</v>
      </c>
      <c r="R925" s="103">
        <v>5</v>
      </c>
      <c r="S925" s="103" t="s">
        <v>48</v>
      </c>
      <c r="T925" s="93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CA925" s="12"/>
      <c r="CB925" s="12"/>
    </row>
    <row r="926" spans="1:80" x14ac:dyDescent="0.2">
      <c r="A926" s="96">
        <v>2620</v>
      </c>
      <c r="B926" s="99">
        <v>0</v>
      </c>
      <c r="C926" s="99">
        <v>0</v>
      </c>
      <c r="D926" s="99">
        <v>0</v>
      </c>
      <c r="E926" s="99">
        <v>0</v>
      </c>
      <c r="F926" s="99">
        <v>0</v>
      </c>
      <c r="G926" s="99">
        <v>0</v>
      </c>
      <c r="H926" s="99">
        <v>0</v>
      </c>
      <c r="I926" s="99" t="s">
        <v>48</v>
      </c>
      <c r="J926" s="93"/>
      <c r="K926" s="93">
        <v>2719</v>
      </c>
      <c r="L926" s="103">
        <v>0</v>
      </c>
      <c r="M926" s="103">
        <v>0</v>
      </c>
      <c r="N926" s="103">
        <v>0</v>
      </c>
      <c r="O926" s="103">
        <v>0</v>
      </c>
      <c r="P926" s="103">
        <v>0</v>
      </c>
      <c r="Q926" s="103">
        <v>0</v>
      </c>
      <c r="R926" s="103">
        <v>5</v>
      </c>
      <c r="S926" s="103" t="s">
        <v>48</v>
      </c>
      <c r="T926" s="93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CA926" s="12"/>
      <c r="CB926" s="12"/>
    </row>
    <row r="927" spans="1:80" x14ac:dyDescent="0.2">
      <c r="A927" s="96">
        <v>2621</v>
      </c>
      <c r="B927" s="99">
        <v>0</v>
      </c>
      <c r="C927" s="99">
        <v>0</v>
      </c>
      <c r="D927" s="99">
        <v>0</v>
      </c>
      <c r="E927" s="99">
        <v>0</v>
      </c>
      <c r="F927" s="99">
        <v>0</v>
      </c>
      <c r="G927" s="99">
        <v>0</v>
      </c>
      <c r="H927" s="99">
        <v>0</v>
      </c>
      <c r="I927" s="99" t="s">
        <v>48</v>
      </c>
      <c r="J927" s="93"/>
      <c r="K927" s="93">
        <v>2720</v>
      </c>
      <c r="L927" s="103">
        <v>0</v>
      </c>
      <c r="M927" s="103">
        <v>0</v>
      </c>
      <c r="N927" s="103">
        <v>0</v>
      </c>
      <c r="O927" s="103">
        <v>0</v>
      </c>
      <c r="P927" s="103">
        <v>0</v>
      </c>
      <c r="Q927" s="103">
        <v>0</v>
      </c>
      <c r="R927" s="103">
        <v>5</v>
      </c>
      <c r="S927" s="103" t="s">
        <v>48</v>
      </c>
      <c r="T927" s="93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CA927" s="12"/>
      <c r="CB927" s="12"/>
    </row>
    <row r="928" spans="1:80" x14ac:dyDescent="0.2">
      <c r="A928" s="96">
        <v>2622</v>
      </c>
      <c r="B928" s="99">
        <v>0</v>
      </c>
      <c r="C928" s="99">
        <v>0</v>
      </c>
      <c r="D928" s="99">
        <v>0</v>
      </c>
      <c r="E928" s="99">
        <v>0</v>
      </c>
      <c r="F928" s="99">
        <v>0</v>
      </c>
      <c r="G928" s="99">
        <v>0</v>
      </c>
      <c r="H928" s="99">
        <v>0</v>
      </c>
      <c r="I928" s="99" t="s">
        <v>48</v>
      </c>
      <c r="J928" s="93"/>
      <c r="K928" s="93">
        <v>2721</v>
      </c>
      <c r="L928" s="103">
        <v>0</v>
      </c>
      <c r="M928" s="103">
        <v>0</v>
      </c>
      <c r="N928" s="103">
        <v>0</v>
      </c>
      <c r="O928" s="103">
        <v>0</v>
      </c>
      <c r="P928" s="103">
        <v>0</v>
      </c>
      <c r="Q928" s="103">
        <v>0</v>
      </c>
      <c r="R928" s="103">
        <v>0</v>
      </c>
      <c r="S928" s="103" t="s">
        <v>48</v>
      </c>
      <c r="T928" s="93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CA928" s="12"/>
      <c r="CB928" s="12"/>
    </row>
    <row r="929" spans="1:80" x14ac:dyDescent="0.2">
      <c r="A929" s="96">
        <v>2623</v>
      </c>
      <c r="B929" s="99">
        <v>0</v>
      </c>
      <c r="C929" s="99">
        <v>0</v>
      </c>
      <c r="D929" s="99">
        <v>0</v>
      </c>
      <c r="E929" s="99">
        <v>0</v>
      </c>
      <c r="F929" s="99">
        <v>0</v>
      </c>
      <c r="G929" s="99">
        <v>0</v>
      </c>
      <c r="H929" s="99">
        <v>0</v>
      </c>
      <c r="I929" s="99" t="s">
        <v>48</v>
      </c>
      <c r="J929" s="93"/>
      <c r="K929" s="93">
        <v>2722</v>
      </c>
      <c r="L929" s="103">
        <v>0</v>
      </c>
      <c r="M929" s="103">
        <v>0</v>
      </c>
      <c r="N929" s="103">
        <v>0</v>
      </c>
      <c r="O929" s="103">
        <v>0</v>
      </c>
      <c r="P929" s="103">
        <v>0</v>
      </c>
      <c r="Q929" s="103">
        <v>0</v>
      </c>
      <c r="R929" s="103">
        <v>0</v>
      </c>
      <c r="S929" s="103" t="s">
        <v>48</v>
      </c>
      <c r="T929" s="93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CA929" s="12"/>
      <c r="CB929" s="12"/>
    </row>
    <row r="930" spans="1:80" x14ac:dyDescent="0.2">
      <c r="A930" s="96">
        <v>2624</v>
      </c>
      <c r="B930" s="99">
        <v>0</v>
      </c>
      <c r="C930" s="99">
        <v>0</v>
      </c>
      <c r="D930" s="99">
        <v>0</v>
      </c>
      <c r="E930" s="99">
        <v>0</v>
      </c>
      <c r="F930" s="99">
        <v>0</v>
      </c>
      <c r="G930" s="99">
        <v>0</v>
      </c>
      <c r="H930" s="99">
        <v>0</v>
      </c>
      <c r="I930" s="99" t="s">
        <v>48</v>
      </c>
      <c r="J930" s="93"/>
      <c r="K930" s="93">
        <v>2723</v>
      </c>
      <c r="L930" s="103">
        <v>0</v>
      </c>
      <c r="M930" s="103">
        <v>0</v>
      </c>
      <c r="N930" s="103">
        <v>0</v>
      </c>
      <c r="O930" s="103">
        <v>0</v>
      </c>
      <c r="P930" s="103">
        <v>0</v>
      </c>
      <c r="Q930" s="103">
        <v>0</v>
      </c>
      <c r="R930" s="103">
        <v>0</v>
      </c>
      <c r="S930" s="103" t="s">
        <v>48</v>
      </c>
      <c r="T930" s="93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CA930" s="12"/>
      <c r="CB930" s="12"/>
    </row>
    <row r="931" spans="1:80" x14ac:dyDescent="0.2">
      <c r="A931" s="96">
        <v>2625</v>
      </c>
      <c r="B931" s="99">
        <v>0</v>
      </c>
      <c r="C931" s="99">
        <v>0</v>
      </c>
      <c r="D931" s="99">
        <v>0</v>
      </c>
      <c r="E931" s="99">
        <v>0</v>
      </c>
      <c r="F931" s="99">
        <v>0</v>
      </c>
      <c r="G931" s="99">
        <v>0</v>
      </c>
      <c r="H931" s="99">
        <v>0</v>
      </c>
      <c r="I931" s="99" t="s">
        <v>48</v>
      </c>
      <c r="J931" s="93"/>
      <c r="K931" s="93">
        <v>2724</v>
      </c>
      <c r="L931" s="103">
        <v>0</v>
      </c>
      <c r="M931" s="103">
        <v>0</v>
      </c>
      <c r="N931" s="103">
        <v>0</v>
      </c>
      <c r="O931" s="103">
        <v>0</v>
      </c>
      <c r="P931" s="103">
        <v>0</v>
      </c>
      <c r="Q931" s="103">
        <v>0</v>
      </c>
      <c r="R931" s="103">
        <v>0</v>
      </c>
      <c r="S931" s="103" t="s">
        <v>48</v>
      </c>
      <c r="T931" s="93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CA931" s="12"/>
      <c r="CB931" s="12"/>
    </row>
    <row r="932" spans="1:80" x14ac:dyDescent="0.2">
      <c r="A932" s="96">
        <v>2626</v>
      </c>
      <c r="B932" s="99">
        <v>0</v>
      </c>
      <c r="C932" s="99">
        <v>0</v>
      </c>
      <c r="D932" s="99">
        <v>0</v>
      </c>
      <c r="E932" s="99">
        <v>0</v>
      </c>
      <c r="F932" s="99">
        <v>0</v>
      </c>
      <c r="G932" s="99">
        <v>0</v>
      </c>
      <c r="H932" s="99">
        <v>0</v>
      </c>
      <c r="I932" s="99" t="s">
        <v>48</v>
      </c>
      <c r="J932" s="93"/>
      <c r="K932" s="93">
        <v>2725</v>
      </c>
      <c r="L932" s="103">
        <v>0</v>
      </c>
      <c r="M932" s="103">
        <v>0</v>
      </c>
      <c r="N932" s="103">
        <v>0</v>
      </c>
      <c r="O932" s="103">
        <v>0</v>
      </c>
      <c r="P932" s="103">
        <v>0</v>
      </c>
      <c r="Q932" s="103">
        <v>0</v>
      </c>
      <c r="R932" s="103">
        <v>0</v>
      </c>
      <c r="S932" s="103" t="s">
        <v>48</v>
      </c>
      <c r="T932" s="93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CA932" s="12"/>
      <c r="CB932" s="12"/>
    </row>
    <row r="933" spans="1:80" x14ac:dyDescent="0.2">
      <c r="A933" s="96">
        <v>2627</v>
      </c>
      <c r="B933" s="99">
        <v>0</v>
      </c>
      <c r="C933" s="99">
        <v>0</v>
      </c>
      <c r="D933" s="99">
        <v>0</v>
      </c>
      <c r="E933" s="99">
        <v>0</v>
      </c>
      <c r="F933" s="99">
        <v>0</v>
      </c>
      <c r="G933" s="99">
        <v>0</v>
      </c>
      <c r="H933" s="99">
        <v>0</v>
      </c>
      <c r="I933" s="99" t="s">
        <v>48</v>
      </c>
      <c r="J933" s="93"/>
      <c r="K933" s="93">
        <v>2726</v>
      </c>
      <c r="L933" s="103">
        <v>0</v>
      </c>
      <c r="M933" s="103">
        <v>0</v>
      </c>
      <c r="N933" s="103">
        <v>0</v>
      </c>
      <c r="O933" s="103">
        <v>0</v>
      </c>
      <c r="P933" s="103">
        <v>0</v>
      </c>
      <c r="Q933" s="103">
        <v>0</v>
      </c>
      <c r="R933" s="103">
        <v>0</v>
      </c>
      <c r="S933" s="103" t="s">
        <v>48</v>
      </c>
      <c r="T933" s="93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CA933" s="12"/>
      <c r="CB933" s="12"/>
    </row>
    <row r="934" spans="1:80" x14ac:dyDescent="0.2">
      <c r="A934" s="96">
        <v>2628</v>
      </c>
      <c r="B934" s="99">
        <v>0</v>
      </c>
      <c r="C934" s="99">
        <v>0</v>
      </c>
      <c r="D934" s="99">
        <v>0</v>
      </c>
      <c r="E934" s="99">
        <v>0</v>
      </c>
      <c r="F934" s="99">
        <v>0</v>
      </c>
      <c r="G934" s="99">
        <v>0</v>
      </c>
      <c r="H934" s="99">
        <v>0</v>
      </c>
      <c r="I934" s="99" t="s">
        <v>48</v>
      </c>
      <c r="J934" s="93"/>
      <c r="K934" s="93">
        <v>2727</v>
      </c>
      <c r="L934" s="103">
        <v>0</v>
      </c>
      <c r="M934" s="103">
        <v>0</v>
      </c>
      <c r="N934" s="103">
        <v>0</v>
      </c>
      <c r="O934" s="103">
        <v>0</v>
      </c>
      <c r="P934" s="103">
        <v>0</v>
      </c>
      <c r="Q934" s="103">
        <v>0</v>
      </c>
      <c r="R934" s="103">
        <v>0</v>
      </c>
      <c r="S934" s="103" t="s">
        <v>48</v>
      </c>
      <c r="T934" s="93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CA934" s="12"/>
      <c r="CB934" s="12"/>
    </row>
    <row r="935" spans="1:80" x14ac:dyDescent="0.2">
      <c r="A935" s="96">
        <v>2629</v>
      </c>
      <c r="B935" s="99">
        <v>0</v>
      </c>
      <c r="C935" s="99">
        <v>0</v>
      </c>
      <c r="D935" s="99">
        <v>0</v>
      </c>
      <c r="E935" s="99">
        <v>0</v>
      </c>
      <c r="F935" s="99">
        <v>0</v>
      </c>
      <c r="G935" s="99">
        <v>0</v>
      </c>
      <c r="H935" s="99">
        <v>0</v>
      </c>
      <c r="I935" s="99" t="s">
        <v>48</v>
      </c>
      <c r="J935" s="93"/>
      <c r="K935" s="93">
        <v>2728</v>
      </c>
      <c r="L935" s="103">
        <v>0</v>
      </c>
      <c r="M935" s="103">
        <v>0</v>
      </c>
      <c r="N935" s="103">
        <v>0</v>
      </c>
      <c r="O935" s="103">
        <v>0</v>
      </c>
      <c r="P935" s="103">
        <v>0</v>
      </c>
      <c r="Q935" s="103">
        <v>0</v>
      </c>
      <c r="R935" s="103">
        <v>0</v>
      </c>
      <c r="S935" s="103" t="s">
        <v>48</v>
      </c>
      <c r="T935" s="93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CA935" s="12"/>
      <c r="CB935" s="12"/>
    </row>
    <row r="936" spans="1:80" x14ac:dyDescent="0.2">
      <c r="A936" s="96">
        <v>2630</v>
      </c>
      <c r="B936" s="99">
        <v>0</v>
      </c>
      <c r="C936" s="99">
        <v>0</v>
      </c>
      <c r="D936" s="99">
        <v>0</v>
      </c>
      <c r="E936" s="99">
        <v>0</v>
      </c>
      <c r="F936" s="99">
        <v>0</v>
      </c>
      <c r="G936" s="99">
        <v>0</v>
      </c>
      <c r="H936" s="99">
        <v>0</v>
      </c>
      <c r="I936" s="99" t="s">
        <v>48</v>
      </c>
      <c r="J936" s="93"/>
      <c r="K936" s="93">
        <v>2729</v>
      </c>
      <c r="L936" s="103">
        <v>0</v>
      </c>
      <c r="M936" s="103">
        <v>0</v>
      </c>
      <c r="N936" s="103">
        <v>0</v>
      </c>
      <c r="O936" s="103">
        <v>0</v>
      </c>
      <c r="P936" s="103">
        <v>0</v>
      </c>
      <c r="Q936" s="103">
        <v>0</v>
      </c>
      <c r="R936" s="103">
        <v>0</v>
      </c>
      <c r="S936" s="103" t="s">
        <v>48</v>
      </c>
      <c r="T936" s="93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CA936" s="12"/>
      <c r="CB936" s="12"/>
    </row>
    <row r="937" spans="1:80" x14ac:dyDescent="0.2">
      <c r="A937" s="96">
        <v>2631</v>
      </c>
      <c r="B937" s="99">
        <v>0</v>
      </c>
      <c r="C937" s="99">
        <v>0</v>
      </c>
      <c r="D937" s="99">
        <v>0</v>
      </c>
      <c r="E937" s="99">
        <v>0</v>
      </c>
      <c r="F937" s="99">
        <v>0</v>
      </c>
      <c r="G937" s="99">
        <v>0</v>
      </c>
      <c r="H937" s="99">
        <v>0</v>
      </c>
      <c r="I937" s="99" t="s">
        <v>48</v>
      </c>
      <c r="J937" s="93"/>
      <c r="K937" s="93">
        <v>2730</v>
      </c>
      <c r="L937" s="103">
        <v>0</v>
      </c>
      <c r="M937" s="103">
        <v>0</v>
      </c>
      <c r="N937" s="103">
        <v>0</v>
      </c>
      <c r="O937" s="103">
        <v>0</v>
      </c>
      <c r="P937" s="103">
        <v>0</v>
      </c>
      <c r="Q937" s="103">
        <v>0</v>
      </c>
      <c r="R937" s="103">
        <v>0</v>
      </c>
      <c r="S937" s="103" t="s">
        <v>48</v>
      </c>
      <c r="T937" s="93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CA937" s="12"/>
      <c r="CB937" s="12"/>
    </row>
    <row r="938" spans="1:80" x14ac:dyDescent="0.2">
      <c r="A938" s="96">
        <v>2632</v>
      </c>
      <c r="B938" s="99">
        <v>0</v>
      </c>
      <c r="C938" s="99">
        <v>0</v>
      </c>
      <c r="D938" s="99">
        <v>0</v>
      </c>
      <c r="E938" s="99">
        <v>0</v>
      </c>
      <c r="F938" s="99">
        <v>0</v>
      </c>
      <c r="G938" s="99">
        <v>0</v>
      </c>
      <c r="H938" s="99">
        <v>0</v>
      </c>
      <c r="I938" s="99" t="s">
        <v>48</v>
      </c>
      <c r="J938" s="93"/>
      <c r="K938" s="93">
        <v>2731</v>
      </c>
      <c r="L938" s="103">
        <v>0</v>
      </c>
      <c r="M938" s="103">
        <v>0</v>
      </c>
      <c r="N938" s="103">
        <v>0</v>
      </c>
      <c r="O938" s="103">
        <v>0</v>
      </c>
      <c r="P938" s="103">
        <v>0</v>
      </c>
      <c r="Q938" s="103">
        <v>0</v>
      </c>
      <c r="R938" s="103">
        <v>0</v>
      </c>
      <c r="S938" s="103" t="s">
        <v>48</v>
      </c>
      <c r="T938" s="93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CA938" s="12"/>
      <c r="CB938" s="12"/>
    </row>
    <row r="939" spans="1:80" x14ac:dyDescent="0.2">
      <c r="A939" s="96">
        <v>2633</v>
      </c>
      <c r="B939" s="99">
        <v>0</v>
      </c>
      <c r="C939" s="99">
        <v>0</v>
      </c>
      <c r="D939" s="99">
        <v>0</v>
      </c>
      <c r="E939" s="99">
        <v>0</v>
      </c>
      <c r="F939" s="99">
        <v>0</v>
      </c>
      <c r="G939" s="99">
        <v>0</v>
      </c>
      <c r="H939" s="99">
        <v>0</v>
      </c>
      <c r="I939" s="99" t="s">
        <v>48</v>
      </c>
      <c r="J939" s="93"/>
      <c r="K939" s="93">
        <v>2732</v>
      </c>
      <c r="L939" s="103">
        <v>0</v>
      </c>
      <c r="M939" s="103">
        <v>0</v>
      </c>
      <c r="N939" s="103">
        <v>0</v>
      </c>
      <c r="O939" s="103">
        <v>0</v>
      </c>
      <c r="P939" s="103">
        <v>0</v>
      </c>
      <c r="Q939" s="103">
        <v>0</v>
      </c>
      <c r="R939" s="103">
        <v>0</v>
      </c>
      <c r="S939" s="103" t="s">
        <v>48</v>
      </c>
      <c r="T939" s="93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CA939" s="12"/>
      <c r="CB939" s="12"/>
    </row>
    <row r="940" spans="1:80" x14ac:dyDescent="0.2">
      <c r="A940" s="96">
        <v>2634</v>
      </c>
      <c r="B940" s="99">
        <v>0</v>
      </c>
      <c r="C940" s="99">
        <v>0</v>
      </c>
      <c r="D940" s="99">
        <v>0</v>
      </c>
      <c r="E940" s="99">
        <v>0</v>
      </c>
      <c r="F940" s="99">
        <v>0</v>
      </c>
      <c r="G940" s="99">
        <v>0</v>
      </c>
      <c r="H940" s="99">
        <v>0</v>
      </c>
      <c r="I940" s="99" t="s">
        <v>48</v>
      </c>
      <c r="J940" s="93"/>
      <c r="K940" s="93">
        <v>2733</v>
      </c>
      <c r="L940" s="103">
        <v>0</v>
      </c>
      <c r="M940" s="103">
        <v>0</v>
      </c>
      <c r="N940" s="103">
        <v>0</v>
      </c>
      <c r="O940" s="103">
        <v>0</v>
      </c>
      <c r="P940" s="103">
        <v>0</v>
      </c>
      <c r="Q940" s="103">
        <v>0</v>
      </c>
      <c r="R940" s="103">
        <v>0</v>
      </c>
      <c r="S940" s="103" t="s">
        <v>48</v>
      </c>
      <c r="T940" s="93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CA940" s="12"/>
      <c r="CB940" s="12"/>
    </row>
    <row r="941" spans="1:80" x14ac:dyDescent="0.2">
      <c r="A941" s="96">
        <v>2635</v>
      </c>
      <c r="B941" s="99">
        <v>0</v>
      </c>
      <c r="C941" s="99">
        <v>0</v>
      </c>
      <c r="D941" s="99">
        <v>0</v>
      </c>
      <c r="E941" s="99">
        <v>0</v>
      </c>
      <c r="F941" s="99">
        <v>0</v>
      </c>
      <c r="G941" s="99">
        <v>0</v>
      </c>
      <c r="H941" s="99">
        <v>0</v>
      </c>
      <c r="I941" s="99" t="s">
        <v>48</v>
      </c>
      <c r="J941" s="93"/>
      <c r="K941" s="93">
        <v>2734</v>
      </c>
      <c r="L941" s="103">
        <v>0</v>
      </c>
      <c r="M941" s="103">
        <v>0</v>
      </c>
      <c r="N941" s="103">
        <v>0</v>
      </c>
      <c r="O941" s="103">
        <v>0</v>
      </c>
      <c r="P941" s="103">
        <v>0</v>
      </c>
      <c r="Q941" s="103">
        <v>0</v>
      </c>
      <c r="R941" s="103">
        <v>0</v>
      </c>
      <c r="S941" s="103" t="s">
        <v>48</v>
      </c>
      <c r="T941" s="93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CA941" s="12"/>
      <c r="CB941" s="12"/>
    </row>
    <row r="942" spans="1:80" x14ac:dyDescent="0.2">
      <c r="A942" s="96">
        <v>2636</v>
      </c>
      <c r="B942" s="99">
        <v>0</v>
      </c>
      <c r="C942" s="99">
        <v>0</v>
      </c>
      <c r="D942" s="99">
        <v>0</v>
      </c>
      <c r="E942" s="99">
        <v>0</v>
      </c>
      <c r="F942" s="99">
        <v>0</v>
      </c>
      <c r="G942" s="99">
        <v>0</v>
      </c>
      <c r="H942" s="99">
        <v>0</v>
      </c>
      <c r="I942" s="99" t="s">
        <v>48</v>
      </c>
      <c r="J942" s="93"/>
      <c r="K942" s="93">
        <v>2735</v>
      </c>
      <c r="L942" s="103">
        <v>0</v>
      </c>
      <c r="M942" s="103">
        <v>0</v>
      </c>
      <c r="N942" s="103">
        <v>0</v>
      </c>
      <c r="O942" s="103">
        <v>0</v>
      </c>
      <c r="P942" s="103">
        <v>0</v>
      </c>
      <c r="Q942" s="103">
        <v>0</v>
      </c>
      <c r="R942" s="103">
        <v>0</v>
      </c>
      <c r="S942" s="103" t="s">
        <v>48</v>
      </c>
      <c r="T942" s="93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CA942" s="12"/>
      <c r="CB942" s="12"/>
    </row>
    <row r="943" spans="1:80" x14ac:dyDescent="0.2">
      <c r="A943" s="96">
        <v>2637</v>
      </c>
      <c r="B943" s="99">
        <v>0</v>
      </c>
      <c r="C943" s="99">
        <v>0</v>
      </c>
      <c r="D943" s="99">
        <v>0</v>
      </c>
      <c r="E943" s="99">
        <v>0</v>
      </c>
      <c r="F943" s="99">
        <v>0</v>
      </c>
      <c r="G943" s="99">
        <v>0</v>
      </c>
      <c r="H943" s="99">
        <v>0</v>
      </c>
      <c r="I943" s="99" t="s">
        <v>48</v>
      </c>
      <c r="J943" s="93"/>
      <c r="K943" s="93">
        <v>2736</v>
      </c>
      <c r="L943" s="103">
        <v>0</v>
      </c>
      <c r="M943" s="103">
        <v>0</v>
      </c>
      <c r="N943" s="103">
        <v>0</v>
      </c>
      <c r="O943" s="103">
        <v>0</v>
      </c>
      <c r="P943" s="103">
        <v>0</v>
      </c>
      <c r="Q943" s="103">
        <v>0</v>
      </c>
      <c r="R943" s="103">
        <v>0</v>
      </c>
      <c r="S943" s="103" t="s">
        <v>48</v>
      </c>
      <c r="T943" s="93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CA943" s="12"/>
      <c r="CB943" s="12"/>
    </row>
    <row r="944" spans="1:80" x14ac:dyDescent="0.2">
      <c r="A944" s="96">
        <v>2638</v>
      </c>
      <c r="B944" s="99">
        <v>0</v>
      </c>
      <c r="C944" s="99">
        <v>0</v>
      </c>
      <c r="D944" s="99">
        <v>0</v>
      </c>
      <c r="E944" s="99">
        <v>0</v>
      </c>
      <c r="F944" s="99">
        <v>0</v>
      </c>
      <c r="G944" s="99">
        <v>0</v>
      </c>
      <c r="H944" s="99">
        <v>0</v>
      </c>
      <c r="I944" s="99" t="s">
        <v>48</v>
      </c>
      <c r="J944" s="93"/>
      <c r="K944" s="93">
        <v>2737</v>
      </c>
      <c r="L944" s="103">
        <v>0</v>
      </c>
      <c r="M944" s="103">
        <v>0</v>
      </c>
      <c r="N944" s="103">
        <v>0</v>
      </c>
      <c r="O944" s="103">
        <v>0</v>
      </c>
      <c r="P944" s="103">
        <v>0</v>
      </c>
      <c r="Q944" s="103">
        <v>0</v>
      </c>
      <c r="R944" s="103">
        <v>0</v>
      </c>
      <c r="S944" s="103" t="s">
        <v>48</v>
      </c>
      <c r="T944" s="93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CA944" s="12"/>
      <c r="CB944" s="12"/>
    </row>
    <row r="945" spans="1:80" x14ac:dyDescent="0.2">
      <c r="A945" s="96">
        <v>2639</v>
      </c>
      <c r="B945" s="99">
        <v>0</v>
      </c>
      <c r="C945" s="99">
        <v>0</v>
      </c>
      <c r="D945" s="99">
        <v>0</v>
      </c>
      <c r="E945" s="99">
        <v>0</v>
      </c>
      <c r="F945" s="99">
        <v>0</v>
      </c>
      <c r="G945" s="99">
        <v>0</v>
      </c>
      <c r="H945" s="99">
        <v>0</v>
      </c>
      <c r="I945" s="99" t="s">
        <v>48</v>
      </c>
      <c r="J945" s="93"/>
      <c r="K945" s="93">
        <v>2738</v>
      </c>
      <c r="L945" s="103">
        <v>0</v>
      </c>
      <c r="M945" s="103">
        <v>0</v>
      </c>
      <c r="N945" s="103">
        <v>0</v>
      </c>
      <c r="O945" s="103">
        <v>0</v>
      </c>
      <c r="P945" s="103">
        <v>0</v>
      </c>
      <c r="Q945" s="103">
        <v>0</v>
      </c>
      <c r="R945" s="103">
        <v>0</v>
      </c>
      <c r="S945" s="103" t="s">
        <v>48</v>
      </c>
      <c r="T945" s="93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CA945" s="12"/>
      <c r="CB945" s="12"/>
    </row>
    <row r="946" spans="1:80" x14ac:dyDescent="0.2">
      <c r="A946" s="96">
        <v>2640</v>
      </c>
      <c r="B946" s="99">
        <v>0</v>
      </c>
      <c r="C946" s="99">
        <v>0</v>
      </c>
      <c r="D946" s="99">
        <v>0</v>
      </c>
      <c r="E946" s="99">
        <v>0</v>
      </c>
      <c r="F946" s="99">
        <v>0</v>
      </c>
      <c r="G946" s="99">
        <v>0</v>
      </c>
      <c r="H946" s="99">
        <v>0</v>
      </c>
      <c r="I946" s="99" t="s">
        <v>48</v>
      </c>
      <c r="J946" s="93"/>
      <c r="K946" s="93">
        <v>2739</v>
      </c>
      <c r="L946" s="103">
        <v>0</v>
      </c>
      <c r="M946" s="103">
        <v>0</v>
      </c>
      <c r="N946" s="103">
        <v>0</v>
      </c>
      <c r="O946" s="103">
        <v>0</v>
      </c>
      <c r="P946" s="103">
        <v>0</v>
      </c>
      <c r="Q946" s="103">
        <v>0</v>
      </c>
      <c r="R946" s="103">
        <v>0</v>
      </c>
      <c r="S946" s="103" t="s">
        <v>48</v>
      </c>
      <c r="T946" s="93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CA946" s="12"/>
      <c r="CB946" s="12"/>
    </row>
    <row r="947" spans="1:80" x14ac:dyDescent="0.2">
      <c r="A947" s="96">
        <v>2641</v>
      </c>
      <c r="B947" s="99">
        <v>0</v>
      </c>
      <c r="C947" s="99">
        <v>0</v>
      </c>
      <c r="D947" s="99">
        <v>0</v>
      </c>
      <c r="E947" s="99">
        <v>0</v>
      </c>
      <c r="F947" s="99">
        <v>0</v>
      </c>
      <c r="G947" s="99">
        <v>0</v>
      </c>
      <c r="H947" s="99">
        <v>0</v>
      </c>
      <c r="I947" s="99" t="s">
        <v>48</v>
      </c>
      <c r="J947" s="93"/>
      <c r="K947" s="93">
        <v>2740</v>
      </c>
      <c r="L947" s="103">
        <v>0</v>
      </c>
      <c r="M947" s="103">
        <v>0</v>
      </c>
      <c r="N947" s="103">
        <v>0</v>
      </c>
      <c r="O947" s="103">
        <v>0</v>
      </c>
      <c r="P947" s="103">
        <v>0</v>
      </c>
      <c r="Q947" s="103">
        <v>0</v>
      </c>
      <c r="R947" s="103">
        <v>0</v>
      </c>
      <c r="S947" s="103" t="s">
        <v>48</v>
      </c>
      <c r="T947" s="93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CA947" s="12"/>
      <c r="CB947" s="12"/>
    </row>
    <row r="948" spans="1:80" x14ac:dyDescent="0.2">
      <c r="A948" s="96">
        <v>2642</v>
      </c>
      <c r="B948" s="99">
        <v>0</v>
      </c>
      <c r="C948" s="99">
        <v>0</v>
      </c>
      <c r="D948" s="99">
        <v>0</v>
      </c>
      <c r="E948" s="99">
        <v>0</v>
      </c>
      <c r="F948" s="99">
        <v>0</v>
      </c>
      <c r="G948" s="99">
        <v>0</v>
      </c>
      <c r="H948" s="99">
        <v>0</v>
      </c>
      <c r="I948" s="99" t="s">
        <v>48</v>
      </c>
      <c r="J948" s="93"/>
      <c r="K948" s="93">
        <v>2741</v>
      </c>
      <c r="L948" s="103">
        <v>0</v>
      </c>
      <c r="M948" s="103">
        <v>0</v>
      </c>
      <c r="N948" s="103">
        <v>0</v>
      </c>
      <c r="O948" s="103">
        <v>0</v>
      </c>
      <c r="P948" s="103">
        <v>0</v>
      </c>
      <c r="Q948" s="103">
        <v>0</v>
      </c>
      <c r="R948" s="103">
        <v>0</v>
      </c>
      <c r="S948" s="103" t="s">
        <v>48</v>
      </c>
      <c r="T948" s="93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CA948" s="12"/>
      <c r="CB948" s="12"/>
    </row>
    <row r="949" spans="1:80" x14ac:dyDescent="0.2">
      <c r="A949" s="96">
        <v>2643</v>
      </c>
      <c r="B949" s="99">
        <v>0</v>
      </c>
      <c r="C949" s="99">
        <v>0</v>
      </c>
      <c r="D949" s="99">
        <v>0</v>
      </c>
      <c r="E949" s="99">
        <v>0</v>
      </c>
      <c r="F949" s="99">
        <v>0</v>
      </c>
      <c r="G949" s="99">
        <v>0</v>
      </c>
      <c r="H949" s="99">
        <v>0</v>
      </c>
      <c r="I949" s="99" t="s">
        <v>48</v>
      </c>
      <c r="J949" s="93"/>
      <c r="K949" s="93">
        <v>2742</v>
      </c>
      <c r="L949" s="103">
        <v>0</v>
      </c>
      <c r="M949" s="103">
        <v>0</v>
      </c>
      <c r="N949" s="103">
        <v>0</v>
      </c>
      <c r="O949" s="103">
        <v>0</v>
      </c>
      <c r="P949" s="103">
        <v>0</v>
      </c>
      <c r="Q949" s="103">
        <v>0</v>
      </c>
      <c r="R949" s="103">
        <v>0</v>
      </c>
      <c r="S949" s="103" t="s">
        <v>48</v>
      </c>
      <c r="T949" s="93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CA949" s="12"/>
      <c r="CB949" s="12"/>
    </row>
    <row r="950" spans="1:80" x14ac:dyDescent="0.2">
      <c r="A950" s="96">
        <v>2644</v>
      </c>
      <c r="B950" s="99">
        <v>0</v>
      </c>
      <c r="C950" s="99">
        <v>0</v>
      </c>
      <c r="D950" s="99">
        <v>0</v>
      </c>
      <c r="E950" s="99">
        <v>0</v>
      </c>
      <c r="F950" s="99">
        <v>0</v>
      </c>
      <c r="G950" s="99">
        <v>0</v>
      </c>
      <c r="H950" s="99">
        <v>0</v>
      </c>
      <c r="I950" s="99" t="s">
        <v>48</v>
      </c>
      <c r="J950" s="93"/>
      <c r="K950" s="93">
        <v>2743</v>
      </c>
      <c r="L950" s="103">
        <v>0</v>
      </c>
      <c r="M950" s="103">
        <v>0</v>
      </c>
      <c r="N950" s="103">
        <v>0</v>
      </c>
      <c r="O950" s="103">
        <v>0</v>
      </c>
      <c r="P950" s="103">
        <v>0</v>
      </c>
      <c r="Q950" s="103">
        <v>0</v>
      </c>
      <c r="R950" s="103">
        <v>0</v>
      </c>
      <c r="S950" s="103" t="s">
        <v>48</v>
      </c>
      <c r="T950" s="93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CA950" s="12"/>
      <c r="CB950" s="12"/>
    </row>
    <row r="951" spans="1:80" x14ac:dyDescent="0.2">
      <c r="A951" s="96">
        <v>2645</v>
      </c>
      <c r="B951" s="99">
        <v>0</v>
      </c>
      <c r="C951" s="99">
        <v>0</v>
      </c>
      <c r="D951" s="99">
        <v>0</v>
      </c>
      <c r="E951" s="99">
        <v>0</v>
      </c>
      <c r="F951" s="99">
        <v>0</v>
      </c>
      <c r="G951" s="99">
        <v>0</v>
      </c>
      <c r="H951" s="99">
        <v>0</v>
      </c>
      <c r="I951" s="99" t="s">
        <v>48</v>
      </c>
      <c r="J951" s="93"/>
      <c r="K951" s="93">
        <v>2744</v>
      </c>
      <c r="L951" s="103">
        <v>0</v>
      </c>
      <c r="M951" s="103">
        <v>0</v>
      </c>
      <c r="N951" s="103">
        <v>0</v>
      </c>
      <c r="O951" s="103">
        <v>0</v>
      </c>
      <c r="P951" s="103">
        <v>0</v>
      </c>
      <c r="Q951" s="103">
        <v>0</v>
      </c>
      <c r="R951" s="103">
        <v>0</v>
      </c>
      <c r="S951" s="103" t="s">
        <v>48</v>
      </c>
      <c r="T951" s="93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CA951" s="12"/>
      <c r="CB951" s="12"/>
    </row>
    <row r="952" spans="1:80" x14ac:dyDescent="0.2">
      <c r="A952" s="96">
        <v>2646</v>
      </c>
      <c r="B952" s="99">
        <v>0</v>
      </c>
      <c r="C952" s="99">
        <v>0</v>
      </c>
      <c r="D952" s="99">
        <v>0</v>
      </c>
      <c r="E952" s="99">
        <v>0</v>
      </c>
      <c r="F952" s="99">
        <v>0</v>
      </c>
      <c r="G952" s="99">
        <v>0</v>
      </c>
      <c r="H952" s="99">
        <v>0</v>
      </c>
      <c r="I952" s="99" t="s">
        <v>48</v>
      </c>
      <c r="J952" s="93"/>
      <c r="K952" s="93">
        <v>2745</v>
      </c>
      <c r="L952" s="103">
        <v>0</v>
      </c>
      <c r="M952" s="103">
        <v>0</v>
      </c>
      <c r="N952" s="103">
        <v>0</v>
      </c>
      <c r="O952" s="103">
        <v>0</v>
      </c>
      <c r="P952" s="103">
        <v>0</v>
      </c>
      <c r="Q952" s="103">
        <v>0</v>
      </c>
      <c r="R952" s="103">
        <v>0</v>
      </c>
      <c r="S952" s="103" t="s">
        <v>48</v>
      </c>
      <c r="T952" s="93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CA952" s="12"/>
      <c r="CB952" s="12"/>
    </row>
    <row r="953" spans="1:80" x14ac:dyDescent="0.2">
      <c r="A953" s="96">
        <v>2647</v>
      </c>
      <c r="B953" s="99">
        <v>0</v>
      </c>
      <c r="C953" s="99">
        <v>0</v>
      </c>
      <c r="D953" s="99">
        <v>0</v>
      </c>
      <c r="E953" s="99">
        <v>0</v>
      </c>
      <c r="F953" s="99">
        <v>0</v>
      </c>
      <c r="G953" s="99">
        <v>0</v>
      </c>
      <c r="H953" s="99">
        <v>0</v>
      </c>
      <c r="I953" s="99" t="s">
        <v>48</v>
      </c>
      <c r="J953" s="93"/>
      <c r="K953" s="93">
        <v>2746</v>
      </c>
      <c r="L953" s="103">
        <v>0</v>
      </c>
      <c r="M953" s="103">
        <v>0</v>
      </c>
      <c r="N953" s="103">
        <v>0</v>
      </c>
      <c r="O953" s="103">
        <v>0</v>
      </c>
      <c r="P953" s="103">
        <v>0</v>
      </c>
      <c r="Q953" s="103">
        <v>0</v>
      </c>
      <c r="R953" s="103">
        <v>0</v>
      </c>
      <c r="S953" s="103" t="s">
        <v>48</v>
      </c>
      <c r="T953" s="93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CA953" s="12"/>
      <c r="CB953" s="12"/>
    </row>
    <row r="954" spans="1:80" x14ac:dyDescent="0.2">
      <c r="A954" s="96">
        <v>2648</v>
      </c>
      <c r="B954" s="99">
        <v>0</v>
      </c>
      <c r="C954" s="99">
        <v>0</v>
      </c>
      <c r="D954" s="99">
        <v>0</v>
      </c>
      <c r="E954" s="99">
        <v>0</v>
      </c>
      <c r="F954" s="99">
        <v>0</v>
      </c>
      <c r="G954" s="99">
        <v>0</v>
      </c>
      <c r="H954" s="99">
        <v>0</v>
      </c>
      <c r="I954" s="99" t="s">
        <v>48</v>
      </c>
      <c r="J954" s="93"/>
      <c r="K954" s="93">
        <v>2747</v>
      </c>
      <c r="L954" s="103">
        <v>0</v>
      </c>
      <c r="M954" s="103">
        <v>0</v>
      </c>
      <c r="N954" s="103">
        <v>0</v>
      </c>
      <c r="O954" s="103">
        <v>0</v>
      </c>
      <c r="P954" s="103">
        <v>0</v>
      </c>
      <c r="Q954" s="103">
        <v>0</v>
      </c>
      <c r="R954" s="103">
        <v>0</v>
      </c>
      <c r="S954" s="103" t="s">
        <v>48</v>
      </c>
      <c r="T954" s="93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CA954" s="12"/>
      <c r="CB954" s="12"/>
    </row>
    <row r="955" spans="1:80" x14ac:dyDescent="0.2">
      <c r="A955" s="96">
        <v>2649</v>
      </c>
      <c r="B955" s="99">
        <v>0</v>
      </c>
      <c r="C955" s="99">
        <v>0</v>
      </c>
      <c r="D955" s="99">
        <v>0</v>
      </c>
      <c r="E955" s="99">
        <v>0</v>
      </c>
      <c r="F955" s="99">
        <v>0</v>
      </c>
      <c r="G955" s="99">
        <v>0</v>
      </c>
      <c r="H955" s="99">
        <v>0</v>
      </c>
      <c r="I955" s="99" t="s">
        <v>48</v>
      </c>
      <c r="J955" s="93"/>
      <c r="K955" s="93">
        <v>2748</v>
      </c>
      <c r="L955" s="103">
        <v>0</v>
      </c>
      <c r="M955" s="103">
        <v>0</v>
      </c>
      <c r="N955" s="103">
        <v>0</v>
      </c>
      <c r="O955" s="103">
        <v>0</v>
      </c>
      <c r="P955" s="103">
        <v>0</v>
      </c>
      <c r="Q955" s="103">
        <v>0</v>
      </c>
      <c r="R955" s="103">
        <v>0</v>
      </c>
      <c r="S955" s="103" t="s">
        <v>48</v>
      </c>
      <c r="T955" s="93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CA955" s="12"/>
      <c r="CB955" s="12"/>
    </row>
    <row r="956" spans="1:80" x14ac:dyDescent="0.2">
      <c r="A956" s="96">
        <v>2650</v>
      </c>
      <c r="B956" s="99">
        <v>0</v>
      </c>
      <c r="C956" s="99">
        <v>0</v>
      </c>
      <c r="D956" s="99">
        <v>0</v>
      </c>
      <c r="E956" s="99">
        <v>0</v>
      </c>
      <c r="F956" s="99">
        <v>0</v>
      </c>
      <c r="G956" s="99">
        <v>0</v>
      </c>
      <c r="H956" s="99">
        <v>0</v>
      </c>
      <c r="I956" s="99" t="s">
        <v>48</v>
      </c>
      <c r="J956" s="93"/>
      <c r="K956" s="93">
        <v>2749</v>
      </c>
      <c r="L956" s="103">
        <v>0</v>
      </c>
      <c r="M956" s="103">
        <v>0</v>
      </c>
      <c r="N956" s="103">
        <v>0</v>
      </c>
      <c r="O956" s="103">
        <v>0</v>
      </c>
      <c r="P956" s="103">
        <v>0</v>
      </c>
      <c r="Q956" s="103">
        <v>0</v>
      </c>
      <c r="R956" s="103">
        <v>0</v>
      </c>
      <c r="S956" s="103" t="s">
        <v>48</v>
      </c>
      <c r="T956" s="93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CA956" s="12"/>
      <c r="CB956" s="12"/>
    </row>
    <row r="957" spans="1:80" x14ac:dyDescent="0.2">
      <c r="A957" s="96">
        <v>2651</v>
      </c>
      <c r="B957" s="99">
        <v>0</v>
      </c>
      <c r="C957" s="99">
        <v>0</v>
      </c>
      <c r="D957" s="99">
        <v>0</v>
      </c>
      <c r="E957" s="99">
        <v>0</v>
      </c>
      <c r="F957" s="99">
        <v>0</v>
      </c>
      <c r="G957" s="99">
        <v>0</v>
      </c>
      <c r="H957" s="99">
        <v>0</v>
      </c>
      <c r="I957" s="99" t="s">
        <v>48</v>
      </c>
      <c r="J957" s="93"/>
      <c r="K957" s="93">
        <v>2750</v>
      </c>
      <c r="L957" s="103">
        <v>0</v>
      </c>
      <c r="M957" s="103">
        <v>0</v>
      </c>
      <c r="N957" s="103">
        <v>0</v>
      </c>
      <c r="O957" s="103">
        <v>0</v>
      </c>
      <c r="P957" s="103">
        <v>0</v>
      </c>
      <c r="Q957" s="103">
        <v>0</v>
      </c>
      <c r="R957" s="103">
        <v>0</v>
      </c>
      <c r="S957" s="103" t="s">
        <v>48</v>
      </c>
      <c r="T957" s="93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CA957" s="12"/>
      <c r="CB957" s="12"/>
    </row>
    <row r="958" spans="1:80" x14ac:dyDescent="0.2">
      <c r="A958" s="96">
        <v>2652</v>
      </c>
      <c r="B958" s="99">
        <v>0</v>
      </c>
      <c r="C958" s="99">
        <v>0</v>
      </c>
      <c r="D958" s="99">
        <v>0</v>
      </c>
      <c r="E958" s="99">
        <v>0</v>
      </c>
      <c r="F958" s="99">
        <v>0</v>
      </c>
      <c r="G958" s="99">
        <v>0</v>
      </c>
      <c r="H958" s="99">
        <v>0</v>
      </c>
      <c r="I958" s="99" t="s">
        <v>48</v>
      </c>
      <c r="J958" s="93"/>
      <c r="K958" s="93">
        <v>2751</v>
      </c>
      <c r="L958" s="103">
        <v>0</v>
      </c>
      <c r="M958" s="103">
        <v>0</v>
      </c>
      <c r="N958" s="103">
        <v>0</v>
      </c>
      <c r="O958" s="103">
        <v>0</v>
      </c>
      <c r="P958" s="103">
        <v>0</v>
      </c>
      <c r="Q958" s="103">
        <v>0</v>
      </c>
      <c r="R958" s="103">
        <v>0</v>
      </c>
      <c r="S958" s="103" t="s">
        <v>48</v>
      </c>
      <c r="T958" s="93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CA958" s="12"/>
      <c r="CB958" s="12"/>
    </row>
    <row r="959" spans="1:80" x14ac:dyDescent="0.2">
      <c r="A959" s="96">
        <v>2653</v>
      </c>
      <c r="B959" s="99">
        <v>0</v>
      </c>
      <c r="C959" s="99">
        <v>0</v>
      </c>
      <c r="D959" s="99">
        <v>0</v>
      </c>
      <c r="E959" s="99">
        <v>0</v>
      </c>
      <c r="F959" s="99">
        <v>0</v>
      </c>
      <c r="G959" s="99">
        <v>0</v>
      </c>
      <c r="H959" s="99">
        <v>0</v>
      </c>
      <c r="I959" s="99" t="s">
        <v>48</v>
      </c>
      <c r="J959" s="93"/>
      <c r="K959" s="93">
        <v>2752</v>
      </c>
      <c r="L959" s="103">
        <v>0</v>
      </c>
      <c r="M959" s="103">
        <v>0</v>
      </c>
      <c r="N959" s="103">
        <v>0</v>
      </c>
      <c r="O959" s="103">
        <v>0</v>
      </c>
      <c r="P959" s="103">
        <v>0</v>
      </c>
      <c r="Q959" s="103">
        <v>0</v>
      </c>
      <c r="R959" s="103">
        <v>0</v>
      </c>
      <c r="S959" s="103" t="s">
        <v>48</v>
      </c>
      <c r="T959" s="93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CA959" s="12"/>
      <c r="CB959" s="12"/>
    </row>
    <row r="960" spans="1:80" x14ac:dyDescent="0.2">
      <c r="A960" s="96">
        <v>2654</v>
      </c>
      <c r="B960" s="99">
        <v>0</v>
      </c>
      <c r="C960" s="99">
        <v>0</v>
      </c>
      <c r="D960" s="99">
        <v>0</v>
      </c>
      <c r="E960" s="99">
        <v>0</v>
      </c>
      <c r="F960" s="99">
        <v>0</v>
      </c>
      <c r="G960" s="99">
        <v>0</v>
      </c>
      <c r="H960" s="99">
        <v>0</v>
      </c>
      <c r="I960" s="99" t="s">
        <v>48</v>
      </c>
      <c r="J960" s="93"/>
      <c r="K960" s="93">
        <v>2753</v>
      </c>
      <c r="L960" s="103">
        <v>0</v>
      </c>
      <c r="M960" s="103">
        <v>0</v>
      </c>
      <c r="N960" s="103">
        <v>0</v>
      </c>
      <c r="O960" s="103">
        <v>0</v>
      </c>
      <c r="P960" s="103">
        <v>0</v>
      </c>
      <c r="Q960" s="103">
        <v>0</v>
      </c>
      <c r="R960" s="103">
        <v>0</v>
      </c>
      <c r="S960" s="103" t="s">
        <v>48</v>
      </c>
      <c r="T960" s="93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CA960" s="12"/>
      <c r="CB960" s="12"/>
    </row>
    <row r="961" spans="1:80" x14ac:dyDescent="0.2">
      <c r="A961" s="96">
        <v>2655</v>
      </c>
      <c r="B961" s="99">
        <v>0</v>
      </c>
      <c r="C961" s="99">
        <v>0</v>
      </c>
      <c r="D961" s="99">
        <v>0</v>
      </c>
      <c r="E961" s="99">
        <v>0</v>
      </c>
      <c r="F961" s="99">
        <v>0</v>
      </c>
      <c r="G961" s="99">
        <v>0</v>
      </c>
      <c r="H961" s="99">
        <v>0</v>
      </c>
      <c r="I961" s="99" t="s">
        <v>48</v>
      </c>
      <c r="J961" s="93"/>
      <c r="K961" s="93">
        <v>2754</v>
      </c>
      <c r="L961" s="103">
        <v>0</v>
      </c>
      <c r="M961" s="103">
        <v>0</v>
      </c>
      <c r="N961" s="103">
        <v>0</v>
      </c>
      <c r="O961" s="103">
        <v>0</v>
      </c>
      <c r="P961" s="103">
        <v>0</v>
      </c>
      <c r="Q961" s="103">
        <v>0</v>
      </c>
      <c r="R961" s="103">
        <v>0</v>
      </c>
      <c r="S961" s="103" t="s">
        <v>48</v>
      </c>
      <c r="T961" s="93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CA961" s="12"/>
      <c r="CB961" s="12"/>
    </row>
    <row r="962" spans="1:80" x14ac:dyDescent="0.2">
      <c r="A962" s="96">
        <v>2656</v>
      </c>
      <c r="B962" s="99">
        <v>0</v>
      </c>
      <c r="C962" s="99">
        <v>0</v>
      </c>
      <c r="D962" s="99">
        <v>0</v>
      </c>
      <c r="E962" s="99">
        <v>0</v>
      </c>
      <c r="F962" s="99">
        <v>0</v>
      </c>
      <c r="G962" s="99">
        <v>0</v>
      </c>
      <c r="H962" s="99">
        <v>0</v>
      </c>
      <c r="I962" s="99" t="s">
        <v>48</v>
      </c>
      <c r="J962" s="93"/>
      <c r="K962" s="93">
        <v>2755</v>
      </c>
      <c r="L962" s="103">
        <v>0</v>
      </c>
      <c r="M962" s="103">
        <v>0</v>
      </c>
      <c r="N962" s="103">
        <v>0</v>
      </c>
      <c r="O962" s="103">
        <v>0</v>
      </c>
      <c r="P962" s="103">
        <v>0</v>
      </c>
      <c r="Q962" s="103">
        <v>0</v>
      </c>
      <c r="R962" s="103">
        <v>0</v>
      </c>
      <c r="S962" s="103" t="s">
        <v>48</v>
      </c>
      <c r="T962" s="93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CA962" s="12"/>
      <c r="CB962" s="12"/>
    </row>
    <row r="963" spans="1:80" x14ac:dyDescent="0.2">
      <c r="A963" s="96">
        <v>2657</v>
      </c>
      <c r="B963" s="99">
        <v>0</v>
      </c>
      <c r="C963" s="99">
        <v>0</v>
      </c>
      <c r="D963" s="99">
        <v>0</v>
      </c>
      <c r="E963" s="99">
        <v>0</v>
      </c>
      <c r="F963" s="99">
        <v>0</v>
      </c>
      <c r="G963" s="99">
        <v>0</v>
      </c>
      <c r="H963" s="99">
        <v>0</v>
      </c>
      <c r="I963" s="99" t="s">
        <v>48</v>
      </c>
      <c r="J963" s="93"/>
      <c r="K963" s="93">
        <v>2756</v>
      </c>
      <c r="L963" s="103">
        <v>0</v>
      </c>
      <c r="M963" s="103">
        <v>0</v>
      </c>
      <c r="N963" s="103">
        <v>0</v>
      </c>
      <c r="O963" s="103">
        <v>0</v>
      </c>
      <c r="P963" s="103">
        <v>0</v>
      </c>
      <c r="Q963" s="103">
        <v>0</v>
      </c>
      <c r="R963" s="103">
        <v>0</v>
      </c>
      <c r="S963" s="103" t="s">
        <v>48</v>
      </c>
      <c r="T963" s="93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CA963" s="12"/>
      <c r="CB963" s="12"/>
    </row>
    <row r="964" spans="1:80" x14ac:dyDescent="0.2">
      <c r="A964" s="96">
        <v>2658</v>
      </c>
      <c r="B964" s="99">
        <v>0</v>
      </c>
      <c r="C964" s="99">
        <v>0</v>
      </c>
      <c r="D964" s="99">
        <v>0</v>
      </c>
      <c r="E964" s="99">
        <v>0</v>
      </c>
      <c r="F964" s="99">
        <v>0</v>
      </c>
      <c r="G964" s="99">
        <v>0</v>
      </c>
      <c r="H964" s="99">
        <v>0</v>
      </c>
      <c r="I964" s="99" t="s">
        <v>48</v>
      </c>
      <c r="J964" s="93"/>
      <c r="K964" s="93">
        <v>2757</v>
      </c>
      <c r="L964" s="103">
        <v>0</v>
      </c>
      <c r="M964" s="103">
        <v>0</v>
      </c>
      <c r="N964" s="103">
        <v>0</v>
      </c>
      <c r="O964" s="103">
        <v>0</v>
      </c>
      <c r="P964" s="103">
        <v>0</v>
      </c>
      <c r="Q964" s="103">
        <v>0</v>
      </c>
      <c r="R964" s="103">
        <v>0</v>
      </c>
      <c r="S964" s="103" t="s">
        <v>48</v>
      </c>
      <c r="T964" s="93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CA964" s="12"/>
      <c r="CB964" s="12"/>
    </row>
    <row r="965" spans="1:80" x14ac:dyDescent="0.2">
      <c r="A965" s="96">
        <v>2659</v>
      </c>
      <c r="B965" s="99">
        <v>0</v>
      </c>
      <c r="C965" s="99">
        <v>0</v>
      </c>
      <c r="D965" s="99">
        <v>0</v>
      </c>
      <c r="E965" s="99">
        <v>0</v>
      </c>
      <c r="F965" s="99">
        <v>0</v>
      </c>
      <c r="G965" s="99">
        <v>0</v>
      </c>
      <c r="H965" s="99">
        <v>0</v>
      </c>
      <c r="I965" s="99" t="s">
        <v>48</v>
      </c>
      <c r="J965" s="93"/>
      <c r="K965" s="93">
        <v>2758</v>
      </c>
      <c r="L965" s="103">
        <v>0</v>
      </c>
      <c r="M965" s="103">
        <v>0</v>
      </c>
      <c r="N965" s="103">
        <v>0</v>
      </c>
      <c r="O965" s="103">
        <v>0</v>
      </c>
      <c r="P965" s="103">
        <v>0</v>
      </c>
      <c r="Q965" s="103">
        <v>0</v>
      </c>
      <c r="R965" s="103">
        <v>0</v>
      </c>
      <c r="S965" s="103" t="s">
        <v>48</v>
      </c>
      <c r="T965" s="93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CA965" s="12"/>
      <c r="CB965" s="12"/>
    </row>
    <row r="966" spans="1:80" x14ac:dyDescent="0.2">
      <c r="A966" s="96">
        <v>2700</v>
      </c>
      <c r="B966" s="99">
        <v>0</v>
      </c>
      <c r="C966" s="99">
        <v>0</v>
      </c>
      <c r="D966" s="99">
        <v>0</v>
      </c>
      <c r="E966" s="99">
        <v>0</v>
      </c>
      <c r="F966" s="99">
        <v>0</v>
      </c>
      <c r="G966" s="99">
        <v>0</v>
      </c>
      <c r="H966" s="99">
        <v>0</v>
      </c>
      <c r="I966" s="99" t="s">
        <v>48</v>
      </c>
      <c r="J966" s="93"/>
      <c r="K966" s="93">
        <v>2759</v>
      </c>
      <c r="L966" s="103">
        <v>0</v>
      </c>
      <c r="M966" s="103">
        <v>0</v>
      </c>
      <c r="N966" s="103">
        <v>0</v>
      </c>
      <c r="O966" s="103">
        <v>0</v>
      </c>
      <c r="P966" s="103">
        <v>0</v>
      </c>
      <c r="Q966" s="103">
        <v>0</v>
      </c>
      <c r="R966" s="103">
        <v>0</v>
      </c>
      <c r="S966" s="103" t="s">
        <v>48</v>
      </c>
      <c r="T966" s="93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CA966" s="12"/>
      <c r="CB966" s="12"/>
    </row>
    <row r="967" spans="1:80" x14ac:dyDescent="0.2">
      <c r="A967" s="96">
        <v>2701</v>
      </c>
      <c r="B967" s="99">
        <v>0</v>
      </c>
      <c r="C967" s="99">
        <v>0</v>
      </c>
      <c r="D967" s="99">
        <v>0</v>
      </c>
      <c r="E967" s="99">
        <v>0</v>
      </c>
      <c r="F967" s="99">
        <v>0</v>
      </c>
      <c r="G967" s="99">
        <v>0</v>
      </c>
      <c r="H967" s="99">
        <v>0</v>
      </c>
      <c r="I967" s="99" t="s">
        <v>48</v>
      </c>
      <c r="J967" s="93"/>
      <c r="K967" s="93">
        <v>2800</v>
      </c>
      <c r="L967" s="103">
        <v>0</v>
      </c>
      <c r="M967" s="103">
        <v>0</v>
      </c>
      <c r="N967" s="103">
        <v>0</v>
      </c>
      <c r="O967" s="103">
        <v>0</v>
      </c>
      <c r="P967" s="103">
        <v>0</v>
      </c>
      <c r="Q967" s="103">
        <v>0</v>
      </c>
      <c r="R967" s="103">
        <v>0</v>
      </c>
      <c r="S967" s="103" t="s">
        <v>48</v>
      </c>
      <c r="T967" s="93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CA967" s="12"/>
      <c r="CB967" s="12"/>
    </row>
    <row r="968" spans="1:80" x14ac:dyDescent="0.2">
      <c r="A968" s="96">
        <v>2702</v>
      </c>
      <c r="B968" s="99">
        <v>0</v>
      </c>
      <c r="C968" s="99">
        <v>0</v>
      </c>
      <c r="D968" s="99">
        <v>0</v>
      </c>
      <c r="E968" s="99">
        <v>0</v>
      </c>
      <c r="F968" s="99">
        <v>0</v>
      </c>
      <c r="G968" s="99">
        <v>0</v>
      </c>
      <c r="H968" s="99">
        <v>0</v>
      </c>
      <c r="I968" s="99" t="s">
        <v>48</v>
      </c>
      <c r="J968" s="93"/>
      <c r="K968" s="93">
        <v>2801</v>
      </c>
      <c r="L968" s="103">
        <v>0</v>
      </c>
      <c r="M968" s="103">
        <v>0</v>
      </c>
      <c r="N968" s="103">
        <v>0</v>
      </c>
      <c r="O968" s="103">
        <v>0</v>
      </c>
      <c r="P968" s="103">
        <v>0</v>
      </c>
      <c r="Q968" s="103">
        <v>0</v>
      </c>
      <c r="R968" s="103">
        <v>0</v>
      </c>
      <c r="S968" s="103" t="s">
        <v>48</v>
      </c>
      <c r="T968" s="93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CA968" s="12"/>
      <c r="CB968" s="12"/>
    </row>
    <row r="969" spans="1:80" x14ac:dyDescent="0.2">
      <c r="A969" s="96">
        <v>2703</v>
      </c>
      <c r="B969" s="99">
        <v>0</v>
      </c>
      <c r="C969" s="99">
        <v>0</v>
      </c>
      <c r="D969" s="99">
        <v>0</v>
      </c>
      <c r="E969" s="99">
        <v>0</v>
      </c>
      <c r="F969" s="99">
        <v>0</v>
      </c>
      <c r="G969" s="99">
        <v>0</v>
      </c>
      <c r="H969" s="99">
        <v>0</v>
      </c>
      <c r="I969" s="99" t="s">
        <v>48</v>
      </c>
      <c r="J969" s="93"/>
      <c r="K969" s="93">
        <v>2802</v>
      </c>
      <c r="L969" s="103">
        <v>0</v>
      </c>
      <c r="M969" s="103">
        <v>0</v>
      </c>
      <c r="N969" s="103">
        <v>0</v>
      </c>
      <c r="O969" s="103">
        <v>0</v>
      </c>
      <c r="P969" s="103">
        <v>0</v>
      </c>
      <c r="Q969" s="103">
        <v>0</v>
      </c>
      <c r="R969" s="103">
        <v>0</v>
      </c>
      <c r="S969" s="103" t="s">
        <v>48</v>
      </c>
      <c r="T969" s="93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CA969" s="12"/>
      <c r="CB969" s="12"/>
    </row>
    <row r="970" spans="1:80" x14ac:dyDescent="0.2">
      <c r="A970" s="96">
        <v>2704</v>
      </c>
      <c r="B970" s="99">
        <v>0</v>
      </c>
      <c r="C970" s="99">
        <v>0</v>
      </c>
      <c r="D970" s="99">
        <v>0</v>
      </c>
      <c r="E970" s="99">
        <v>0</v>
      </c>
      <c r="F970" s="99">
        <v>0</v>
      </c>
      <c r="G970" s="99">
        <v>0</v>
      </c>
      <c r="H970" s="99">
        <v>0</v>
      </c>
      <c r="I970" s="99" t="s">
        <v>48</v>
      </c>
      <c r="J970" s="93"/>
      <c r="K970" s="93">
        <v>2803</v>
      </c>
      <c r="L970" s="103">
        <v>0</v>
      </c>
      <c r="M970" s="103">
        <v>0</v>
      </c>
      <c r="N970" s="103">
        <v>0</v>
      </c>
      <c r="O970" s="103">
        <v>0</v>
      </c>
      <c r="P970" s="103">
        <v>0</v>
      </c>
      <c r="Q970" s="103">
        <v>0</v>
      </c>
      <c r="R970" s="103">
        <v>0</v>
      </c>
      <c r="S970" s="103" t="s">
        <v>48</v>
      </c>
      <c r="T970" s="93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CA970" s="12"/>
      <c r="CB970" s="12"/>
    </row>
    <row r="971" spans="1:80" x14ac:dyDescent="0.2">
      <c r="A971" s="96">
        <v>2705</v>
      </c>
      <c r="B971" s="99">
        <v>0</v>
      </c>
      <c r="C971" s="99">
        <v>0</v>
      </c>
      <c r="D971" s="99">
        <v>0</v>
      </c>
      <c r="E971" s="99">
        <v>0</v>
      </c>
      <c r="F971" s="99">
        <v>0</v>
      </c>
      <c r="G971" s="99">
        <v>0</v>
      </c>
      <c r="H971" s="99">
        <v>0</v>
      </c>
      <c r="I971" s="99" t="s">
        <v>48</v>
      </c>
      <c r="J971" s="93"/>
      <c r="K971" s="93">
        <v>2804</v>
      </c>
      <c r="L971" s="103">
        <v>0</v>
      </c>
      <c r="M971" s="103">
        <v>0</v>
      </c>
      <c r="N971" s="103">
        <v>0</v>
      </c>
      <c r="O971" s="103">
        <v>0</v>
      </c>
      <c r="P971" s="103">
        <v>0</v>
      </c>
      <c r="Q971" s="103">
        <v>0</v>
      </c>
      <c r="R971" s="103">
        <v>0</v>
      </c>
      <c r="S971" s="103" t="s">
        <v>48</v>
      </c>
      <c r="T971" s="93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CA971" s="12"/>
      <c r="CB971" s="12"/>
    </row>
    <row r="972" spans="1:80" x14ac:dyDescent="0.2">
      <c r="A972" s="96">
        <v>2706</v>
      </c>
      <c r="B972" s="99">
        <v>0</v>
      </c>
      <c r="C972" s="99">
        <v>0</v>
      </c>
      <c r="D972" s="99">
        <v>0</v>
      </c>
      <c r="E972" s="99">
        <v>0</v>
      </c>
      <c r="F972" s="99">
        <v>0</v>
      </c>
      <c r="G972" s="99">
        <v>0</v>
      </c>
      <c r="H972" s="99">
        <v>0</v>
      </c>
      <c r="I972" s="99" t="s">
        <v>48</v>
      </c>
      <c r="J972" s="93"/>
      <c r="K972" s="93">
        <v>2805</v>
      </c>
      <c r="L972" s="103">
        <v>0</v>
      </c>
      <c r="M972" s="103">
        <v>0</v>
      </c>
      <c r="N972" s="103">
        <v>0</v>
      </c>
      <c r="O972" s="103">
        <v>0</v>
      </c>
      <c r="P972" s="103">
        <v>0</v>
      </c>
      <c r="Q972" s="103">
        <v>0</v>
      </c>
      <c r="R972" s="103">
        <v>0</v>
      </c>
      <c r="S972" s="103" t="s">
        <v>48</v>
      </c>
      <c r="T972" s="93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CA972" s="12"/>
      <c r="CB972" s="12"/>
    </row>
    <row r="973" spans="1:80" x14ac:dyDescent="0.2">
      <c r="A973" s="96">
        <v>2707</v>
      </c>
      <c r="B973" s="99">
        <v>0</v>
      </c>
      <c r="C973" s="99">
        <v>0</v>
      </c>
      <c r="D973" s="99">
        <v>0</v>
      </c>
      <c r="E973" s="99">
        <v>0</v>
      </c>
      <c r="F973" s="99">
        <v>0</v>
      </c>
      <c r="G973" s="99">
        <v>0</v>
      </c>
      <c r="H973" s="99">
        <v>0</v>
      </c>
      <c r="I973" s="99" t="s">
        <v>48</v>
      </c>
      <c r="J973" s="93"/>
      <c r="K973" s="93">
        <v>2806</v>
      </c>
      <c r="L973" s="103">
        <v>0</v>
      </c>
      <c r="M973" s="103">
        <v>0</v>
      </c>
      <c r="N973" s="103">
        <v>0</v>
      </c>
      <c r="O973" s="103">
        <v>0</v>
      </c>
      <c r="P973" s="103">
        <v>0</v>
      </c>
      <c r="Q973" s="103">
        <v>0</v>
      </c>
      <c r="R973" s="103">
        <v>0</v>
      </c>
      <c r="S973" s="103" t="s">
        <v>48</v>
      </c>
      <c r="T973" s="93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CA973" s="12"/>
      <c r="CB973" s="12"/>
    </row>
    <row r="974" spans="1:80" x14ac:dyDescent="0.2">
      <c r="A974" s="96">
        <v>2708</v>
      </c>
      <c r="B974" s="99">
        <v>0</v>
      </c>
      <c r="C974" s="99">
        <v>0</v>
      </c>
      <c r="D974" s="99">
        <v>0</v>
      </c>
      <c r="E974" s="99">
        <v>0</v>
      </c>
      <c r="F974" s="99">
        <v>0</v>
      </c>
      <c r="G974" s="99">
        <v>0</v>
      </c>
      <c r="H974" s="99">
        <v>0</v>
      </c>
      <c r="I974" s="99" t="s">
        <v>48</v>
      </c>
      <c r="J974" s="93"/>
      <c r="K974" s="93">
        <v>2807</v>
      </c>
      <c r="L974" s="103">
        <v>0</v>
      </c>
      <c r="M974" s="103">
        <v>0</v>
      </c>
      <c r="N974" s="103">
        <v>0</v>
      </c>
      <c r="O974" s="103">
        <v>0</v>
      </c>
      <c r="P974" s="103">
        <v>0</v>
      </c>
      <c r="Q974" s="103">
        <v>0</v>
      </c>
      <c r="R974" s="103">
        <v>0</v>
      </c>
      <c r="S974" s="103" t="s">
        <v>48</v>
      </c>
      <c r="T974" s="93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CA974" s="12"/>
      <c r="CB974" s="12"/>
    </row>
    <row r="975" spans="1:80" x14ac:dyDescent="0.2">
      <c r="A975" s="96">
        <v>2709</v>
      </c>
      <c r="B975" s="99">
        <v>0</v>
      </c>
      <c r="C975" s="99">
        <v>0</v>
      </c>
      <c r="D975" s="99">
        <v>0</v>
      </c>
      <c r="E975" s="99">
        <v>0</v>
      </c>
      <c r="F975" s="99">
        <v>0</v>
      </c>
      <c r="G975" s="99">
        <v>0</v>
      </c>
      <c r="H975" s="99">
        <v>0</v>
      </c>
      <c r="I975" s="99" t="s">
        <v>48</v>
      </c>
      <c r="J975" s="93"/>
      <c r="K975" s="93">
        <v>2808</v>
      </c>
      <c r="L975" s="103">
        <v>0</v>
      </c>
      <c r="M975" s="103">
        <v>0</v>
      </c>
      <c r="N975" s="103">
        <v>0</v>
      </c>
      <c r="O975" s="103">
        <v>0</v>
      </c>
      <c r="P975" s="103">
        <v>0</v>
      </c>
      <c r="Q975" s="103">
        <v>0</v>
      </c>
      <c r="R975" s="103">
        <v>0</v>
      </c>
      <c r="S975" s="103" t="s">
        <v>48</v>
      </c>
      <c r="T975" s="93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CA975" s="12"/>
      <c r="CB975" s="12"/>
    </row>
    <row r="976" spans="1:80" x14ac:dyDescent="0.2">
      <c r="A976" s="96">
        <v>2710</v>
      </c>
      <c r="B976" s="99">
        <v>0</v>
      </c>
      <c r="C976" s="99">
        <v>0</v>
      </c>
      <c r="D976" s="99">
        <v>0</v>
      </c>
      <c r="E976" s="99">
        <v>0</v>
      </c>
      <c r="F976" s="99">
        <v>0</v>
      </c>
      <c r="G976" s="99">
        <v>0</v>
      </c>
      <c r="H976" s="99">
        <v>0</v>
      </c>
      <c r="I976" s="99" t="s">
        <v>48</v>
      </c>
      <c r="J976" s="93"/>
      <c r="K976" s="93">
        <v>2809</v>
      </c>
      <c r="L976" s="103">
        <v>0</v>
      </c>
      <c r="M976" s="103">
        <v>0</v>
      </c>
      <c r="N976" s="103">
        <v>0</v>
      </c>
      <c r="O976" s="103">
        <v>0</v>
      </c>
      <c r="P976" s="103">
        <v>0</v>
      </c>
      <c r="Q976" s="103">
        <v>0</v>
      </c>
      <c r="R976" s="103">
        <v>0</v>
      </c>
      <c r="S976" s="103" t="s">
        <v>48</v>
      </c>
      <c r="T976" s="93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CA976" s="12"/>
      <c r="CB976" s="12"/>
    </row>
    <row r="977" spans="1:80" x14ac:dyDescent="0.2">
      <c r="A977" s="96">
        <v>2711</v>
      </c>
      <c r="B977" s="99">
        <v>0</v>
      </c>
      <c r="C977" s="99">
        <v>0</v>
      </c>
      <c r="D977" s="99">
        <v>0</v>
      </c>
      <c r="E977" s="99">
        <v>0</v>
      </c>
      <c r="F977" s="99">
        <v>0</v>
      </c>
      <c r="G977" s="99">
        <v>0</v>
      </c>
      <c r="H977" s="99">
        <v>0</v>
      </c>
      <c r="I977" s="99" t="s">
        <v>48</v>
      </c>
      <c r="J977" s="93"/>
      <c r="K977" s="93">
        <v>2810</v>
      </c>
      <c r="L977" s="103">
        <v>0</v>
      </c>
      <c r="M977" s="103">
        <v>0</v>
      </c>
      <c r="N977" s="103">
        <v>0</v>
      </c>
      <c r="O977" s="103">
        <v>0</v>
      </c>
      <c r="P977" s="103">
        <v>0</v>
      </c>
      <c r="Q977" s="103">
        <v>0</v>
      </c>
      <c r="R977" s="103">
        <v>0</v>
      </c>
      <c r="S977" s="103" t="s">
        <v>48</v>
      </c>
      <c r="T977" s="93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CA977" s="12"/>
      <c r="CB977" s="12"/>
    </row>
    <row r="978" spans="1:80" x14ac:dyDescent="0.2">
      <c r="A978" s="96">
        <v>2712</v>
      </c>
      <c r="B978" s="99">
        <v>0</v>
      </c>
      <c r="C978" s="99">
        <v>0</v>
      </c>
      <c r="D978" s="99">
        <v>0</v>
      </c>
      <c r="E978" s="99">
        <v>0</v>
      </c>
      <c r="F978" s="99">
        <v>0</v>
      </c>
      <c r="G978" s="99">
        <v>0</v>
      </c>
      <c r="H978" s="99">
        <v>0</v>
      </c>
      <c r="I978" s="99" t="s">
        <v>48</v>
      </c>
      <c r="J978" s="93"/>
      <c r="K978" s="93">
        <v>2811</v>
      </c>
      <c r="L978" s="103">
        <v>0</v>
      </c>
      <c r="M978" s="103">
        <v>0</v>
      </c>
      <c r="N978" s="103">
        <v>0</v>
      </c>
      <c r="O978" s="103">
        <v>0</v>
      </c>
      <c r="P978" s="103">
        <v>0</v>
      </c>
      <c r="Q978" s="103">
        <v>0</v>
      </c>
      <c r="R978" s="103">
        <v>0</v>
      </c>
      <c r="S978" s="103" t="s">
        <v>48</v>
      </c>
      <c r="T978" s="93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CA978" s="12"/>
      <c r="CB978" s="12"/>
    </row>
    <row r="979" spans="1:80" x14ac:dyDescent="0.2">
      <c r="A979" s="96">
        <v>2713</v>
      </c>
      <c r="B979" s="99">
        <v>0</v>
      </c>
      <c r="C979" s="99">
        <v>0</v>
      </c>
      <c r="D979" s="99">
        <v>0</v>
      </c>
      <c r="E979" s="99">
        <v>0</v>
      </c>
      <c r="F979" s="99">
        <v>0</v>
      </c>
      <c r="G979" s="99">
        <v>0</v>
      </c>
      <c r="H979" s="99">
        <v>0</v>
      </c>
      <c r="I979" s="99" t="s">
        <v>48</v>
      </c>
      <c r="J979" s="93"/>
      <c r="K979" s="93">
        <v>2812</v>
      </c>
      <c r="L979" s="103">
        <v>0</v>
      </c>
      <c r="M979" s="103">
        <v>0</v>
      </c>
      <c r="N979" s="103">
        <v>0</v>
      </c>
      <c r="O979" s="103">
        <v>0</v>
      </c>
      <c r="P979" s="103">
        <v>0</v>
      </c>
      <c r="Q979" s="103">
        <v>0</v>
      </c>
      <c r="R979" s="103">
        <v>0</v>
      </c>
      <c r="S979" s="103" t="s">
        <v>48</v>
      </c>
      <c r="T979" s="93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CA979" s="12"/>
      <c r="CB979" s="12"/>
    </row>
    <row r="980" spans="1:80" x14ac:dyDescent="0.2">
      <c r="A980" s="96">
        <v>2714</v>
      </c>
      <c r="B980" s="99">
        <v>0</v>
      </c>
      <c r="C980" s="99">
        <v>0</v>
      </c>
      <c r="D980" s="99">
        <v>0</v>
      </c>
      <c r="E980" s="99">
        <v>0</v>
      </c>
      <c r="F980" s="99">
        <v>0</v>
      </c>
      <c r="G980" s="99">
        <v>0</v>
      </c>
      <c r="H980" s="99">
        <v>0</v>
      </c>
      <c r="I980" s="99" t="s">
        <v>48</v>
      </c>
      <c r="J980" s="93"/>
      <c r="K980" s="93">
        <v>2813</v>
      </c>
      <c r="L980" s="103">
        <v>0</v>
      </c>
      <c r="M980" s="103">
        <v>0</v>
      </c>
      <c r="N980" s="103">
        <v>0</v>
      </c>
      <c r="O980" s="103">
        <v>0</v>
      </c>
      <c r="P980" s="103">
        <v>0</v>
      </c>
      <c r="Q980" s="103">
        <v>0</v>
      </c>
      <c r="R980" s="103">
        <v>0</v>
      </c>
      <c r="S980" s="103" t="s">
        <v>48</v>
      </c>
      <c r="T980" s="93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CA980" s="12"/>
      <c r="CB980" s="12"/>
    </row>
    <row r="981" spans="1:80" x14ac:dyDescent="0.2">
      <c r="A981" s="96">
        <v>2715</v>
      </c>
      <c r="B981" s="99">
        <v>0</v>
      </c>
      <c r="C981" s="99">
        <v>0</v>
      </c>
      <c r="D981" s="99">
        <v>0</v>
      </c>
      <c r="E981" s="99">
        <v>0</v>
      </c>
      <c r="F981" s="99">
        <v>0</v>
      </c>
      <c r="G981" s="99">
        <v>0</v>
      </c>
      <c r="H981" s="99">
        <v>0</v>
      </c>
      <c r="I981" s="99" t="s">
        <v>48</v>
      </c>
      <c r="J981" s="93"/>
      <c r="K981" s="93">
        <v>2814</v>
      </c>
      <c r="L981" s="103">
        <v>0</v>
      </c>
      <c r="M981" s="103">
        <v>0</v>
      </c>
      <c r="N981" s="103">
        <v>0</v>
      </c>
      <c r="O981" s="103">
        <v>0</v>
      </c>
      <c r="P981" s="103">
        <v>0</v>
      </c>
      <c r="Q981" s="103">
        <v>0</v>
      </c>
      <c r="R981" s="103">
        <v>0</v>
      </c>
      <c r="S981" s="103" t="s">
        <v>48</v>
      </c>
      <c r="T981" s="93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CA981" s="12"/>
      <c r="CB981" s="12"/>
    </row>
    <row r="982" spans="1:80" x14ac:dyDescent="0.2">
      <c r="A982" s="96">
        <v>2716</v>
      </c>
      <c r="B982" s="99">
        <v>0</v>
      </c>
      <c r="C982" s="99">
        <v>0</v>
      </c>
      <c r="D982" s="99">
        <v>0</v>
      </c>
      <c r="E982" s="99">
        <v>0</v>
      </c>
      <c r="F982" s="99">
        <v>0</v>
      </c>
      <c r="G982" s="99">
        <v>0</v>
      </c>
      <c r="H982" s="99">
        <v>0</v>
      </c>
      <c r="I982" s="99" t="s">
        <v>48</v>
      </c>
      <c r="J982" s="93"/>
      <c r="K982" s="93">
        <v>2815</v>
      </c>
      <c r="L982" s="103">
        <v>0</v>
      </c>
      <c r="M982" s="103">
        <v>0</v>
      </c>
      <c r="N982" s="103">
        <v>0</v>
      </c>
      <c r="O982" s="103">
        <v>0</v>
      </c>
      <c r="P982" s="103">
        <v>0</v>
      </c>
      <c r="Q982" s="103">
        <v>0</v>
      </c>
      <c r="R982" s="103">
        <v>0</v>
      </c>
      <c r="S982" s="103" t="s">
        <v>48</v>
      </c>
      <c r="T982" s="93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CA982" s="12"/>
      <c r="CB982" s="12"/>
    </row>
    <row r="983" spans="1:80" x14ac:dyDescent="0.2">
      <c r="A983" s="96">
        <v>2717</v>
      </c>
      <c r="B983" s="99">
        <v>0</v>
      </c>
      <c r="C983" s="99">
        <v>0</v>
      </c>
      <c r="D983" s="99">
        <v>0</v>
      </c>
      <c r="E983" s="99">
        <v>0</v>
      </c>
      <c r="F983" s="99">
        <v>0</v>
      </c>
      <c r="G983" s="99">
        <v>0</v>
      </c>
      <c r="H983" s="99">
        <v>0</v>
      </c>
      <c r="I983" s="99" t="s">
        <v>48</v>
      </c>
      <c r="J983" s="93"/>
      <c r="K983" s="93">
        <v>2816</v>
      </c>
      <c r="L983" s="103">
        <v>0</v>
      </c>
      <c r="M983" s="103">
        <v>0</v>
      </c>
      <c r="N983" s="103">
        <v>0</v>
      </c>
      <c r="O983" s="103">
        <v>0</v>
      </c>
      <c r="P983" s="103">
        <v>0</v>
      </c>
      <c r="Q983" s="103">
        <v>0</v>
      </c>
      <c r="R983" s="103">
        <v>0</v>
      </c>
      <c r="S983" s="103" t="s">
        <v>48</v>
      </c>
      <c r="T983" s="93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CA983" s="12"/>
      <c r="CB983" s="12"/>
    </row>
    <row r="984" spans="1:80" x14ac:dyDescent="0.2">
      <c r="A984" s="96">
        <v>2718</v>
      </c>
      <c r="B984" s="99">
        <v>0</v>
      </c>
      <c r="C984" s="99">
        <v>0</v>
      </c>
      <c r="D984" s="99">
        <v>0</v>
      </c>
      <c r="E984" s="99">
        <v>0</v>
      </c>
      <c r="F984" s="99">
        <v>0</v>
      </c>
      <c r="G984" s="99">
        <v>0</v>
      </c>
      <c r="H984" s="99">
        <v>0</v>
      </c>
      <c r="I984" s="99" t="s">
        <v>48</v>
      </c>
      <c r="J984" s="93"/>
      <c r="K984" s="93">
        <v>2817</v>
      </c>
      <c r="L984" s="103">
        <v>0</v>
      </c>
      <c r="M984" s="103">
        <v>0</v>
      </c>
      <c r="N984" s="103">
        <v>0</v>
      </c>
      <c r="O984" s="103">
        <v>0</v>
      </c>
      <c r="P984" s="103">
        <v>0</v>
      </c>
      <c r="Q984" s="103">
        <v>0</v>
      </c>
      <c r="R984" s="103">
        <v>0</v>
      </c>
      <c r="S984" s="103" t="s">
        <v>48</v>
      </c>
      <c r="T984" s="93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CA984" s="12"/>
      <c r="CB984" s="12"/>
    </row>
    <row r="985" spans="1:80" x14ac:dyDescent="0.2">
      <c r="A985" s="96">
        <v>2719</v>
      </c>
      <c r="B985" s="99">
        <v>0</v>
      </c>
      <c r="C985" s="99">
        <v>0</v>
      </c>
      <c r="D985" s="99">
        <v>0</v>
      </c>
      <c r="E985" s="99">
        <v>0</v>
      </c>
      <c r="F985" s="99">
        <v>0</v>
      </c>
      <c r="G985" s="99">
        <v>0</v>
      </c>
      <c r="H985" s="99">
        <v>0</v>
      </c>
      <c r="I985" s="99" t="s">
        <v>48</v>
      </c>
      <c r="J985" s="93"/>
      <c r="K985" s="93">
        <v>2818</v>
      </c>
      <c r="L985" s="103">
        <v>0</v>
      </c>
      <c r="M985" s="103">
        <v>0</v>
      </c>
      <c r="N985" s="103">
        <v>0</v>
      </c>
      <c r="O985" s="103">
        <v>0</v>
      </c>
      <c r="P985" s="103">
        <v>0</v>
      </c>
      <c r="Q985" s="103">
        <v>0</v>
      </c>
      <c r="R985" s="103">
        <v>0</v>
      </c>
      <c r="S985" s="103" t="s">
        <v>48</v>
      </c>
      <c r="T985" s="93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CA985" s="12"/>
      <c r="CB985" s="12"/>
    </row>
    <row r="986" spans="1:80" x14ac:dyDescent="0.2">
      <c r="A986" s="96">
        <v>2720</v>
      </c>
      <c r="B986" s="99">
        <v>0</v>
      </c>
      <c r="C986" s="99">
        <v>0</v>
      </c>
      <c r="D986" s="99">
        <v>0</v>
      </c>
      <c r="E986" s="99">
        <v>0</v>
      </c>
      <c r="F986" s="99">
        <v>0</v>
      </c>
      <c r="G986" s="99">
        <v>0</v>
      </c>
      <c r="H986" s="99">
        <v>0</v>
      </c>
      <c r="I986" s="99" t="s">
        <v>48</v>
      </c>
      <c r="J986" s="93"/>
      <c r="K986" s="93">
        <v>2819</v>
      </c>
      <c r="L986" s="103">
        <v>0</v>
      </c>
      <c r="M986" s="103">
        <v>0</v>
      </c>
      <c r="N986" s="103">
        <v>0</v>
      </c>
      <c r="O986" s="103">
        <v>0</v>
      </c>
      <c r="P986" s="103">
        <v>0</v>
      </c>
      <c r="Q986" s="103">
        <v>0</v>
      </c>
      <c r="R986" s="103">
        <v>0</v>
      </c>
      <c r="S986" s="103" t="s">
        <v>48</v>
      </c>
      <c r="T986" s="93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CA986" s="12"/>
      <c r="CB986" s="12"/>
    </row>
    <row r="987" spans="1:80" x14ac:dyDescent="0.2">
      <c r="A987" s="96">
        <v>2721</v>
      </c>
      <c r="B987" s="99">
        <v>0</v>
      </c>
      <c r="C987" s="99">
        <v>0</v>
      </c>
      <c r="D987" s="99">
        <v>0</v>
      </c>
      <c r="E987" s="99">
        <v>0</v>
      </c>
      <c r="F987" s="99">
        <v>0</v>
      </c>
      <c r="G987" s="99">
        <v>0</v>
      </c>
      <c r="H987" s="99">
        <v>0</v>
      </c>
      <c r="I987" s="99" t="s">
        <v>48</v>
      </c>
      <c r="J987" s="93"/>
      <c r="K987" s="93">
        <v>2820</v>
      </c>
      <c r="L987" s="103">
        <v>0</v>
      </c>
      <c r="M987" s="103">
        <v>0</v>
      </c>
      <c r="N987" s="103">
        <v>0</v>
      </c>
      <c r="O987" s="103">
        <v>0</v>
      </c>
      <c r="P987" s="103">
        <v>0</v>
      </c>
      <c r="Q987" s="103">
        <v>0</v>
      </c>
      <c r="R987" s="103">
        <v>0</v>
      </c>
      <c r="S987" s="103" t="s">
        <v>48</v>
      </c>
      <c r="T987" s="93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CA987" s="12"/>
      <c r="CB987" s="12"/>
    </row>
    <row r="988" spans="1:80" x14ac:dyDescent="0.2">
      <c r="A988" s="96">
        <v>2722</v>
      </c>
      <c r="B988" s="99">
        <v>0</v>
      </c>
      <c r="C988" s="99">
        <v>0</v>
      </c>
      <c r="D988" s="99">
        <v>0</v>
      </c>
      <c r="E988" s="99">
        <v>0</v>
      </c>
      <c r="F988" s="99">
        <v>0</v>
      </c>
      <c r="G988" s="99">
        <v>0</v>
      </c>
      <c r="H988" s="99">
        <v>0</v>
      </c>
      <c r="I988" s="99" t="s">
        <v>48</v>
      </c>
      <c r="J988" s="93"/>
      <c r="K988" s="93">
        <v>2821</v>
      </c>
      <c r="L988" s="103">
        <v>0</v>
      </c>
      <c r="M988" s="103">
        <v>0</v>
      </c>
      <c r="N988" s="103">
        <v>0</v>
      </c>
      <c r="O988" s="103">
        <v>0</v>
      </c>
      <c r="P988" s="103">
        <v>0</v>
      </c>
      <c r="Q988" s="103">
        <v>0</v>
      </c>
      <c r="R988" s="103">
        <v>0</v>
      </c>
      <c r="S988" s="103" t="s">
        <v>48</v>
      </c>
      <c r="T988" s="93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CA988" s="12"/>
      <c r="CB988" s="12"/>
    </row>
    <row r="989" spans="1:80" x14ac:dyDescent="0.2">
      <c r="A989" s="96">
        <v>2723</v>
      </c>
      <c r="B989" s="99">
        <v>0</v>
      </c>
      <c r="C989" s="99">
        <v>0</v>
      </c>
      <c r="D989" s="99">
        <v>0</v>
      </c>
      <c r="E989" s="99">
        <v>0</v>
      </c>
      <c r="F989" s="99">
        <v>0</v>
      </c>
      <c r="G989" s="99">
        <v>0</v>
      </c>
      <c r="H989" s="99">
        <v>0</v>
      </c>
      <c r="I989" s="99" t="s">
        <v>48</v>
      </c>
      <c r="J989" s="93"/>
      <c r="K989" s="93">
        <v>2822</v>
      </c>
      <c r="L989" s="103">
        <v>0</v>
      </c>
      <c r="M989" s="103">
        <v>0</v>
      </c>
      <c r="N989" s="103">
        <v>0</v>
      </c>
      <c r="O989" s="103">
        <v>0</v>
      </c>
      <c r="P989" s="103">
        <v>0</v>
      </c>
      <c r="Q989" s="103">
        <v>0</v>
      </c>
      <c r="R989" s="103">
        <v>0</v>
      </c>
      <c r="S989" s="103" t="s">
        <v>48</v>
      </c>
      <c r="T989" s="93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CA989" s="12"/>
      <c r="CB989" s="12"/>
    </row>
    <row r="990" spans="1:80" x14ac:dyDescent="0.2">
      <c r="A990" s="96">
        <v>2724</v>
      </c>
      <c r="B990" s="99">
        <v>0</v>
      </c>
      <c r="C990" s="99">
        <v>0</v>
      </c>
      <c r="D990" s="99">
        <v>0</v>
      </c>
      <c r="E990" s="99">
        <v>0</v>
      </c>
      <c r="F990" s="99">
        <v>0</v>
      </c>
      <c r="G990" s="99">
        <v>0</v>
      </c>
      <c r="H990" s="99">
        <v>0</v>
      </c>
      <c r="I990" s="99" t="s">
        <v>48</v>
      </c>
      <c r="J990" s="93"/>
      <c r="K990" s="93">
        <v>2823</v>
      </c>
      <c r="L990" s="103">
        <v>0</v>
      </c>
      <c r="M990" s="103">
        <v>0</v>
      </c>
      <c r="N990" s="103">
        <v>0</v>
      </c>
      <c r="O990" s="103">
        <v>0</v>
      </c>
      <c r="P990" s="103">
        <v>0</v>
      </c>
      <c r="Q990" s="103">
        <v>0</v>
      </c>
      <c r="R990" s="103">
        <v>0</v>
      </c>
      <c r="S990" s="103" t="s">
        <v>48</v>
      </c>
      <c r="T990" s="93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CA990" s="12"/>
      <c r="CB990" s="12"/>
    </row>
    <row r="991" spans="1:80" x14ac:dyDescent="0.2">
      <c r="A991" s="96">
        <v>2725</v>
      </c>
      <c r="B991" s="99">
        <v>0</v>
      </c>
      <c r="C991" s="99">
        <v>0</v>
      </c>
      <c r="D991" s="99">
        <v>0</v>
      </c>
      <c r="E991" s="99">
        <v>0</v>
      </c>
      <c r="F991" s="99">
        <v>0</v>
      </c>
      <c r="G991" s="99">
        <v>0</v>
      </c>
      <c r="H991" s="99">
        <v>0</v>
      </c>
      <c r="I991" s="99" t="s">
        <v>48</v>
      </c>
      <c r="J991" s="93"/>
      <c r="K991" s="93">
        <v>2824</v>
      </c>
      <c r="L991" s="103">
        <v>0</v>
      </c>
      <c r="M991" s="103">
        <v>0</v>
      </c>
      <c r="N991" s="103">
        <v>0</v>
      </c>
      <c r="O991" s="103">
        <v>0</v>
      </c>
      <c r="P991" s="103">
        <v>0</v>
      </c>
      <c r="Q991" s="103">
        <v>0</v>
      </c>
      <c r="R991" s="103">
        <v>0</v>
      </c>
      <c r="S991" s="103" t="s">
        <v>48</v>
      </c>
      <c r="T991" s="93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CA991" s="12"/>
      <c r="CB991" s="12"/>
    </row>
    <row r="992" spans="1:80" x14ac:dyDescent="0.2">
      <c r="A992" s="96">
        <v>2726</v>
      </c>
      <c r="B992" s="99">
        <v>0</v>
      </c>
      <c r="C992" s="99">
        <v>0</v>
      </c>
      <c r="D992" s="99">
        <v>0</v>
      </c>
      <c r="E992" s="99">
        <v>0</v>
      </c>
      <c r="F992" s="99">
        <v>0</v>
      </c>
      <c r="G992" s="99">
        <v>0</v>
      </c>
      <c r="H992" s="99">
        <v>0</v>
      </c>
      <c r="I992" s="99" t="s">
        <v>48</v>
      </c>
      <c r="J992" s="93"/>
      <c r="K992" s="93">
        <v>2825</v>
      </c>
      <c r="L992" s="103">
        <v>0</v>
      </c>
      <c r="M992" s="103">
        <v>0</v>
      </c>
      <c r="N992" s="103">
        <v>0</v>
      </c>
      <c r="O992" s="103">
        <v>0</v>
      </c>
      <c r="P992" s="103">
        <v>0</v>
      </c>
      <c r="Q992" s="103">
        <v>0</v>
      </c>
      <c r="R992" s="103">
        <v>0</v>
      </c>
      <c r="S992" s="103" t="s">
        <v>48</v>
      </c>
      <c r="T992" s="93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CA992" s="12"/>
      <c r="CB992" s="12"/>
    </row>
    <row r="993" spans="1:80" x14ac:dyDescent="0.2">
      <c r="A993" s="96">
        <v>2727</v>
      </c>
      <c r="B993" s="99">
        <v>0</v>
      </c>
      <c r="C993" s="99">
        <v>0</v>
      </c>
      <c r="D993" s="99">
        <v>0</v>
      </c>
      <c r="E993" s="99">
        <v>0</v>
      </c>
      <c r="F993" s="99">
        <v>0</v>
      </c>
      <c r="G993" s="99">
        <v>0</v>
      </c>
      <c r="H993" s="99">
        <v>0</v>
      </c>
      <c r="I993" s="99" t="s">
        <v>48</v>
      </c>
      <c r="J993" s="93"/>
      <c r="K993" s="93">
        <v>2826</v>
      </c>
      <c r="L993" s="103">
        <v>0</v>
      </c>
      <c r="M993" s="103">
        <v>0</v>
      </c>
      <c r="N993" s="103">
        <v>0</v>
      </c>
      <c r="O993" s="103">
        <v>0</v>
      </c>
      <c r="P993" s="103">
        <v>0</v>
      </c>
      <c r="Q993" s="103">
        <v>0</v>
      </c>
      <c r="R993" s="103">
        <v>0</v>
      </c>
      <c r="S993" s="103" t="s">
        <v>48</v>
      </c>
      <c r="T993" s="93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CA993" s="12"/>
      <c r="CB993" s="12"/>
    </row>
    <row r="994" spans="1:80" x14ac:dyDescent="0.2">
      <c r="A994" s="96">
        <v>2728</v>
      </c>
      <c r="B994" s="99">
        <v>0</v>
      </c>
      <c r="C994" s="99">
        <v>0</v>
      </c>
      <c r="D994" s="99">
        <v>0</v>
      </c>
      <c r="E994" s="99">
        <v>0</v>
      </c>
      <c r="F994" s="99">
        <v>0</v>
      </c>
      <c r="G994" s="99">
        <v>0</v>
      </c>
      <c r="H994" s="99">
        <v>0</v>
      </c>
      <c r="I994" s="99" t="s">
        <v>48</v>
      </c>
      <c r="J994" s="93"/>
      <c r="K994" s="93">
        <v>2827</v>
      </c>
      <c r="L994" s="103">
        <v>0</v>
      </c>
      <c r="M994" s="103">
        <v>0</v>
      </c>
      <c r="N994" s="103">
        <v>0</v>
      </c>
      <c r="O994" s="103">
        <v>0</v>
      </c>
      <c r="P994" s="103">
        <v>0</v>
      </c>
      <c r="Q994" s="103">
        <v>0</v>
      </c>
      <c r="R994" s="103">
        <v>0</v>
      </c>
      <c r="S994" s="103" t="s">
        <v>48</v>
      </c>
      <c r="T994" s="93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CA994" s="12"/>
      <c r="CB994" s="12"/>
    </row>
    <row r="995" spans="1:80" x14ac:dyDescent="0.2">
      <c r="A995" s="96">
        <v>2729</v>
      </c>
      <c r="B995" s="99">
        <v>0</v>
      </c>
      <c r="C995" s="99">
        <v>0</v>
      </c>
      <c r="D995" s="99">
        <v>0</v>
      </c>
      <c r="E995" s="99">
        <v>0</v>
      </c>
      <c r="F995" s="99">
        <v>0</v>
      </c>
      <c r="G995" s="99">
        <v>0</v>
      </c>
      <c r="H995" s="99">
        <v>0</v>
      </c>
      <c r="I995" s="99" t="s">
        <v>48</v>
      </c>
      <c r="J995" s="93"/>
      <c r="K995" s="93">
        <v>2828</v>
      </c>
      <c r="L995" s="103">
        <v>0</v>
      </c>
      <c r="M995" s="103">
        <v>0</v>
      </c>
      <c r="N995" s="103">
        <v>0</v>
      </c>
      <c r="O995" s="103">
        <v>0</v>
      </c>
      <c r="P995" s="103">
        <v>0</v>
      </c>
      <c r="Q995" s="103">
        <v>0</v>
      </c>
      <c r="R995" s="103">
        <v>0</v>
      </c>
      <c r="S995" s="103" t="s">
        <v>48</v>
      </c>
      <c r="T995" s="93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CA995" s="12"/>
      <c r="CB995" s="12"/>
    </row>
    <row r="996" spans="1:80" x14ac:dyDescent="0.2">
      <c r="A996" s="96">
        <v>2730</v>
      </c>
      <c r="B996" s="99">
        <v>0</v>
      </c>
      <c r="C996" s="99">
        <v>0</v>
      </c>
      <c r="D996" s="99">
        <v>0</v>
      </c>
      <c r="E996" s="99">
        <v>0</v>
      </c>
      <c r="F996" s="99">
        <v>0</v>
      </c>
      <c r="G996" s="99">
        <v>0</v>
      </c>
      <c r="H996" s="99">
        <v>0</v>
      </c>
      <c r="I996" s="99" t="s">
        <v>48</v>
      </c>
      <c r="J996" s="93"/>
      <c r="K996" s="93">
        <v>2829</v>
      </c>
      <c r="L996" s="103">
        <v>0</v>
      </c>
      <c r="M996" s="103">
        <v>0</v>
      </c>
      <c r="N996" s="103">
        <v>0</v>
      </c>
      <c r="O996" s="103">
        <v>0</v>
      </c>
      <c r="P996" s="103">
        <v>0</v>
      </c>
      <c r="Q996" s="103">
        <v>0</v>
      </c>
      <c r="R996" s="103">
        <v>0</v>
      </c>
      <c r="S996" s="103" t="s">
        <v>48</v>
      </c>
      <c r="T996" s="93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CA996" s="12"/>
      <c r="CB996" s="12"/>
    </row>
    <row r="997" spans="1:80" x14ac:dyDescent="0.2">
      <c r="A997" s="96">
        <v>2731</v>
      </c>
      <c r="B997" s="99">
        <v>0</v>
      </c>
      <c r="C997" s="99">
        <v>0</v>
      </c>
      <c r="D997" s="99">
        <v>0</v>
      </c>
      <c r="E997" s="99">
        <v>0</v>
      </c>
      <c r="F997" s="99">
        <v>0</v>
      </c>
      <c r="G997" s="99">
        <v>0</v>
      </c>
      <c r="H997" s="99">
        <v>0</v>
      </c>
      <c r="I997" s="99" t="s">
        <v>48</v>
      </c>
      <c r="J997" s="93"/>
      <c r="K997" s="93">
        <v>2830</v>
      </c>
      <c r="L997" s="103">
        <v>0</v>
      </c>
      <c r="M997" s="103">
        <v>0</v>
      </c>
      <c r="N997" s="103">
        <v>0</v>
      </c>
      <c r="O997" s="103">
        <v>0</v>
      </c>
      <c r="P997" s="103">
        <v>0</v>
      </c>
      <c r="Q997" s="103">
        <v>0</v>
      </c>
      <c r="R997" s="103">
        <v>0</v>
      </c>
      <c r="S997" s="103" t="s">
        <v>48</v>
      </c>
      <c r="T997" s="93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CA997" s="12"/>
      <c r="CB997" s="12"/>
    </row>
    <row r="998" spans="1:80" x14ac:dyDescent="0.2">
      <c r="A998" s="96">
        <v>2732</v>
      </c>
      <c r="B998" s="99">
        <v>0</v>
      </c>
      <c r="C998" s="99">
        <v>0</v>
      </c>
      <c r="D998" s="99">
        <v>0</v>
      </c>
      <c r="E998" s="99">
        <v>0</v>
      </c>
      <c r="F998" s="99">
        <v>0</v>
      </c>
      <c r="G998" s="99">
        <v>0</v>
      </c>
      <c r="H998" s="99">
        <v>0</v>
      </c>
      <c r="I998" s="99" t="s">
        <v>48</v>
      </c>
      <c r="J998" s="93"/>
      <c r="K998" s="93">
        <v>2831</v>
      </c>
      <c r="L998" s="103">
        <v>0</v>
      </c>
      <c r="M998" s="103">
        <v>0</v>
      </c>
      <c r="N998" s="103">
        <v>0</v>
      </c>
      <c r="O998" s="103">
        <v>0</v>
      </c>
      <c r="P998" s="103">
        <v>0</v>
      </c>
      <c r="Q998" s="103">
        <v>0</v>
      </c>
      <c r="R998" s="103">
        <v>0</v>
      </c>
      <c r="S998" s="103" t="s">
        <v>48</v>
      </c>
      <c r="T998" s="93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CA998" s="12"/>
      <c r="CB998" s="12"/>
    </row>
    <row r="999" spans="1:80" x14ac:dyDescent="0.2">
      <c r="A999" s="96">
        <v>2733</v>
      </c>
      <c r="B999" s="99">
        <v>0</v>
      </c>
      <c r="C999" s="99">
        <v>0</v>
      </c>
      <c r="D999" s="99">
        <v>0</v>
      </c>
      <c r="E999" s="99">
        <v>0</v>
      </c>
      <c r="F999" s="99">
        <v>0</v>
      </c>
      <c r="G999" s="99">
        <v>0</v>
      </c>
      <c r="H999" s="99">
        <v>0</v>
      </c>
      <c r="I999" s="99" t="s">
        <v>48</v>
      </c>
      <c r="J999" s="93"/>
      <c r="K999" s="93">
        <v>2832</v>
      </c>
      <c r="L999" s="103">
        <v>0</v>
      </c>
      <c r="M999" s="103">
        <v>0</v>
      </c>
      <c r="N999" s="103">
        <v>0</v>
      </c>
      <c r="O999" s="103">
        <v>0</v>
      </c>
      <c r="P999" s="103">
        <v>0</v>
      </c>
      <c r="Q999" s="103">
        <v>0</v>
      </c>
      <c r="R999" s="103">
        <v>0</v>
      </c>
      <c r="S999" s="103" t="s">
        <v>48</v>
      </c>
      <c r="T999" s="93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CA999" s="12"/>
      <c r="CB999" s="12"/>
    </row>
    <row r="1000" spans="1:80" x14ac:dyDescent="0.2">
      <c r="A1000" s="96">
        <v>2734</v>
      </c>
      <c r="B1000" s="99">
        <v>0</v>
      </c>
      <c r="C1000" s="99">
        <v>0</v>
      </c>
      <c r="D1000" s="99">
        <v>0</v>
      </c>
      <c r="E1000" s="99">
        <v>0</v>
      </c>
      <c r="F1000" s="99">
        <v>0</v>
      </c>
      <c r="G1000" s="99">
        <v>0</v>
      </c>
      <c r="H1000" s="99">
        <v>0</v>
      </c>
      <c r="I1000" s="99" t="s">
        <v>48</v>
      </c>
      <c r="J1000" s="93"/>
      <c r="K1000" s="93">
        <v>2833</v>
      </c>
      <c r="L1000" s="103">
        <v>0</v>
      </c>
      <c r="M1000" s="103">
        <v>0</v>
      </c>
      <c r="N1000" s="103">
        <v>0</v>
      </c>
      <c r="O1000" s="103">
        <v>0</v>
      </c>
      <c r="P1000" s="103">
        <v>0</v>
      </c>
      <c r="Q1000" s="103">
        <v>0</v>
      </c>
      <c r="R1000" s="103">
        <v>0</v>
      </c>
      <c r="S1000" s="103" t="s">
        <v>48</v>
      </c>
      <c r="T1000" s="93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CA1000" s="12"/>
      <c r="CB1000" s="12"/>
    </row>
    <row r="1001" spans="1:80" x14ac:dyDescent="0.2">
      <c r="A1001" s="96">
        <v>2735</v>
      </c>
      <c r="B1001" s="99">
        <v>0</v>
      </c>
      <c r="C1001" s="99">
        <v>0</v>
      </c>
      <c r="D1001" s="99">
        <v>0</v>
      </c>
      <c r="E1001" s="99">
        <v>0</v>
      </c>
      <c r="F1001" s="99">
        <v>0</v>
      </c>
      <c r="G1001" s="99">
        <v>0</v>
      </c>
      <c r="H1001" s="99">
        <v>0</v>
      </c>
      <c r="I1001" s="99" t="s">
        <v>48</v>
      </c>
      <c r="J1001" s="93"/>
      <c r="K1001" s="93">
        <v>2834</v>
      </c>
      <c r="L1001" s="103">
        <v>0</v>
      </c>
      <c r="M1001" s="103">
        <v>0</v>
      </c>
      <c r="N1001" s="103">
        <v>0</v>
      </c>
      <c r="O1001" s="103">
        <v>0</v>
      </c>
      <c r="P1001" s="103">
        <v>0</v>
      </c>
      <c r="Q1001" s="103">
        <v>0</v>
      </c>
      <c r="R1001" s="103">
        <v>0</v>
      </c>
      <c r="S1001" s="103" t="s">
        <v>48</v>
      </c>
      <c r="T1001" s="93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CA1001" s="12"/>
      <c r="CB1001" s="12"/>
    </row>
    <row r="1002" spans="1:80" x14ac:dyDescent="0.2">
      <c r="A1002" s="96">
        <v>2736</v>
      </c>
      <c r="B1002" s="99">
        <v>0</v>
      </c>
      <c r="C1002" s="99">
        <v>0</v>
      </c>
      <c r="D1002" s="99">
        <v>0</v>
      </c>
      <c r="E1002" s="99">
        <v>0</v>
      </c>
      <c r="F1002" s="99">
        <v>0</v>
      </c>
      <c r="G1002" s="99">
        <v>0</v>
      </c>
      <c r="H1002" s="99">
        <v>0</v>
      </c>
      <c r="I1002" s="99" t="s">
        <v>48</v>
      </c>
      <c r="J1002" s="93"/>
      <c r="K1002" s="93">
        <v>2835</v>
      </c>
      <c r="L1002" s="103">
        <v>0</v>
      </c>
      <c r="M1002" s="103">
        <v>0</v>
      </c>
      <c r="N1002" s="103">
        <v>0</v>
      </c>
      <c r="O1002" s="103">
        <v>0</v>
      </c>
      <c r="P1002" s="103">
        <v>0</v>
      </c>
      <c r="Q1002" s="103">
        <v>0</v>
      </c>
      <c r="R1002" s="103">
        <v>0</v>
      </c>
      <c r="S1002" s="103" t="s">
        <v>48</v>
      </c>
      <c r="T1002" s="93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CA1002" s="12"/>
      <c r="CB1002" s="12"/>
    </row>
    <row r="1003" spans="1:80" x14ac:dyDescent="0.2">
      <c r="A1003" s="96">
        <v>2737</v>
      </c>
      <c r="B1003" s="99">
        <v>0</v>
      </c>
      <c r="C1003" s="99">
        <v>0</v>
      </c>
      <c r="D1003" s="99">
        <v>0</v>
      </c>
      <c r="E1003" s="99">
        <v>0</v>
      </c>
      <c r="F1003" s="99">
        <v>0</v>
      </c>
      <c r="G1003" s="99">
        <v>0</v>
      </c>
      <c r="H1003" s="99">
        <v>0</v>
      </c>
      <c r="I1003" s="99" t="s">
        <v>48</v>
      </c>
      <c r="J1003" s="93"/>
      <c r="K1003" s="93">
        <v>2836</v>
      </c>
      <c r="L1003" s="103">
        <v>0</v>
      </c>
      <c r="M1003" s="103">
        <v>0</v>
      </c>
      <c r="N1003" s="103">
        <v>0</v>
      </c>
      <c r="O1003" s="103">
        <v>0</v>
      </c>
      <c r="P1003" s="103">
        <v>0</v>
      </c>
      <c r="Q1003" s="103">
        <v>0</v>
      </c>
      <c r="R1003" s="103">
        <v>0</v>
      </c>
      <c r="S1003" s="103" t="s">
        <v>48</v>
      </c>
      <c r="T1003" s="93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CA1003" s="12"/>
      <c r="CB1003" s="12"/>
    </row>
    <row r="1004" spans="1:80" x14ac:dyDescent="0.2">
      <c r="A1004" s="96">
        <v>2738</v>
      </c>
      <c r="B1004" s="99">
        <v>0</v>
      </c>
      <c r="C1004" s="99">
        <v>0</v>
      </c>
      <c r="D1004" s="99">
        <v>0</v>
      </c>
      <c r="E1004" s="99">
        <v>0</v>
      </c>
      <c r="F1004" s="99">
        <v>0</v>
      </c>
      <c r="G1004" s="99">
        <v>0</v>
      </c>
      <c r="H1004" s="99">
        <v>0</v>
      </c>
      <c r="I1004" s="99" t="s">
        <v>48</v>
      </c>
      <c r="J1004" s="93"/>
      <c r="K1004" s="93">
        <v>2837</v>
      </c>
      <c r="L1004" s="103">
        <v>0</v>
      </c>
      <c r="M1004" s="103">
        <v>0</v>
      </c>
      <c r="N1004" s="103">
        <v>0</v>
      </c>
      <c r="O1004" s="103">
        <v>0</v>
      </c>
      <c r="P1004" s="103">
        <v>0</v>
      </c>
      <c r="Q1004" s="103">
        <v>0</v>
      </c>
      <c r="R1004" s="103">
        <v>0</v>
      </c>
      <c r="S1004" s="103" t="s">
        <v>48</v>
      </c>
      <c r="T1004" s="93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CA1004" s="12"/>
      <c r="CB1004" s="12"/>
    </row>
    <row r="1005" spans="1:80" x14ac:dyDescent="0.2">
      <c r="A1005" s="96">
        <v>2739</v>
      </c>
      <c r="B1005" s="99">
        <v>0</v>
      </c>
      <c r="C1005" s="99">
        <v>0</v>
      </c>
      <c r="D1005" s="99">
        <v>0</v>
      </c>
      <c r="E1005" s="99">
        <v>0</v>
      </c>
      <c r="F1005" s="99">
        <v>0</v>
      </c>
      <c r="G1005" s="99">
        <v>0</v>
      </c>
      <c r="H1005" s="99">
        <v>0</v>
      </c>
      <c r="I1005" s="99" t="s">
        <v>48</v>
      </c>
      <c r="J1005" s="93"/>
      <c r="K1005" s="93">
        <v>2838</v>
      </c>
      <c r="L1005" s="103">
        <v>0</v>
      </c>
      <c r="M1005" s="103">
        <v>0</v>
      </c>
      <c r="N1005" s="103">
        <v>0</v>
      </c>
      <c r="O1005" s="103">
        <v>0</v>
      </c>
      <c r="P1005" s="103">
        <v>0</v>
      </c>
      <c r="Q1005" s="103">
        <v>0</v>
      </c>
      <c r="R1005" s="103">
        <v>0</v>
      </c>
      <c r="S1005" s="103" t="s">
        <v>48</v>
      </c>
      <c r="T1005" s="93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CA1005" s="12"/>
      <c r="CB1005" s="12"/>
    </row>
    <row r="1006" spans="1:80" x14ac:dyDescent="0.2">
      <c r="A1006" s="96">
        <v>2740</v>
      </c>
      <c r="B1006" s="99">
        <v>0</v>
      </c>
      <c r="C1006" s="99">
        <v>0</v>
      </c>
      <c r="D1006" s="99">
        <v>0</v>
      </c>
      <c r="E1006" s="99">
        <v>0</v>
      </c>
      <c r="F1006" s="99">
        <v>0</v>
      </c>
      <c r="G1006" s="99">
        <v>0</v>
      </c>
      <c r="H1006" s="99">
        <v>0</v>
      </c>
      <c r="I1006" s="99" t="s">
        <v>48</v>
      </c>
      <c r="J1006" s="93"/>
      <c r="K1006" s="93">
        <v>2839</v>
      </c>
      <c r="L1006" s="103">
        <v>0</v>
      </c>
      <c r="M1006" s="103">
        <v>0</v>
      </c>
      <c r="N1006" s="103">
        <v>0</v>
      </c>
      <c r="O1006" s="103">
        <v>0</v>
      </c>
      <c r="P1006" s="103">
        <v>0</v>
      </c>
      <c r="Q1006" s="103">
        <v>0</v>
      </c>
      <c r="R1006" s="103">
        <v>0</v>
      </c>
      <c r="S1006" s="103" t="s">
        <v>48</v>
      </c>
      <c r="T1006" s="93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CA1006" s="12"/>
      <c r="CB1006" s="12"/>
    </row>
    <row r="1007" spans="1:80" x14ac:dyDescent="0.2">
      <c r="A1007" s="96">
        <v>2741</v>
      </c>
      <c r="B1007" s="99">
        <v>0</v>
      </c>
      <c r="C1007" s="99">
        <v>0</v>
      </c>
      <c r="D1007" s="99">
        <v>0</v>
      </c>
      <c r="E1007" s="99">
        <v>0</v>
      </c>
      <c r="F1007" s="99">
        <v>0</v>
      </c>
      <c r="G1007" s="99">
        <v>0</v>
      </c>
      <c r="H1007" s="99">
        <v>0</v>
      </c>
      <c r="I1007" s="99" t="s">
        <v>48</v>
      </c>
      <c r="J1007" s="93"/>
      <c r="K1007" s="93">
        <v>2840</v>
      </c>
      <c r="L1007" s="103">
        <v>0</v>
      </c>
      <c r="M1007" s="103">
        <v>0</v>
      </c>
      <c r="N1007" s="103">
        <v>0</v>
      </c>
      <c r="O1007" s="103">
        <v>0</v>
      </c>
      <c r="P1007" s="103">
        <v>0</v>
      </c>
      <c r="Q1007" s="103">
        <v>0</v>
      </c>
      <c r="R1007" s="103">
        <v>0</v>
      </c>
      <c r="S1007" s="103" t="s">
        <v>48</v>
      </c>
      <c r="T1007" s="93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CA1007" s="12"/>
      <c r="CB1007" s="12"/>
    </row>
    <row r="1008" spans="1:80" x14ac:dyDescent="0.2">
      <c r="A1008" s="96">
        <v>2742</v>
      </c>
      <c r="B1008" s="99">
        <v>0</v>
      </c>
      <c r="C1008" s="99">
        <v>0</v>
      </c>
      <c r="D1008" s="99">
        <v>0</v>
      </c>
      <c r="E1008" s="99">
        <v>0</v>
      </c>
      <c r="F1008" s="99">
        <v>0</v>
      </c>
      <c r="G1008" s="99">
        <v>0</v>
      </c>
      <c r="H1008" s="99">
        <v>0</v>
      </c>
      <c r="I1008" s="99" t="s">
        <v>48</v>
      </c>
      <c r="J1008" s="93"/>
      <c r="K1008" s="93">
        <v>2841</v>
      </c>
      <c r="L1008" s="103">
        <v>0</v>
      </c>
      <c r="M1008" s="103">
        <v>0</v>
      </c>
      <c r="N1008" s="103">
        <v>0</v>
      </c>
      <c r="O1008" s="103">
        <v>0</v>
      </c>
      <c r="P1008" s="103">
        <v>0</v>
      </c>
      <c r="Q1008" s="103">
        <v>0</v>
      </c>
      <c r="R1008" s="103">
        <v>0</v>
      </c>
      <c r="S1008" s="103" t="s">
        <v>48</v>
      </c>
      <c r="T1008" s="93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CA1008" s="12"/>
      <c r="CB1008" s="12"/>
    </row>
    <row r="1009" spans="1:80" x14ac:dyDescent="0.2">
      <c r="A1009" s="96">
        <v>2743</v>
      </c>
      <c r="B1009" s="99">
        <v>0</v>
      </c>
      <c r="C1009" s="99">
        <v>0</v>
      </c>
      <c r="D1009" s="99">
        <v>0</v>
      </c>
      <c r="E1009" s="99">
        <v>0</v>
      </c>
      <c r="F1009" s="99">
        <v>0</v>
      </c>
      <c r="G1009" s="99">
        <v>0</v>
      </c>
      <c r="H1009" s="99">
        <v>0</v>
      </c>
      <c r="I1009" s="99" t="s">
        <v>48</v>
      </c>
      <c r="J1009" s="93"/>
      <c r="K1009" s="93">
        <v>2842</v>
      </c>
      <c r="L1009" s="103">
        <v>0</v>
      </c>
      <c r="M1009" s="103">
        <v>0</v>
      </c>
      <c r="N1009" s="103">
        <v>0</v>
      </c>
      <c r="O1009" s="103">
        <v>0</v>
      </c>
      <c r="P1009" s="103">
        <v>0</v>
      </c>
      <c r="Q1009" s="103">
        <v>0</v>
      </c>
      <c r="R1009" s="103">
        <v>0</v>
      </c>
      <c r="S1009" s="103" t="s">
        <v>48</v>
      </c>
      <c r="T1009" s="93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CA1009" s="12"/>
      <c r="CB1009" s="12"/>
    </row>
    <row r="1010" spans="1:80" x14ac:dyDescent="0.2">
      <c r="A1010" s="96">
        <v>2744</v>
      </c>
      <c r="B1010" s="99">
        <v>0</v>
      </c>
      <c r="C1010" s="99">
        <v>0</v>
      </c>
      <c r="D1010" s="99">
        <v>0</v>
      </c>
      <c r="E1010" s="99">
        <v>0</v>
      </c>
      <c r="F1010" s="99">
        <v>0</v>
      </c>
      <c r="G1010" s="99">
        <v>0</v>
      </c>
      <c r="H1010" s="99">
        <v>0</v>
      </c>
      <c r="I1010" s="99" t="s">
        <v>48</v>
      </c>
      <c r="J1010" s="93"/>
      <c r="K1010" s="93">
        <v>2843</v>
      </c>
      <c r="L1010" s="103">
        <v>0</v>
      </c>
      <c r="M1010" s="103">
        <v>0</v>
      </c>
      <c r="N1010" s="103">
        <v>0</v>
      </c>
      <c r="O1010" s="103">
        <v>0</v>
      </c>
      <c r="P1010" s="103">
        <v>0</v>
      </c>
      <c r="Q1010" s="103">
        <v>0</v>
      </c>
      <c r="R1010" s="103">
        <v>0</v>
      </c>
      <c r="S1010" s="103" t="s">
        <v>48</v>
      </c>
      <c r="T1010" s="93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CA1010" s="12"/>
      <c r="CB1010" s="12"/>
    </row>
    <row r="1011" spans="1:80" x14ac:dyDescent="0.2">
      <c r="A1011" s="96">
        <v>2745</v>
      </c>
      <c r="B1011" s="99">
        <v>0</v>
      </c>
      <c r="C1011" s="99">
        <v>0</v>
      </c>
      <c r="D1011" s="99">
        <v>0</v>
      </c>
      <c r="E1011" s="99">
        <v>0</v>
      </c>
      <c r="F1011" s="99">
        <v>0</v>
      </c>
      <c r="G1011" s="99">
        <v>0</v>
      </c>
      <c r="H1011" s="99">
        <v>0</v>
      </c>
      <c r="I1011" s="99" t="s">
        <v>48</v>
      </c>
      <c r="J1011" s="93"/>
      <c r="K1011" s="93">
        <v>2844</v>
      </c>
      <c r="L1011" s="103">
        <v>0</v>
      </c>
      <c r="M1011" s="103">
        <v>0</v>
      </c>
      <c r="N1011" s="103">
        <v>0</v>
      </c>
      <c r="O1011" s="103">
        <v>0</v>
      </c>
      <c r="P1011" s="103">
        <v>0</v>
      </c>
      <c r="Q1011" s="103">
        <v>0</v>
      </c>
      <c r="R1011" s="103">
        <v>0</v>
      </c>
      <c r="S1011" s="103" t="s">
        <v>48</v>
      </c>
      <c r="T1011" s="93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CA1011" s="12"/>
      <c r="CB1011" s="12"/>
    </row>
    <row r="1012" spans="1:80" x14ac:dyDescent="0.2">
      <c r="A1012" s="96">
        <v>2746</v>
      </c>
      <c r="B1012" s="99">
        <v>0</v>
      </c>
      <c r="C1012" s="99">
        <v>0</v>
      </c>
      <c r="D1012" s="99">
        <v>0</v>
      </c>
      <c r="E1012" s="99">
        <v>0</v>
      </c>
      <c r="F1012" s="99">
        <v>0</v>
      </c>
      <c r="G1012" s="99">
        <v>0</v>
      </c>
      <c r="H1012" s="99">
        <v>0</v>
      </c>
      <c r="I1012" s="99" t="s">
        <v>48</v>
      </c>
      <c r="J1012" s="93"/>
      <c r="K1012" s="93">
        <v>2845</v>
      </c>
      <c r="L1012" s="103">
        <v>0</v>
      </c>
      <c r="M1012" s="103">
        <v>0</v>
      </c>
      <c r="N1012" s="103">
        <v>0</v>
      </c>
      <c r="O1012" s="103">
        <v>0</v>
      </c>
      <c r="P1012" s="103">
        <v>0</v>
      </c>
      <c r="Q1012" s="103">
        <v>0</v>
      </c>
      <c r="R1012" s="103">
        <v>0</v>
      </c>
      <c r="S1012" s="103" t="s">
        <v>48</v>
      </c>
      <c r="T1012" s="93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CA1012" s="12"/>
      <c r="CB1012" s="12"/>
    </row>
    <row r="1013" spans="1:80" x14ac:dyDescent="0.2">
      <c r="A1013" s="96">
        <v>2747</v>
      </c>
      <c r="B1013" s="99">
        <v>0</v>
      </c>
      <c r="C1013" s="99">
        <v>0</v>
      </c>
      <c r="D1013" s="99">
        <v>0</v>
      </c>
      <c r="E1013" s="99">
        <v>0</v>
      </c>
      <c r="F1013" s="99">
        <v>0</v>
      </c>
      <c r="G1013" s="99">
        <v>0</v>
      </c>
      <c r="H1013" s="99">
        <v>0</v>
      </c>
      <c r="I1013" s="99" t="s">
        <v>48</v>
      </c>
      <c r="J1013" s="93"/>
      <c r="K1013" s="93">
        <v>2846</v>
      </c>
      <c r="L1013" s="103">
        <v>0</v>
      </c>
      <c r="M1013" s="103">
        <v>0</v>
      </c>
      <c r="N1013" s="103">
        <v>0</v>
      </c>
      <c r="O1013" s="103">
        <v>0</v>
      </c>
      <c r="P1013" s="103">
        <v>0</v>
      </c>
      <c r="Q1013" s="103">
        <v>0</v>
      </c>
      <c r="R1013" s="103">
        <v>0</v>
      </c>
      <c r="S1013" s="103" t="s">
        <v>48</v>
      </c>
      <c r="T1013" s="93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CA1013" s="12"/>
      <c r="CB1013" s="12"/>
    </row>
    <row r="1014" spans="1:80" x14ac:dyDescent="0.2">
      <c r="A1014" s="96">
        <v>2748</v>
      </c>
      <c r="B1014" s="99">
        <v>0</v>
      </c>
      <c r="C1014" s="99">
        <v>0</v>
      </c>
      <c r="D1014" s="99">
        <v>0</v>
      </c>
      <c r="E1014" s="99">
        <v>0</v>
      </c>
      <c r="F1014" s="99">
        <v>0</v>
      </c>
      <c r="G1014" s="99">
        <v>0</v>
      </c>
      <c r="H1014" s="99">
        <v>0</v>
      </c>
      <c r="I1014" s="99" t="s">
        <v>48</v>
      </c>
      <c r="J1014" s="93"/>
      <c r="K1014" s="93">
        <v>2847</v>
      </c>
      <c r="L1014" s="103">
        <v>0</v>
      </c>
      <c r="M1014" s="103">
        <v>0</v>
      </c>
      <c r="N1014" s="103">
        <v>0</v>
      </c>
      <c r="O1014" s="103">
        <v>0</v>
      </c>
      <c r="P1014" s="103">
        <v>0</v>
      </c>
      <c r="Q1014" s="103">
        <v>0</v>
      </c>
      <c r="R1014" s="103">
        <v>0</v>
      </c>
      <c r="S1014" s="103" t="s">
        <v>48</v>
      </c>
      <c r="T1014" s="93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CA1014" s="12"/>
      <c r="CB1014" s="12"/>
    </row>
    <row r="1015" spans="1:80" x14ac:dyDescent="0.2">
      <c r="A1015" s="96">
        <v>2749</v>
      </c>
      <c r="B1015" s="99">
        <v>0</v>
      </c>
      <c r="C1015" s="99">
        <v>0</v>
      </c>
      <c r="D1015" s="99">
        <v>0</v>
      </c>
      <c r="E1015" s="99">
        <v>0</v>
      </c>
      <c r="F1015" s="99">
        <v>0</v>
      </c>
      <c r="G1015" s="99">
        <v>0</v>
      </c>
      <c r="H1015" s="99">
        <v>0</v>
      </c>
      <c r="I1015" s="99" t="s">
        <v>48</v>
      </c>
      <c r="J1015" s="93"/>
      <c r="K1015" s="93">
        <v>2848</v>
      </c>
      <c r="L1015" s="103">
        <v>0</v>
      </c>
      <c r="M1015" s="103">
        <v>0</v>
      </c>
      <c r="N1015" s="103">
        <v>0</v>
      </c>
      <c r="O1015" s="103">
        <v>0</v>
      </c>
      <c r="P1015" s="103">
        <v>0</v>
      </c>
      <c r="Q1015" s="103">
        <v>0</v>
      </c>
      <c r="R1015" s="103">
        <v>0</v>
      </c>
      <c r="S1015" s="103" t="s">
        <v>48</v>
      </c>
      <c r="T1015" s="93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CA1015" s="12"/>
      <c r="CB1015" s="12"/>
    </row>
    <row r="1016" spans="1:80" x14ac:dyDescent="0.2">
      <c r="A1016" s="96">
        <v>2750</v>
      </c>
      <c r="B1016" s="99">
        <v>0</v>
      </c>
      <c r="C1016" s="99">
        <v>0</v>
      </c>
      <c r="D1016" s="99">
        <v>0</v>
      </c>
      <c r="E1016" s="99">
        <v>0</v>
      </c>
      <c r="F1016" s="99">
        <v>0</v>
      </c>
      <c r="G1016" s="99">
        <v>0</v>
      </c>
      <c r="H1016" s="99">
        <v>0</v>
      </c>
      <c r="I1016" s="99" t="s">
        <v>48</v>
      </c>
      <c r="J1016" s="93"/>
      <c r="K1016" s="93">
        <v>2849</v>
      </c>
      <c r="L1016" s="103">
        <v>0</v>
      </c>
      <c r="M1016" s="103">
        <v>0</v>
      </c>
      <c r="N1016" s="103">
        <v>0</v>
      </c>
      <c r="O1016" s="103">
        <v>0</v>
      </c>
      <c r="P1016" s="103">
        <v>0</v>
      </c>
      <c r="Q1016" s="103">
        <v>0</v>
      </c>
      <c r="R1016" s="103">
        <v>0</v>
      </c>
      <c r="S1016" s="103" t="s">
        <v>48</v>
      </c>
      <c r="T1016" s="93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CA1016" s="12"/>
      <c r="CB1016" s="12"/>
    </row>
    <row r="1017" spans="1:80" x14ac:dyDescent="0.2">
      <c r="A1017" s="96">
        <v>2751</v>
      </c>
      <c r="B1017" s="99">
        <v>0</v>
      </c>
      <c r="C1017" s="99">
        <v>0</v>
      </c>
      <c r="D1017" s="99">
        <v>0</v>
      </c>
      <c r="E1017" s="99">
        <v>0</v>
      </c>
      <c r="F1017" s="99">
        <v>0</v>
      </c>
      <c r="G1017" s="99">
        <v>0</v>
      </c>
      <c r="H1017" s="99">
        <v>0</v>
      </c>
      <c r="I1017" s="99" t="s">
        <v>48</v>
      </c>
      <c r="J1017" s="93"/>
      <c r="K1017" s="93">
        <v>2850</v>
      </c>
      <c r="L1017" s="103">
        <v>0</v>
      </c>
      <c r="M1017" s="103">
        <v>0</v>
      </c>
      <c r="N1017" s="103">
        <v>0</v>
      </c>
      <c r="O1017" s="103">
        <v>0</v>
      </c>
      <c r="P1017" s="103">
        <v>0</v>
      </c>
      <c r="Q1017" s="103">
        <v>0</v>
      </c>
      <c r="R1017" s="103">
        <v>0</v>
      </c>
      <c r="S1017" s="103" t="s">
        <v>48</v>
      </c>
      <c r="T1017" s="93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CA1017" s="12"/>
      <c r="CB1017" s="12"/>
    </row>
    <row r="1018" spans="1:80" x14ac:dyDescent="0.2">
      <c r="A1018" s="96">
        <v>2752</v>
      </c>
      <c r="B1018" s="99">
        <v>0</v>
      </c>
      <c r="C1018" s="99">
        <v>0</v>
      </c>
      <c r="D1018" s="99">
        <v>0</v>
      </c>
      <c r="E1018" s="99">
        <v>0</v>
      </c>
      <c r="F1018" s="99">
        <v>0</v>
      </c>
      <c r="G1018" s="99">
        <v>0</v>
      </c>
      <c r="H1018" s="99">
        <v>0</v>
      </c>
      <c r="I1018" s="99" t="s">
        <v>48</v>
      </c>
      <c r="J1018" s="93"/>
      <c r="K1018" s="93">
        <v>2851</v>
      </c>
      <c r="L1018" s="103">
        <v>0</v>
      </c>
      <c r="M1018" s="103">
        <v>0</v>
      </c>
      <c r="N1018" s="103">
        <v>0</v>
      </c>
      <c r="O1018" s="103">
        <v>0</v>
      </c>
      <c r="P1018" s="103">
        <v>0</v>
      </c>
      <c r="Q1018" s="103">
        <v>0</v>
      </c>
      <c r="R1018" s="103">
        <v>0</v>
      </c>
      <c r="S1018" s="103" t="s">
        <v>48</v>
      </c>
      <c r="T1018" s="93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CA1018" s="12"/>
      <c r="CB1018" s="12"/>
    </row>
    <row r="1019" spans="1:80" x14ac:dyDescent="0.2">
      <c r="A1019" s="96">
        <v>2753</v>
      </c>
      <c r="B1019" s="99">
        <v>0</v>
      </c>
      <c r="C1019" s="99">
        <v>0</v>
      </c>
      <c r="D1019" s="99">
        <v>0</v>
      </c>
      <c r="E1019" s="99">
        <v>0</v>
      </c>
      <c r="F1019" s="99">
        <v>0</v>
      </c>
      <c r="G1019" s="99">
        <v>0</v>
      </c>
      <c r="H1019" s="99">
        <v>0</v>
      </c>
      <c r="I1019" s="99" t="s">
        <v>48</v>
      </c>
      <c r="J1019" s="93"/>
      <c r="K1019" s="93">
        <v>2852</v>
      </c>
      <c r="L1019" s="103">
        <v>0</v>
      </c>
      <c r="M1019" s="103">
        <v>0</v>
      </c>
      <c r="N1019" s="103">
        <v>0</v>
      </c>
      <c r="O1019" s="103">
        <v>0</v>
      </c>
      <c r="P1019" s="103">
        <v>0</v>
      </c>
      <c r="Q1019" s="103">
        <v>0</v>
      </c>
      <c r="R1019" s="103">
        <v>0</v>
      </c>
      <c r="S1019" s="103" t="s">
        <v>48</v>
      </c>
      <c r="T1019" s="93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CA1019" s="12"/>
      <c r="CB1019" s="12"/>
    </row>
    <row r="1020" spans="1:80" x14ac:dyDescent="0.2">
      <c r="A1020" s="96">
        <v>2754</v>
      </c>
      <c r="B1020" s="99">
        <v>0</v>
      </c>
      <c r="C1020" s="99">
        <v>0</v>
      </c>
      <c r="D1020" s="99">
        <v>0</v>
      </c>
      <c r="E1020" s="99">
        <v>0</v>
      </c>
      <c r="F1020" s="99">
        <v>0</v>
      </c>
      <c r="G1020" s="99">
        <v>0</v>
      </c>
      <c r="H1020" s="99">
        <v>0</v>
      </c>
      <c r="I1020" s="99" t="s">
        <v>48</v>
      </c>
      <c r="J1020" s="93"/>
      <c r="K1020" s="93">
        <v>2853</v>
      </c>
      <c r="L1020" s="103">
        <v>0</v>
      </c>
      <c r="M1020" s="103">
        <v>0</v>
      </c>
      <c r="N1020" s="103">
        <v>0</v>
      </c>
      <c r="O1020" s="103">
        <v>0</v>
      </c>
      <c r="P1020" s="103">
        <v>0</v>
      </c>
      <c r="Q1020" s="103">
        <v>0</v>
      </c>
      <c r="R1020" s="103">
        <v>0</v>
      </c>
      <c r="S1020" s="103" t="s">
        <v>48</v>
      </c>
      <c r="T1020" s="93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CA1020" s="12"/>
      <c r="CB1020" s="12"/>
    </row>
    <row r="1021" spans="1:80" x14ac:dyDescent="0.2">
      <c r="A1021" s="96">
        <v>2755</v>
      </c>
      <c r="B1021" s="99">
        <v>0</v>
      </c>
      <c r="C1021" s="99">
        <v>0</v>
      </c>
      <c r="D1021" s="99">
        <v>0</v>
      </c>
      <c r="E1021" s="99">
        <v>0</v>
      </c>
      <c r="F1021" s="99">
        <v>0</v>
      </c>
      <c r="G1021" s="99">
        <v>0</v>
      </c>
      <c r="H1021" s="99">
        <v>0</v>
      </c>
      <c r="I1021" s="99" t="s">
        <v>48</v>
      </c>
      <c r="J1021" s="93"/>
      <c r="K1021" s="93">
        <v>2854</v>
      </c>
      <c r="L1021" s="103">
        <v>0</v>
      </c>
      <c r="M1021" s="103">
        <v>0</v>
      </c>
      <c r="N1021" s="103">
        <v>0</v>
      </c>
      <c r="O1021" s="103">
        <v>0</v>
      </c>
      <c r="P1021" s="103">
        <v>0</v>
      </c>
      <c r="Q1021" s="103">
        <v>0</v>
      </c>
      <c r="R1021" s="103">
        <v>0</v>
      </c>
      <c r="S1021" s="103" t="s">
        <v>48</v>
      </c>
      <c r="T1021" s="93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CA1021" s="12"/>
      <c r="CB1021" s="12"/>
    </row>
    <row r="1022" spans="1:80" x14ac:dyDescent="0.2">
      <c r="A1022" s="96">
        <v>2756</v>
      </c>
      <c r="B1022" s="99">
        <v>0</v>
      </c>
      <c r="C1022" s="99">
        <v>0</v>
      </c>
      <c r="D1022" s="99">
        <v>0</v>
      </c>
      <c r="E1022" s="99">
        <v>0</v>
      </c>
      <c r="F1022" s="99">
        <v>0</v>
      </c>
      <c r="G1022" s="99">
        <v>0</v>
      </c>
      <c r="H1022" s="99">
        <v>0</v>
      </c>
      <c r="I1022" s="99" t="s">
        <v>48</v>
      </c>
      <c r="J1022" s="93"/>
      <c r="K1022" s="93">
        <v>2855</v>
      </c>
      <c r="L1022" s="103">
        <v>0</v>
      </c>
      <c r="M1022" s="103">
        <v>0</v>
      </c>
      <c r="N1022" s="103">
        <v>0</v>
      </c>
      <c r="O1022" s="103">
        <v>0</v>
      </c>
      <c r="P1022" s="103">
        <v>0</v>
      </c>
      <c r="Q1022" s="103">
        <v>0</v>
      </c>
      <c r="R1022" s="103">
        <v>0</v>
      </c>
      <c r="S1022" s="103" t="s">
        <v>48</v>
      </c>
      <c r="T1022" s="93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CA1022" s="12"/>
      <c r="CB1022" s="12"/>
    </row>
    <row r="1023" spans="1:80" x14ac:dyDescent="0.2">
      <c r="A1023" s="96">
        <v>2757</v>
      </c>
      <c r="B1023" s="99">
        <v>0</v>
      </c>
      <c r="C1023" s="99">
        <v>0</v>
      </c>
      <c r="D1023" s="99">
        <v>0</v>
      </c>
      <c r="E1023" s="99">
        <v>0</v>
      </c>
      <c r="F1023" s="99">
        <v>0</v>
      </c>
      <c r="G1023" s="99">
        <v>0</v>
      </c>
      <c r="H1023" s="99">
        <v>0</v>
      </c>
      <c r="I1023" s="99" t="s">
        <v>48</v>
      </c>
      <c r="J1023" s="93"/>
      <c r="K1023" s="93">
        <v>2856</v>
      </c>
      <c r="L1023" s="103">
        <v>0</v>
      </c>
      <c r="M1023" s="103">
        <v>0</v>
      </c>
      <c r="N1023" s="103">
        <v>0</v>
      </c>
      <c r="O1023" s="103">
        <v>0</v>
      </c>
      <c r="P1023" s="103">
        <v>0</v>
      </c>
      <c r="Q1023" s="103">
        <v>0</v>
      </c>
      <c r="R1023" s="103">
        <v>0</v>
      </c>
      <c r="S1023" s="103" t="s">
        <v>48</v>
      </c>
      <c r="T1023" s="93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CA1023" s="12"/>
      <c r="CB1023" s="12"/>
    </row>
    <row r="1024" spans="1:80" x14ac:dyDescent="0.2">
      <c r="A1024" s="96">
        <v>2758</v>
      </c>
      <c r="B1024" s="99">
        <v>0</v>
      </c>
      <c r="C1024" s="99">
        <v>0</v>
      </c>
      <c r="D1024" s="99">
        <v>0</v>
      </c>
      <c r="E1024" s="99">
        <v>0</v>
      </c>
      <c r="F1024" s="99">
        <v>0</v>
      </c>
      <c r="G1024" s="99">
        <v>0</v>
      </c>
      <c r="H1024" s="99">
        <v>0</v>
      </c>
      <c r="I1024" s="99" t="s">
        <v>48</v>
      </c>
      <c r="J1024" s="93"/>
      <c r="K1024" s="93">
        <v>2857</v>
      </c>
      <c r="L1024" s="103">
        <v>0</v>
      </c>
      <c r="M1024" s="103">
        <v>0</v>
      </c>
      <c r="N1024" s="103">
        <v>0</v>
      </c>
      <c r="O1024" s="103">
        <v>0</v>
      </c>
      <c r="P1024" s="103">
        <v>0</v>
      </c>
      <c r="Q1024" s="103">
        <v>0</v>
      </c>
      <c r="R1024" s="103">
        <v>0</v>
      </c>
      <c r="S1024" s="103" t="s">
        <v>48</v>
      </c>
      <c r="T1024" s="93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CA1024" s="12"/>
      <c r="CB1024" s="12"/>
    </row>
    <row r="1025" spans="1:80" x14ac:dyDescent="0.2">
      <c r="A1025" s="96">
        <v>2759</v>
      </c>
      <c r="B1025" s="99">
        <v>0</v>
      </c>
      <c r="C1025" s="99">
        <v>0</v>
      </c>
      <c r="D1025" s="99">
        <v>0</v>
      </c>
      <c r="E1025" s="99">
        <v>0</v>
      </c>
      <c r="F1025" s="99">
        <v>0</v>
      </c>
      <c r="G1025" s="99">
        <v>0</v>
      </c>
      <c r="H1025" s="99">
        <v>0</v>
      </c>
      <c r="I1025" s="99" t="s">
        <v>48</v>
      </c>
      <c r="J1025" s="93"/>
      <c r="K1025" s="93">
        <v>2858</v>
      </c>
      <c r="L1025" s="103">
        <v>0</v>
      </c>
      <c r="M1025" s="103">
        <v>0</v>
      </c>
      <c r="N1025" s="103">
        <v>0</v>
      </c>
      <c r="O1025" s="103">
        <v>0</v>
      </c>
      <c r="P1025" s="103">
        <v>0</v>
      </c>
      <c r="Q1025" s="103">
        <v>0</v>
      </c>
      <c r="R1025" s="103">
        <v>0</v>
      </c>
      <c r="S1025" s="103" t="s">
        <v>48</v>
      </c>
      <c r="T1025" s="93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CA1025" s="12"/>
      <c r="CB1025" s="12"/>
    </row>
    <row r="1026" spans="1:80" x14ac:dyDescent="0.2">
      <c r="A1026" s="96">
        <v>2800</v>
      </c>
      <c r="B1026" s="99">
        <v>0</v>
      </c>
      <c r="C1026" s="99">
        <v>0</v>
      </c>
      <c r="D1026" s="99">
        <v>0</v>
      </c>
      <c r="E1026" s="99">
        <v>0</v>
      </c>
      <c r="F1026" s="99">
        <v>0</v>
      </c>
      <c r="G1026" s="99">
        <v>0</v>
      </c>
      <c r="H1026" s="99">
        <v>0</v>
      </c>
      <c r="I1026" s="99" t="s">
        <v>48</v>
      </c>
      <c r="J1026" s="93"/>
      <c r="K1026" s="93">
        <v>2859</v>
      </c>
      <c r="L1026" s="103">
        <v>0</v>
      </c>
      <c r="M1026" s="103">
        <v>0</v>
      </c>
      <c r="N1026" s="103">
        <v>0</v>
      </c>
      <c r="O1026" s="103">
        <v>0</v>
      </c>
      <c r="P1026" s="103">
        <v>0</v>
      </c>
      <c r="Q1026" s="103">
        <v>0</v>
      </c>
      <c r="R1026" s="103">
        <v>0</v>
      </c>
      <c r="S1026" s="103" t="s">
        <v>48</v>
      </c>
      <c r="T1026" s="93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CA1026" s="12"/>
      <c r="CB1026" s="12"/>
    </row>
    <row r="1027" spans="1:80" x14ac:dyDescent="0.2">
      <c r="A1027" s="96">
        <v>2801</v>
      </c>
      <c r="B1027" s="99">
        <v>0</v>
      </c>
      <c r="C1027" s="99">
        <v>0</v>
      </c>
      <c r="D1027" s="99">
        <v>0</v>
      </c>
      <c r="E1027" s="99">
        <v>0</v>
      </c>
      <c r="F1027" s="99">
        <v>0</v>
      </c>
      <c r="G1027" s="99">
        <v>0</v>
      </c>
      <c r="H1027" s="99">
        <v>0</v>
      </c>
      <c r="I1027" s="99" t="s">
        <v>48</v>
      </c>
      <c r="J1027" s="93"/>
      <c r="K1027" s="93">
        <v>2900</v>
      </c>
      <c r="L1027" s="103">
        <v>0</v>
      </c>
      <c r="M1027" s="103">
        <v>0</v>
      </c>
      <c r="N1027" s="103">
        <v>0</v>
      </c>
      <c r="O1027" s="103">
        <v>0</v>
      </c>
      <c r="P1027" s="103">
        <v>0</v>
      </c>
      <c r="Q1027" s="103">
        <v>0</v>
      </c>
      <c r="R1027" s="103">
        <v>0</v>
      </c>
      <c r="S1027" s="103" t="s">
        <v>48</v>
      </c>
      <c r="T1027" s="93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CA1027" s="12"/>
      <c r="CB1027" s="12"/>
    </row>
    <row r="1028" spans="1:80" x14ac:dyDescent="0.2">
      <c r="A1028" s="96">
        <v>2802</v>
      </c>
      <c r="B1028" s="99">
        <v>0</v>
      </c>
      <c r="C1028" s="99">
        <v>0</v>
      </c>
      <c r="D1028" s="99">
        <v>0</v>
      </c>
      <c r="E1028" s="99">
        <v>0</v>
      </c>
      <c r="F1028" s="99">
        <v>0</v>
      </c>
      <c r="G1028" s="99">
        <v>0</v>
      </c>
      <c r="H1028" s="99">
        <v>0</v>
      </c>
      <c r="I1028" s="99" t="s">
        <v>48</v>
      </c>
      <c r="J1028" s="93"/>
      <c r="K1028" s="93">
        <v>2901</v>
      </c>
      <c r="L1028" s="103">
        <v>0</v>
      </c>
      <c r="M1028" s="103">
        <v>0</v>
      </c>
      <c r="N1028" s="103">
        <v>0</v>
      </c>
      <c r="O1028" s="103">
        <v>0</v>
      </c>
      <c r="P1028" s="103">
        <v>0</v>
      </c>
      <c r="Q1028" s="103">
        <v>0</v>
      </c>
      <c r="R1028" s="103">
        <v>0</v>
      </c>
      <c r="S1028" s="103" t="s">
        <v>48</v>
      </c>
      <c r="T1028" s="93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CA1028" s="12"/>
      <c r="CB1028" s="12"/>
    </row>
    <row r="1029" spans="1:80" x14ac:dyDescent="0.2">
      <c r="A1029" s="96">
        <v>2803</v>
      </c>
      <c r="B1029" s="99">
        <v>0</v>
      </c>
      <c r="C1029" s="99">
        <v>0</v>
      </c>
      <c r="D1029" s="99">
        <v>0</v>
      </c>
      <c r="E1029" s="99">
        <v>0</v>
      </c>
      <c r="F1029" s="99">
        <v>0</v>
      </c>
      <c r="G1029" s="99">
        <v>0</v>
      </c>
      <c r="H1029" s="99">
        <v>0</v>
      </c>
      <c r="I1029" s="99" t="s">
        <v>48</v>
      </c>
      <c r="J1029" s="93"/>
      <c r="K1029" s="93">
        <v>2902</v>
      </c>
      <c r="L1029" s="103">
        <v>0</v>
      </c>
      <c r="M1029" s="103">
        <v>0</v>
      </c>
      <c r="N1029" s="103">
        <v>0</v>
      </c>
      <c r="O1029" s="103">
        <v>0</v>
      </c>
      <c r="P1029" s="103">
        <v>0</v>
      </c>
      <c r="Q1029" s="103">
        <v>0</v>
      </c>
      <c r="R1029" s="103">
        <v>0</v>
      </c>
      <c r="S1029" s="103" t="s">
        <v>48</v>
      </c>
      <c r="T1029" s="93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CA1029" s="12"/>
      <c r="CB1029" s="12"/>
    </row>
    <row r="1030" spans="1:80" x14ac:dyDescent="0.2">
      <c r="A1030" s="96">
        <v>2804</v>
      </c>
      <c r="B1030" s="99">
        <v>0</v>
      </c>
      <c r="C1030" s="99">
        <v>0</v>
      </c>
      <c r="D1030" s="99">
        <v>0</v>
      </c>
      <c r="E1030" s="99">
        <v>0</v>
      </c>
      <c r="F1030" s="99">
        <v>0</v>
      </c>
      <c r="G1030" s="99">
        <v>0</v>
      </c>
      <c r="H1030" s="99">
        <v>0</v>
      </c>
      <c r="I1030" s="99" t="s">
        <v>48</v>
      </c>
      <c r="J1030" s="93"/>
      <c r="K1030" s="93">
        <v>2903</v>
      </c>
      <c r="L1030" s="103">
        <v>0</v>
      </c>
      <c r="M1030" s="103">
        <v>0</v>
      </c>
      <c r="N1030" s="103">
        <v>0</v>
      </c>
      <c r="O1030" s="103">
        <v>0</v>
      </c>
      <c r="P1030" s="103">
        <v>0</v>
      </c>
      <c r="Q1030" s="103">
        <v>0</v>
      </c>
      <c r="R1030" s="103">
        <v>0</v>
      </c>
      <c r="S1030" s="103" t="s">
        <v>48</v>
      </c>
      <c r="T1030" s="93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CA1030" s="12"/>
      <c r="CB1030" s="12"/>
    </row>
    <row r="1031" spans="1:80" x14ac:dyDescent="0.2">
      <c r="A1031" s="96">
        <v>2805</v>
      </c>
      <c r="B1031" s="99">
        <v>0</v>
      </c>
      <c r="C1031" s="99">
        <v>0</v>
      </c>
      <c r="D1031" s="99">
        <v>0</v>
      </c>
      <c r="E1031" s="99">
        <v>0</v>
      </c>
      <c r="F1031" s="99">
        <v>0</v>
      </c>
      <c r="G1031" s="99">
        <v>0</v>
      </c>
      <c r="H1031" s="99">
        <v>0</v>
      </c>
      <c r="I1031" s="99" t="s">
        <v>48</v>
      </c>
      <c r="J1031" s="93"/>
      <c r="K1031" s="93">
        <v>2904</v>
      </c>
      <c r="L1031" s="103">
        <v>0</v>
      </c>
      <c r="M1031" s="103">
        <v>0</v>
      </c>
      <c r="N1031" s="103">
        <v>0</v>
      </c>
      <c r="O1031" s="103">
        <v>0</v>
      </c>
      <c r="P1031" s="103">
        <v>0</v>
      </c>
      <c r="Q1031" s="103">
        <v>0</v>
      </c>
      <c r="R1031" s="103">
        <v>0</v>
      </c>
      <c r="S1031" s="103" t="s">
        <v>48</v>
      </c>
      <c r="T1031" s="93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CA1031" s="12"/>
      <c r="CB1031" s="12"/>
    </row>
    <row r="1032" spans="1:80" x14ac:dyDescent="0.2">
      <c r="A1032" s="96">
        <v>2806</v>
      </c>
      <c r="B1032" s="99">
        <v>0</v>
      </c>
      <c r="C1032" s="99">
        <v>0</v>
      </c>
      <c r="D1032" s="99">
        <v>0</v>
      </c>
      <c r="E1032" s="99">
        <v>0</v>
      </c>
      <c r="F1032" s="99">
        <v>0</v>
      </c>
      <c r="G1032" s="99">
        <v>0</v>
      </c>
      <c r="H1032" s="99">
        <v>0</v>
      </c>
      <c r="I1032" s="99" t="s">
        <v>48</v>
      </c>
      <c r="J1032" s="93"/>
      <c r="K1032" s="93">
        <v>2905</v>
      </c>
      <c r="L1032" s="103">
        <v>0</v>
      </c>
      <c r="M1032" s="103">
        <v>0</v>
      </c>
      <c r="N1032" s="103">
        <v>0</v>
      </c>
      <c r="O1032" s="103">
        <v>0</v>
      </c>
      <c r="P1032" s="103">
        <v>0</v>
      </c>
      <c r="Q1032" s="103">
        <v>0</v>
      </c>
      <c r="R1032" s="103">
        <v>0</v>
      </c>
      <c r="S1032" s="103" t="s">
        <v>48</v>
      </c>
      <c r="T1032" s="93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CA1032" s="12"/>
      <c r="CB1032" s="12"/>
    </row>
    <row r="1033" spans="1:80" x14ac:dyDescent="0.2">
      <c r="A1033" s="96">
        <v>2807</v>
      </c>
      <c r="B1033" s="99">
        <v>0</v>
      </c>
      <c r="C1033" s="99">
        <v>0</v>
      </c>
      <c r="D1033" s="99">
        <v>0</v>
      </c>
      <c r="E1033" s="99">
        <v>0</v>
      </c>
      <c r="F1033" s="99">
        <v>0</v>
      </c>
      <c r="G1033" s="99">
        <v>0</v>
      </c>
      <c r="H1033" s="99">
        <v>0</v>
      </c>
      <c r="I1033" s="99" t="s">
        <v>48</v>
      </c>
      <c r="J1033" s="93"/>
      <c r="K1033" s="93">
        <v>2906</v>
      </c>
      <c r="L1033" s="103">
        <v>0</v>
      </c>
      <c r="M1033" s="103">
        <v>0</v>
      </c>
      <c r="N1033" s="103">
        <v>0</v>
      </c>
      <c r="O1033" s="103">
        <v>0</v>
      </c>
      <c r="P1033" s="103">
        <v>0</v>
      </c>
      <c r="Q1033" s="103">
        <v>0</v>
      </c>
      <c r="R1033" s="103">
        <v>0</v>
      </c>
      <c r="S1033" s="103" t="s">
        <v>48</v>
      </c>
      <c r="T1033" s="93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CA1033" s="12"/>
      <c r="CB1033" s="12"/>
    </row>
    <row r="1034" spans="1:80" x14ac:dyDescent="0.2">
      <c r="A1034" s="96">
        <v>2808</v>
      </c>
      <c r="B1034" s="99">
        <v>0</v>
      </c>
      <c r="C1034" s="99">
        <v>0</v>
      </c>
      <c r="D1034" s="99">
        <v>0</v>
      </c>
      <c r="E1034" s="99">
        <v>0</v>
      </c>
      <c r="F1034" s="99">
        <v>0</v>
      </c>
      <c r="G1034" s="99">
        <v>0</v>
      </c>
      <c r="H1034" s="99">
        <v>0</v>
      </c>
      <c r="I1034" s="99" t="s">
        <v>48</v>
      </c>
      <c r="J1034" s="93"/>
      <c r="K1034" s="93">
        <v>2907</v>
      </c>
      <c r="L1034" s="103">
        <v>0</v>
      </c>
      <c r="M1034" s="103">
        <v>0</v>
      </c>
      <c r="N1034" s="103">
        <v>0</v>
      </c>
      <c r="O1034" s="103">
        <v>0</v>
      </c>
      <c r="P1034" s="103">
        <v>0</v>
      </c>
      <c r="Q1034" s="103">
        <v>0</v>
      </c>
      <c r="R1034" s="103">
        <v>0</v>
      </c>
      <c r="S1034" s="103" t="s">
        <v>48</v>
      </c>
      <c r="T1034" s="93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CA1034" s="12"/>
      <c r="CB1034" s="12"/>
    </row>
    <row r="1035" spans="1:80" x14ac:dyDescent="0.2">
      <c r="A1035" s="96">
        <v>2809</v>
      </c>
      <c r="B1035" s="99">
        <v>0</v>
      </c>
      <c r="C1035" s="99">
        <v>0</v>
      </c>
      <c r="D1035" s="99">
        <v>0</v>
      </c>
      <c r="E1035" s="99">
        <v>0</v>
      </c>
      <c r="F1035" s="99">
        <v>0</v>
      </c>
      <c r="G1035" s="99">
        <v>0</v>
      </c>
      <c r="H1035" s="99">
        <v>0</v>
      </c>
      <c r="I1035" s="99" t="s">
        <v>48</v>
      </c>
      <c r="J1035" s="93"/>
      <c r="K1035" s="93">
        <v>2908</v>
      </c>
      <c r="L1035" s="103">
        <v>0</v>
      </c>
      <c r="M1035" s="103">
        <v>0</v>
      </c>
      <c r="N1035" s="103">
        <v>0</v>
      </c>
      <c r="O1035" s="103">
        <v>0</v>
      </c>
      <c r="P1035" s="103">
        <v>0</v>
      </c>
      <c r="Q1035" s="103">
        <v>0</v>
      </c>
      <c r="R1035" s="103">
        <v>0</v>
      </c>
      <c r="S1035" s="103" t="s">
        <v>48</v>
      </c>
      <c r="T1035" s="93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CA1035" s="12"/>
      <c r="CB1035" s="12"/>
    </row>
    <row r="1036" spans="1:80" x14ac:dyDescent="0.2">
      <c r="A1036" s="96">
        <v>2810</v>
      </c>
      <c r="B1036" s="99">
        <v>0</v>
      </c>
      <c r="C1036" s="99">
        <v>0</v>
      </c>
      <c r="D1036" s="99">
        <v>0</v>
      </c>
      <c r="E1036" s="99">
        <v>0</v>
      </c>
      <c r="F1036" s="99">
        <v>0</v>
      </c>
      <c r="G1036" s="99">
        <v>0</v>
      </c>
      <c r="H1036" s="99">
        <v>0</v>
      </c>
      <c r="I1036" s="99" t="s">
        <v>48</v>
      </c>
      <c r="J1036" s="93"/>
      <c r="K1036" s="93">
        <v>2909</v>
      </c>
      <c r="L1036" s="103">
        <v>0</v>
      </c>
      <c r="M1036" s="103">
        <v>0</v>
      </c>
      <c r="N1036" s="103">
        <v>0</v>
      </c>
      <c r="O1036" s="103">
        <v>0</v>
      </c>
      <c r="P1036" s="103">
        <v>0</v>
      </c>
      <c r="Q1036" s="103">
        <v>0</v>
      </c>
      <c r="R1036" s="103">
        <v>0</v>
      </c>
      <c r="S1036" s="103" t="s">
        <v>48</v>
      </c>
      <c r="T1036" s="93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CA1036" s="12"/>
      <c r="CB1036" s="12"/>
    </row>
    <row r="1037" spans="1:80" x14ac:dyDescent="0.2">
      <c r="A1037" s="96">
        <v>2811</v>
      </c>
      <c r="B1037" s="99">
        <v>0</v>
      </c>
      <c r="C1037" s="99">
        <v>0</v>
      </c>
      <c r="D1037" s="99">
        <v>0</v>
      </c>
      <c r="E1037" s="99">
        <v>0</v>
      </c>
      <c r="F1037" s="99">
        <v>0</v>
      </c>
      <c r="G1037" s="99">
        <v>0</v>
      </c>
      <c r="H1037" s="99">
        <v>0</v>
      </c>
      <c r="I1037" s="99" t="s">
        <v>48</v>
      </c>
      <c r="J1037" s="93"/>
      <c r="K1037" s="93">
        <v>2910</v>
      </c>
      <c r="L1037" s="103">
        <v>0</v>
      </c>
      <c r="M1037" s="103">
        <v>0</v>
      </c>
      <c r="N1037" s="103">
        <v>0</v>
      </c>
      <c r="O1037" s="103">
        <v>0</v>
      </c>
      <c r="P1037" s="103">
        <v>0</v>
      </c>
      <c r="Q1037" s="103">
        <v>0</v>
      </c>
      <c r="R1037" s="103">
        <v>0</v>
      </c>
      <c r="S1037" s="103" t="s">
        <v>48</v>
      </c>
      <c r="T1037" s="93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CA1037" s="12"/>
      <c r="CB1037" s="12"/>
    </row>
    <row r="1038" spans="1:80" x14ac:dyDescent="0.2">
      <c r="A1038" s="96">
        <v>2812</v>
      </c>
      <c r="B1038" s="99">
        <v>0</v>
      </c>
      <c r="C1038" s="99">
        <v>0</v>
      </c>
      <c r="D1038" s="99">
        <v>0</v>
      </c>
      <c r="E1038" s="99">
        <v>0</v>
      </c>
      <c r="F1038" s="99">
        <v>0</v>
      </c>
      <c r="G1038" s="99">
        <v>0</v>
      </c>
      <c r="H1038" s="99">
        <v>0</v>
      </c>
      <c r="I1038" s="99" t="s">
        <v>48</v>
      </c>
      <c r="J1038" s="93"/>
      <c r="K1038" s="93">
        <v>2911</v>
      </c>
      <c r="L1038" s="103">
        <v>0</v>
      </c>
      <c r="M1038" s="103">
        <v>0</v>
      </c>
      <c r="N1038" s="103">
        <v>0</v>
      </c>
      <c r="O1038" s="103">
        <v>0</v>
      </c>
      <c r="P1038" s="103">
        <v>0</v>
      </c>
      <c r="Q1038" s="103">
        <v>0</v>
      </c>
      <c r="R1038" s="103">
        <v>0</v>
      </c>
      <c r="S1038" s="103" t="s">
        <v>48</v>
      </c>
      <c r="T1038" s="93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CA1038" s="12"/>
      <c r="CB1038" s="12"/>
    </row>
    <row r="1039" spans="1:80" x14ac:dyDescent="0.2">
      <c r="A1039" s="96">
        <v>2813</v>
      </c>
      <c r="B1039" s="99">
        <v>0</v>
      </c>
      <c r="C1039" s="99">
        <v>0</v>
      </c>
      <c r="D1039" s="99">
        <v>0</v>
      </c>
      <c r="E1039" s="99">
        <v>0</v>
      </c>
      <c r="F1039" s="99">
        <v>0</v>
      </c>
      <c r="G1039" s="99">
        <v>0</v>
      </c>
      <c r="H1039" s="99">
        <v>0</v>
      </c>
      <c r="I1039" s="99" t="s">
        <v>48</v>
      </c>
      <c r="J1039" s="93"/>
      <c r="K1039" s="93">
        <v>2912</v>
      </c>
      <c r="L1039" s="103">
        <v>0</v>
      </c>
      <c r="M1039" s="103">
        <v>0</v>
      </c>
      <c r="N1039" s="103">
        <v>0</v>
      </c>
      <c r="O1039" s="103">
        <v>0</v>
      </c>
      <c r="P1039" s="103">
        <v>0</v>
      </c>
      <c r="Q1039" s="103">
        <v>0</v>
      </c>
      <c r="R1039" s="103">
        <v>0</v>
      </c>
      <c r="S1039" s="103" t="s">
        <v>48</v>
      </c>
      <c r="T1039" s="93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CA1039" s="12"/>
      <c r="CB1039" s="12"/>
    </row>
    <row r="1040" spans="1:80" x14ac:dyDescent="0.2">
      <c r="A1040" s="96">
        <v>2814</v>
      </c>
      <c r="B1040" s="99">
        <v>0</v>
      </c>
      <c r="C1040" s="99">
        <v>0</v>
      </c>
      <c r="D1040" s="99">
        <v>0</v>
      </c>
      <c r="E1040" s="99">
        <v>0</v>
      </c>
      <c r="F1040" s="99">
        <v>0</v>
      </c>
      <c r="G1040" s="99">
        <v>0</v>
      </c>
      <c r="H1040" s="99">
        <v>0</v>
      </c>
      <c r="I1040" s="99" t="s">
        <v>48</v>
      </c>
      <c r="J1040" s="93"/>
      <c r="K1040" s="93">
        <v>2913</v>
      </c>
      <c r="L1040" s="103">
        <v>0</v>
      </c>
      <c r="M1040" s="103">
        <v>0</v>
      </c>
      <c r="N1040" s="103">
        <v>0</v>
      </c>
      <c r="O1040" s="103">
        <v>0</v>
      </c>
      <c r="P1040" s="103">
        <v>0</v>
      </c>
      <c r="Q1040" s="103">
        <v>0</v>
      </c>
      <c r="R1040" s="103">
        <v>0</v>
      </c>
      <c r="S1040" s="103" t="s">
        <v>48</v>
      </c>
      <c r="T1040" s="93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CA1040" s="12"/>
      <c r="CB1040" s="12"/>
    </row>
    <row r="1041" spans="1:80" x14ac:dyDescent="0.2">
      <c r="A1041" s="96">
        <v>2815</v>
      </c>
      <c r="B1041" s="99">
        <v>0</v>
      </c>
      <c r="C1041" s="99">
        <v>0</v>
      </c>
      <c r="D1041" s="99">
        <v>0</v>
      </c>
      <c r="E1041" s="99">
        <v>0</v>
      </c>
      <c r="F1041" s="99">
        <v>0</v>
      </c>
      <c r="G1041" s="99">
        <v>0</v>
      </c>
      <c r="H1041" s="99">
        <v>0</v>
      </c>
      <c r="I1041" s="99" t="s">
        <v>48</v>
      </c>
      <c r="J1041" s="93"/>
      <c r="K1041" s="93">
        <v>2914</v>
      </c>
      <c r="L1041" s="103">
        <v>0</v>
      </c>
      <c r="M1041" s="103">
        <v>0</v>
      </c>
      <c r="N1041" s="103">
        <v>0</v>
      </c>
      <c r="O1041" s="103">
        <v>0</v>
      </c>
      <c r="P1041" s="103">
        <v>0</v>
      </c>
      <c r="Q1041" s="103">
        <v>0</v>
      </c>
      <c r="R1041" s="103">
        <v>0</v>
      </c>
      <c r="S1041" s="103" t="s">
        <v>48</v>
      </c>
      <c r="T1041" s="93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CA1041" s="12"/>
      <c r="CB1041" s="12"/>
    </row>
    <row r="1042" spans="1:80" x14ac:dyDescent="0.2">
      <c r="A1042" s="96">
        <v>2816</v>
      </c>
      <c r="B1042" s="99">
        <v>0</v>
      </c>
      <c r="C1042" s="99">
        <v>0</v>
      </c>
      <c r="D1042" s="99">
        <v>0</v>
      </c>
      <c r="E1042" s="99">
        <v>0</v>
      </c>
      <c r="F1042" s="99">
        <v>0</v>
      </c>
      <c r="G1042" s="99">
        <v>0</v>
      </c>
      <c r="H1042" s="99">
        <v>0</v>
      </c>
      <c r="I1042" s="99" t="s">
        <v>48</v>
      </c>
      <c r="J1042" s="93"/>
      <c r="K1042" s="93">
        <v>2915</v>
      </c>
      <c r="L1042" s="103">
        <v>0</v>
      </c>
      <c r="M1042" s="103">
        <v>0</v>
      </c>
      <c r="N1042" s="103">
        <v>0</v>
      </c>
      <c r="O1042" s="103">
        <v>0</v>
      </c>
      <c r="P1042" s="103">
        <v>0</v>
      </c>
      <c r="Q1042" s="103">
        <v>0</v>
      </c>
      <c r="R1042" s="103">
        <v>0</v>
      </c>
      <c r="S1042" s="103" t="s">
        <v>48</v>
      </c>
      <c r="T1042" s="93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CA1042" s="12"/>
      <c r="CB1042" s="12"/>
    </row>
    <row r="1043" spans="1:80" x14ac:dyDescent="0.2">
      <c r="A1043" s="96">
        <v>2817</v>
      </c>
      <c r="B1043" s="99">
        <v>0</v>
      </c>
      <c r="C1043" s="99">
        <v>0</v>
      </c>
      <c r="D1043" s="99">
        <v>0</v>
      </c>
      <c r="E1043" s="99">
        <v>0</v>
      </c>
      <c r="F1043" s="99">
        <v>0</v>
      </c>
      <c r="G1043" s="99">
        <v>0</v>
      </c>
      <c r="H1043" s="99">
        <v>0</v>
      </c>
      <c r="I1043" s="99" t="s">
        <v>48</v>
      </c>
      <c r="J1043" s="93"/>
      <c r="K1043" s="93">
        <v>2916</v>
      </c>
      <c r="L1043" s="103">
        <v>0</v>
      </c>
      <c r="M1043" s="103">
        <v>0</v>
      </c>
      <c r="N1043" s="103">
        <v>0</v>
      </c>
      <c r="O1043" s="103">
        <v>0</v>
      </c>
      <c r="P1043" s="103">
        <v>0</v>
      </c>
      <c r="Q1043" s="103">
        <v>0</v>
      </c>
      <c r="R1043" s="103">
        <v>0</v>
      </c>
      <c r="S1043" s="103" t="s">
        <v>48</v>
      </c>
      <c r="T1043" s="93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CA1043" s="12"/>
      <c r="CB1043" s="12"/>
    </row>
    <row r="1044" spans="1:80" x14ac:dyDescent="0.2">
      <c r="A1044" s="96">
        <v>2818</v>
      </c>
      <c r="B1044" s="99">
        <v>0</v>
      </c>
      <c r="C1044" s="99">
        <v>0</v>
      </c>
      <c r="D1044" s="99">
        <v>0</v>
      </c>
      <c r="E1044" s="99">
        <v>0</v>
      </c>
      <c r="F1044" s="99">
        <v>0</v>
      </c>
      <c r="G1044" s="99">
        <v>0</v>
      </c>
      <c r="H1044" s="99">
        <v>0</v>
      </c>
      <c r="I1044" s="99" t="s">
        <v>48</v>
      </c>
      <c r="J1044" s="93"/>
      <c r="K1044" s="93">
        <v>2917</v>
      </c>
      <c r="L1044" s="103">
        <v>0</v>
      </c>
      <c r="M1044" s="103">
        <v>0</v>
      </c>
      <c r="N1044" s="103">
        <v>0</v>
      </c>
      <c r="O1044" s="103">
        <v>0</v>
      </c>
      <c r="P1044" s="103">
        <v>0</v>
      </c>
      <c r="Q1044" s="103">
        <v>0</v>
      </c>
      <c r="R1044" s="103">
        <v>0</v>
      </c>
      <c r="S1044" s="103" t="s">
        <v>48</v>
      </c>
      <c r="T1044" s="93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CA1044" s="12"/>
      <c r="CB1044" s="12"/>
    </row>
    <row r="1045" spans="1:80" x14ac:dyDescent="0.2">
      <c r="A1045" s="96">
        <v>2819</v>
      </c>
      <c r="B1045" s="99">
        <v>0</v>
      </c>
      <c r="C1045" s="99">
        <v>0</v>
      </c>
      <c r="D1045" s="99">
        <v>0</v>
      </c>
      <c r="E1045" s="99">
        <v>0</v>
      </c>
      <c r="F1045" s="99">
        <v>0</v>
      </c>
      <c r="G1045" s="99">
        <v>0</v>
      </c>
      <c r="H1045" s="99">
        <v>0</v>
      </c>
      <c r="I1045" s="99" t="s">
        <v>48</v>
      </c>
      <c r="J1045" s="93"/>
      <c r="K1045" s="93">
        <v>2918</v>
      </c>
      <c r="L1045" s="103">
        <v>0</v>
      </c>
      <c r="M1045" s="103">
        <v>0</v>
      </c>
      <c r="N1045" s="103">
        <v>0</v>
      </c>
      <c r="O1045" s="103">
        <v>0</v>
      </c>
      <c r="P1045" s="103">
        <v>0</v>
      </c>
      <c r="Q1045" s="103">
        <v>0</v>
      </c>
      <c r="R1045" s="103">
        <v>0</v>
      </c>
      <c r="S1045" s="103" t="s">
        <v>48</v>
      </c>
      <c r="T1045" s="93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CA1045" s="12"/>
      <c r="CB1045" s="12"/>
    </row>
    <row r="1046" spans="1:80" x14ac:dyDescent="0.2">
      <c r="A1046" s="96">
        <v>2820</v>
      </c>
      <c r="B1046" s="99">
        <v>0</v>
      </c>
      <c r="C1046" s="99">
        <v>0</v>
      </c>
      <c r="D1046" s="99">
        <v>0</v>
      </c>
      <c r="E1046" s="99">
        <v>0</v>
      </c>
      <c r="F1046" s="99">
        <v>0</v>
      </c>
      <c r="G1046" s="99">
        <v>0</v>
      </c>
      <c r="H1046" s="99">
        <v>0</v>
      </c>
      <c r="I1046" s="99" t="s">
        <v>48</v>
      </c>
      <c r="J1046" s="93"/>
      <c r="K1046" s="93">
        <v>2919</v>
      </c>
      <c r="L1046" s="103">
        <v>0</v>
      </c>
      <c r="M1046" s="103">
        <v>0</v>
      </c>
      <c r="N1046" s="103">
        <v>0</v>
      </c>
      <c r="O1046" s="103">
        <v>0</v>
      </c>
      <c r="P1046" s="103">
        <v>0</v>
      </c>
      <c r="Q1046" s="103">
        <v>0</v>
      </c>
      <c r="R1046" s="103">
        <v>0</v>
      </c>
      <c r="S1046" s="103" t="s">
        <v>48</v>
      </c>
      <c r="T1046" s="93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CA1046" s="12"/>
      <c r="CB1046" s="12"/>
    </row>
    <row r="1047" spans="1:80" x14ac:dyDescent="0.2">
      <c r="A1047" s="96">
        <v>2821</v>
      </c>
      <c r="B1047" s="99">
        <v>0</v>
      </c>
      <c r="C1047" s="99">
        <v>0</v>
      </c>
      <c r="D1047" s="99">
        <v>0</v>
      </c>
      <c r="E1047" s="99">
        <v>0</v>
      </c>
      <c r="F1047" s="99">
        <v>0</v>
      </c>
      <c r="G1047" s="99">
        <v>0</v>
      </c>
      <c r="H1047" s="99">
        <v>0</v>
      </c>
      <c r="I1047" s="99" t="s">
        <v>48</v>
      </c>
      <c r="J1047" s="93"/>
      <c r="K1047" s="93">
        <v>2920</v>
      </c>
      <c r="L1047" s="103">
        <v>0</v>
      </c>
      <c r="M1047" s="103">
        <v>0</v>
      </c>
      <c r="N1047" s="103">
        <v>0</v>
      </c>
      <c r="O1047" s="103">
        <v>0</v>
      </c>
      <c r="P1047" s="103">
        <v>0</v>
      </c>
      <c r="Q1047" s="103">
        <v>0</v>
      </c>
      <c r="R1047" s="103">
        <v>0</v>
      </c>
      <c r="S1047" s="103" t="s">
        <v>48</v>
      </c>
      <c r="T1047" s="93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CA1047" s="12"/>
      <c r="CB1047" s="12"/>
    </row>
    <row r="1048" spans="1:80" x14ac:dyDescent="0.2">
      <c r="A1048" s="96">
        <v>2822</v>
      </c>
      <c r="B1048" s="99">
        <v>0</v>
      </c>
      <c r="C1048" s="99">
        <v>0</v>
      </c>
      <c r="D1048" s="99">
        <v>0</v>
      </c>
      <c r="E1048" s="99">
        <v>0</v>
      </c>
      <c r="F1048" s="99">
        <v>0</v>
      </c>
      <c r="G1048" s="99">
        <v>0</v>
      </c>
      <c r="H1048" s="99">
        <v>0</v>
      </c>
      <c r="I1048" s="99" t="s">
        <v>48</v>
      </c>
      <c r="J1048" s="93"/>
      <c r="K1048" s="93">
        <v>2921</v>
      </c>
      <c r="L1048" s="103">
        <v>0</v>
      </c>
      <c r="M1048" s="103">
        <v>0</v>
      </c>
      <c r="N1048" s="103">
        <v>0</v>
      </c>
      <c r="O1048" s="103">
        <v>0</v>
      </c>
      <c r="P1048" s="103">
        <v>0</v>
      </c>
      <c r="Q1048" s="103">
        <v>0</v>
      </c>
      <c r="R1048" s="103">
        <v>0</v>
      </c>
      <c r="S1048" s="103" t="s">
        <v>48</v>
      </c>
      <c r="T1048" s="93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CA1048" s="12"/>
      <c r="CB1048" s="12"/>
    </row>
    <row r="1049" spans="1:80" x14ac:dyDescent="0.2">
      <c r="A1049" s="96">
        <v>2823</v>
      </c>
      <c r="B1049" s="99">
        <v>0</v>
      </c>
      <c r="C1049" s="99">
        <v>0</v>
      </c>
      <c r="D1049" s="99">
        <v>0</v>
      </c>
      <c r="E1049" s="99">
        <v>0</v>
      </c>
      <c r="F1049" s="99">
        <v>0</v>
      </c>
      <c r="G1049" s="99">
        <v>0</v>
      </c>
      <c r="H1049" s="99">
        <v>0</v>
      </c>
      <c r="I1049" s="99" t="s">
        <v>48</v>
      </c>
      <c r="J1049" s="93"/>
      <c r="K1049" s="93">
        <v>2922</v>
      </c>
      <c r="L1049" s="103">
        <v>0</v>
      </c>
      <c r="M1049" s="103">
        <v>0</v>
      </c>
      <c r="N1049" s="103">
        <v>0</v>
      </c>
      <c r="O1049" s="103">
        <v>0</v>
      </c>
      <c r="P1049" s="103">
        <v>0</v>
      </c>
      <c r="Q1049" s="103">
        <v>0</v>
      </c>
      <c r="R1049" s="103">
        <v>0</v>
      </c>
      <c r="S1049" s="103" t="s">
        <v>48</v>
      </c>
      <c r="T1049" s="93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CA1049" s="12"/>
      <c r="CB1049" s="12"/>
    </row>
    <row r="1050" spans="1:80" x14ac:dyDescent="0.2">
      <c r="A1050" s="96">
        <v>2824</v>
      </c>
      <c r="B1050" s="99">
        <v>0</v>
      </c>
      <c r="C1050" s="99">
        <v>0</v>
      </c>
      <c r="D1050" s="99">
        <v>0</v>
      </c>
      <c r="E1050" s="99">
        <v>0</v>
      </c>
      <c r="F1050" s="99">
        <v>0</v>
      </c>
      <c r="G1050" s="99">
        <v>0</v>
      </c>
      <c r="H1050" s="99">
        <v>0</v>
      </c>
      <c r="I1050" s="99" t="s">
        <v>48</v>
      </c>
      <c r="J1050" s="93"/>
      <c r="K1050" s="93">
        <v>2923</v>
      </c>
      <c r="L1050" s="103">
        <v>0</v>
      </c>
      <c r="M1050" s="103">
        <v>0</v>
      </c>
      <c r="N1050" s="103">
        <v>0</v>
      </c>
      <c r="O1050" s="103">
        <v>0</v>
      </c>
      <c r="P1050" s="103">
        <v>0</v>
      </c>
      <c r="Q1050" s="103">
        <v>0</v>
      </c>
      <c r="R1050" s="103">
        <v>0</v>
      </c>
      <c r="S1050" s="103" t="s">
        <v>48</v>
      </c>
      <c r="T1050" s="93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CA1050" s="12"/>
      <c r="CB1050" s="12"/>
    </row>
    <row r="1051" spans="1:80" x14ac:dyDescent="0.2">
      <c r="A1051" s="96">
        <v>2825</v>
      </c>
      <c r="B1051" s="99">
        <v>0</v>
      </c>
      <c r="C1051" s="99">
        <v>0</v>
      </c>
      <c r="D1051" s="99">
        <v>0</v>
      </c>
      <c r="E1051" s="99">
        <v>0</v>
      </c>
      <c r="F1051" s="99">
        <v>0</v>
      </c>
      <c r="G1051" s="99">
        <v>0</v>
      </c>
      <c r="H1051" s="99">
        <v>0</v>
      </c>
      <c r="I1051" s="99" t="s">
        <v>48</v>
      </c>
      <c r="J1051" s="93"/>
      <c r="K1051" s="93">
        <v>2924</v>
      </c>
      <c r="L1051" s="103">
        <v>0</v>
      </c>
      <c r="M1051" s="103">
        <v>0</v>
      </c>
      <c r="N1051" s="103">
        <v>0</v>
      </c>
      <c r="O1051" s="103">
        <v>0</v>
      </c>
      <c r="P1051" s="103">
        <v>0</v>
      </c>
      <c r="Q1051" s="103">
        <v>0</v>
      </c>
      <c r="R1051" s="103">
        <v>0</v>
      </c>
      <c r="S1051" s="103" t="s">
        <v>48</v>
      </c>
      <c r="T1051" s="93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CA1051" s="12"/>
      <c r="CB1051" s="12"/>
    </row>
    <row r="1052" spans="1:80" x14ac:dyDescent="0.2">
      <c r="A1052" s="96">
        <v>2826</v>
      </c>
      <c r="B1052" s="99">
        <v>0</v>
      </c>
      <c r="C1052" s="99">
        <v>0</v>
      </c>
      <c r="D1052" s="99">
        <v>0</v>
      </c>
      <c r="E1052" s="99">
        <v>0</v>
      </c>
      <c r="F1052" s="99">
        <v>0</v>
      </c>
      <c r="G1052" s="99">
        <v>0</v>
      </c>
      <c r="H1052" s="99">
        <v>0</v>
      </c>
      <c r="I1052" s="99" t="s">
        <v>48</v>
      </c>
      <c r="J1052" s="93"/>
      <c r="K1052" s="93">
        <v>2925</v>
      </c>
      <c r="L1052" s="103">
        <v>0</v>
      </c>
      <c r="M1052" s="103">
        <v>0</v>
      </c>
      <c r="N1052" s="103">
        <v>0</v>
      </c>
      <c r="O1052" s="103">
        <v>0</v>
      </c>
      <c r="P1052" s="103">
        <v>0</v>
      </c>
      <c r="Q1052" s="103">
        <v>0</v>
      </c>
      <c r="R1052" s="103">
        <v>0</v>
      </c>
      <c r="S1052" s="103" t="s">
        <v>48</v>
      </c>
      <c r="T1052" s="93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CA1052" s="12"/>
      <c r="CB1052" s="12"/>
    </row>
    <row r="1053" spans="1:80" x14ac:dyDescent="0.2">
      <c r="A1053" s="96">
        <v>2827</v>
      </c>
      <c r="B1053" s="99">
        <v>0</v>
      </c>
      <c r="C1053" s="99">
        <v>0</v>
      </c>
      <c r="D1053" s="99">
        <v>0</v>
      </c>
      <c r="E1053" s="99">
        <v>0</v>
      </c>
      <c r="F1053" s="99">
        <v>0</v>
      </c>
      <c r="G1053" s="99">
        <v>0</v>
      </c>
      <c r="H1053" s="99">
        <v>0</v>
      </c>
      <c r="I1053" s="99" t="s">
        <v>48</v>
      </c>
      <c r="J1053" s="93"/>
      <c r="K1053" s="93">
        <v>2926</v>
      </c>
      <c r="L1053" s="103">
        <v>0</v>
      </c>
      <c r="M1053" s="103">
        <v>0</v>
      </c>
      <c r="N1053" s="103">
        <v>0</v>
      </c>
      <c r="O1053" s="103">
        <v>0</v>
      </c>
      <c r="P1053" s="103">
        <v>0</v>
      </c>
      <c r="Q1053" s="103">
        <v>0</v>
      </c>
      <c r="R1053" s="103">
        <v>0</v>
      </c>
      <c r="S1053" s="103" t="s">
        <v>48</v>
      </c>
      <c r="T1053" s="93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CA1053" s="12"/>
      <c r="CB1053" s="12"/>
    </row>
    <row r="1054" spans="1:80" x14ac:dyDescent="0.2">
      <c r="A1054" s="96">
        <v>2828</v>
      </c>
      <c r="B1054" s="99">
        <v>0</v>
      </c>
      <c r="C1054" s="99">
        <v>0</v>
      </c>
      <c r="D1054" s="99">
        <v>0</v>
      </c>
      <c r="E1054" s="99">
        <v>0</v>
      </c>
      <c r="F1054" s="99">
        <v>0</v>
      </c>
      <c r="G1054" s="99">
        <v>0</v>
      </c>
      <c r="H1054" s="99">
        <v>0</v>
      </c>
      <c r="I1054" s="99" t="s">
        <v>48</v>
      </c>
      <c r="J1054" s="93"/>
      <c r="K1054" s="93">
        <v>2927</v>
      </c>
      <c r="L1054" s="103">
        <v>0</v>
      </c>
      <c r="M1054" s="103">
        <v>0</v>
      </c>
      <c r="N1054" s="103">
        <v>0</v>
      </c>
      <c r="O1054" s="103">
        <v>0</v>
      </c>
      <c r="P1054" s="103">
        <v>0</v>
      </c>
      <c r="Q1054" s="103">
        <v>0</v>
      </c>
      <c r="R1054" s="103">
        <v>0</v>
      </c>
      <c r="S1054" s="103" t="s">
        <v>48</v>
      </c>
      <c r="T1054" s="93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CA1054" s="12"/>
      <c r="CB1054" s="12"/>
    </row>
    <row r="1055" spans="1:80" x14ac:dyDescent="0.2">
      <c r="A1055" s="96">
        <v>2829</v>
      </c>
      <c r="B1055" s="99">
        <v>0</v>
      </c>
      <c r="C1055" s="99">
        <v>0</v>
      </c>
      <c r="D1055" s="99">
        <v>0</v>
      </c>
      <c r="E1055" s="99">
        <v>0</v>
      </c>
      <c r="F1055" s="99">
        <v>0</v>
      </c>
      <c r="G1055" s="99">
        <v>0</v>
      </c>
      <c r="H1055" s="99">
        <v>0</v>
      </c>
      <c r="I1055" s="99" t="s">
        <v>48</v>
      </c>
      <c r="J1055" s="93"/>
      <c r="K1055" s="93">
        <v>2928</v>
      </c>
      <c r="L1055" s="103">
        <v>0</v>
      </c>
      <c r="M1055" s="103">
        <v>0</v>
      </c>
      <c r="N1055" s="103">
        <v>0</v>
      </c>
      <c r="O1055" s="103">
        <v>0</v>
      </c>
      <c r="P1055" s="103">
        <v>0</v>
      </c>
      <c r="Q1055" s="103">
        <v>0</v>
      </c>
      <c r="R1055" s="103">
        <v>0</v>
      </c>
      <c r="S1055" s="103" t="s">
        <v>48</v>
      </c>
      <c r="T1055" s="93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CA1055" s="12"/>
      <c r="CB1055" s="12"/>
    </row>
    <row r="1056" spans="1:80" x14ac:dyDescent="0.2">
      <c r="A1056" s="96">
        <v>2830</v>
      </c>
      <c r="B1056" s="99">
        <v>0</v>
      </c>
      <c r="C1056" s="99">
        <v>0</v>
      </c>
      <c r="D1056" s="99">
        <v>0</v>
      </c>
      <c r="E1056" s="99">
        <v>0</v>
      </c>
      <c r="F1056" s="99">
        <v>0</v>
      </c>
      <c r="G1056" s="99">
        <v>0</v>
      </c>
      <c r="H1056" s="99">
        <v>0</v>
      </c>
      <c r="I1056" s="99" t="s">
        <v>48</v>
      </c>
      <c r="J1056" s="93"/>
      <c r="K1056" s="93">
        <v>2929</v>
      </c>
      <c r="L1056" s="103">
        <v>0</v>
      </c>
      <c r="M1056" s="103">
        <v>0</v>
      </c>
      <c r="N1056" s="103">
        <v>0</v>
      </c>
      <c r="O1056" s="103">
        <v>0</v>
      </c>
      <c r="P1056" s="103">
        <v>0</v>
      </c>
      <c r="Q1056" s="103">
        <v>0</v>
      </c>
      <c r="R1056" s="103">
        <v>0</v>
      </c>
      <c r="S1056" s="103" t="s">
        <v>48</v>
      </c>
      <c r="T1056" s="93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CA1056" s="12"/>
      <c r="CB1056" s="12"/>
    </row>
    <row r="1057" spans="1:80" x14ac:dyDescent="0.2">
      <c r="A1057" s="96">
        <v>2831</v>
      </c>
      <c r="B1057" s="99">
        <v>0</v>
      </c>
      <c r="C1057" s="99">
        <v>0</v>
      </c>
      <c r="D1057" s="99">
        <v>0</v>
      </c>
      <c r="E1057" s="99">
        <v>0</v>
      </c>
      <c r="F1057" s="99">
        <v>0</v>
      </c>
      <c r="G1057" s="99">
        <v>0</v>
      </c>
      <c r="H1057" s="99">
        <v>0</v>
      </c>
      <c r="I1057" s="99" t="s">
        <v>48</v>
      </c>
      <c r="J1057" s="93"/>
      <c r="K1057" s="93">
        <v>2930</v>
      </c>
      <c r="L1057" s="103">
        <v>0</v>
      </c>
      <c r="M1057" s="103">
        <v>0</v>
      </c>
      <c r="N1057" s="103">
        <v>0</v>
      </c>
      <c r="O1057" s="103">
        <v>0</v>
      </c>
      <c r="P1057" s="103">
        <v>0</v>
      </c>
      <c r="Q1057" s="103">
        <v>0</v>
      </c>
      <c r="R1057" s="103">
        <v>0</v>
      </c>
      <c r="S1057" s="103" t="s">
        <v>48</v>
      </c>
      <c r="T1057" s="93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CA1057" s="12"/>
      <c r="CB1057" s="12"/>
    </row>
    <row r="1058" spans="1:80" x14ac:dyDescent="0.2">
      <c r="A1058" s="96">
        <v>2832</v>
      </c>
      <c r="B1058" s="99">
        <v>0</v>
      </c>
      <c r="C1058" s="99">
        <v>0</v>
      </c>
      <c r="D1058" s="99">
        <v>0</v>
      </c>
      <c r="E1058" s="99">
        <v>0</v>
      </c>
      <c r="F1058" s="99">
        <v>0</v>
      </c>
      <c r="G1058" s="99">
        <v>0</v>
      </c>
      <c r="H1058" s="99">
        <v>0</v>
      </c>
      <c r="I1058" s="99" t="s">
        <v>48</v>
      </c>
      <c r="J1058" s="93"/>
      <c r="K1058" s="93">
        <v>2931</v>
      </c>
      <c r="L1058" s="103">
        <v>0</v>
      </c>
      <c r="M1058" s="103">
        <v>0</v>
      </c>
      <c r="N1058" s="103">
        <v>0</v>
      </c>
      <c r="O1058" s="103">
        <v>0</v>
      </c>
      <c r="P1058" s="103">
        <v>0</v>
      </c>
      <c r="Q1058" s="103">
        <v>0</v>
      </c>
      <c r="R1058" s="103">
        <v>0</v>
      </c>
      <c r="S1058" s="103" t="s">
        <v>48</v>
      </c>
      <c r="T1058" s="93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CA1058" s="12"/>
      <c r="CB1058" s="12"/>
    </row>
    <row r="1059" spans="1:80" x14ac:dyDescent="0.2">
      <c r="A1059" s="96">
        <v>2833</v>
      </c>
      <c r="B1059" s="99">
        <v>0</v>
      </c>
      <c r="C1059" s="99">
        <v>0</v>
      </c>
      <c r="D1059" s="99">
        <v>0</v>
      </c>
      <c r="E1059" s="99">
        <v>0</v>
      </c>
      <c r="F1059" s="99">
        <v>0</v>
      </c>
      <c r="G1059" s="99">
        <v>0</v>
      </c>
      <c r="H1059" s="99">
        <v>0</v>
      </c>
      <c r="I1059" s="99" t="s">
        <v>48</v>
      </c>
      <c r="J1059" s="93"/>
      <c r="K1059" s="93">
        <v>2932</v>
      </c>
      <c r="L1059" s="103">
        <v>0</v>
      </c>
      <c r="M1059" s="103">
        <v>0</v>
      </c>
      <c r="N1059" s="103">
        <v>0</v>
      </c>
      <c r="O1059" s="103">
        <v>0</v>
      </c>
      <c r="P1059" s="103">
        <v>0</v>
      </c>
      <c r="Q1059" s="103">
        <v>0</v>
      </c>
      <c r="R1059" s="103">
        <v>0</v>
      </c>
      <c r="S1059" s="103" t="s">
        <v>48</v>
      </c>
      <c r="T1059" s="93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CA1059" s="12"/>
      <c r="CB1059" s="12"/>
    </row>
    <row r="1060" spans="1:80" x14ac:dyDescent="0.2">
      <c r="A1060" s="96">
        <v>2834</v>
      </c>
      <c r="B1060" s="99">
        <v>0</v>
      </c>
      <c r="C1060" s="99">
        <v>0</v>
      </c>
      <c r="D1060" s="99">
        <v>0</v>
      </c>
      <c r="E1060" s="99">
        <v>0</v>
      </c>
      <c r="F1060" s="99">
        <v>0</v>
      </c>
      <c r="G1060" s="99">
        <v>0</v>
      </c>
      <c r="H1060" s="99">
        <v>0</v>
      </c>
      <c r="I1060" s="99" t="s">
        <v>48</v>
      </c>
      <c r="J1060" s="93"/>
      <c r="K1060" s="93">
        <v>2933</v>
      </c>
      <c r="L1060" s="103">
        <v>0</v>
      </c>
      <c r="M1060" s="103">
        <v>0</v>
      </c>
      <c r="N1060" s="103">
        <v>0</v>
      </c>
      <c r="O1060" s="103">
        <v>0</v>
      </c>
      <c r="P1060" s="103">
        <v>0</v>
      </c>
      <c r="Q1060" s="103">
        <v>0</v>
      </c>
      <c r="R1060" s="103">
        <v>0</v>
      </c>
      <c r="S1060" s="103" t="s">
        <v>48</v>
      </c>
      <c r="T1060" s="93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CA1060" s="12"/>
      <c r="CB1060" s="12"/>
    </row>
    <row r="1061" spans="1:80" x14ac:dyDescent="0.2">
      <c r="A1061" s="96">
        <v>2835</v>
      </c>
      <c r="B1061" s="99">
        <v>0</v>
      </c>
      <c r="C1061" s="99">
        <v>0</v>
      </c>
      <c r="D1061" s="99">
        <v>0</v>
      </c>
      <c r="E1061" s="99">
        <v>0</v>
      </c>
      <c r="F1061" s="99">
        <v>0</v>
      </c>
      <c r="G1061" s="99">
        <v>0</v>
      </c>
      <c r="H1061" s="99">
        <v>0</v>
      </c>
      <c r="I1061" s="99" t="s">
        <v>48</v>
      </c>
      <c r="J1061" s="93"/>
      <c r="K1061" s="93">
        <v>2934</v>
      </c>
      <c r="L1061" s="103">
        <v>0</v>
      </c>
      <c r="M1061" s="103">
        <v>0</v>
      </c>
      <c r="N1061" s="103">
        <v>0</v>
      </c>
      <c r="O1061" s="103">
        <v>0</v>
      </c>
      <c r="P1061" s="103">
        <v>0</v>
      </c>
      <c r="Q1061" s="103">
        <v>0</v>
      </c>
      <c r="R1061" s="103">
        <v>0</v>
      </c>
      <c r="S1061" s="103" t="s">
        <v>48</v>
      </c>
      <c r="T1061" s="93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CA1061" s="12"/>
      <c r="CB1061" s="12"/>
    </row>
    <row r="1062" spans="1:80" x14ac:dyDescent="0.2">
      <c r="A1062" s="96">
        <v>2836</v>
      </c>
      <c r="B1062" s="99">
        <v>0</v>
      </c>
      <c r="C1062" s="99">
        <v>0</v>
      </c>
      <c r="D1062" s="99">
        <v>0</v>
      </c>
      <c r="E1062" s="99">
        <v>0</v>
      </c>
      <c r="F1062" s="99">
        <v>0</v>
      </c>
      <c r="G1062" s="99">
        <v>0</v>
      </c>
      <c r="H1062" s="99">
        <v>0</v>
      </c>
      <c r="I1062" s="99" t="s">
        <v>48</v>
      </c>
      <c r="J1062" s="93"/>
      <c r="K1062" s="93">
        <v>2935</v>
      </c>
      <c r="L1062" s="103">
        <v>0</v>
      </c>
      <c r="M1062" s="103">
        <v>0</v>
      </c>
      <c r="N1062" s="103">
        <v>0</v>
      </c>
      <c r="O1062" s="103">
        <v>0</v>
      </c>
      <c r="P1062" s="103">
        <v>0</v>
      </c>
      <c r="Q1062" s="103">
        <v>0</v>
      </c>
      <c r="R1062" s="103">
        <v>0</v>
      </c>
      <c r="S1062" s="103" t="s">
        <v>48</v>
      </c>
      <c r="T1062" s="93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CA1062" s="12"/>
      <c r="CB1062" s="12"/>
    </row>
    <row r="1063" spans="1:80" x14ac:dyDescent="0.2">
      <c r="A1063" s="96">
        <v>2837</v>
      </c>
      <c r="B1063" s="99">
        <v>0</v>
      </c>
      <c r="C1063" s="99">
        <v>0</v>
      </c>
      <c r="D1063" s="99">
        <v>0</v>
      </c>
      <c r="E1063" s="99">
        <v>0</v>
      </c>
      <c r="F1063" s="99">
        <v>0</v>
      </c>
      <c r="G1063" s="99">
        <v>0</v>
      </c>
      <c r="H1063" s="99">
        <v>0</v>
      </c>
      <c r="I1063" s="99" t="s">
        <v>48</v>
      </c>
      <c r="J1063" s="93"/>
      <c r="K1063" s="93">
        <v>2936</v>
      </c>
      <c r="L1063" s="103">
        <v>0</v>
      </c>
      <c r="M1063" s="103">
        <v>0</v>
      </c>
      <c r="N1063" s="103">
        <v>0</v>
      </c>
      <c r="O1063" s="103">
        <v>0</v>
      </c>
      <c r="P1063" s="103">
        <v>0</v>
      </c>
      <c r="Q1063" s="103">
        <v>0</v>
      </c>
      <c r="R1063" s="103">
        <v>0</v>
      </c>
      <c r="S1063" s="103" t="s">
        <v>48</v>
      </c>
      <c r="T1063" s="93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CA1063" s="12"/>
      <c r="CB1063" s="12"/>
    </row>
    <row r="1064" spans="1:80" x14ac:dyDescent="0.2">
      <c r="A1064" s="96">
        <v>2838</v>
      </c>
      <c r="B1064" s="99">
        <v>0</v>
      </c>
      <c r="C1064" s="99">
        <v>0</v>
      </c>
      <c r="D1064" s="99">
        <v>0</v>
      </c>
      <c r="E1064" s="99">
        <v>0</v>
      </c>
      <c r="F1064" s="99">
        <v>0</v>
      </c>
      <c r="G1064" s="99">
        <v>0</v>
      </c>
      <c r="H1064" s="99">
        <v>0</v>
      </c>
      <c r="I1064" s="99" t="s">
        <v>48</v>
      </c>
      <c r="J1064" s="93"/>
      <c r="K1064" s="93">
        <v>2937</v>
      </c>
      <c r="L1064" s="103">
        <v>0</v>
      </c>
      <c r="M1064" s="103">
        <v>0</v>
      </c>
      <c r="N1064" s="103">
        <v>0</v>
      </c>
      <c r="O1064" s="103">
        <v>0</v>
      </c>
      <c r="P1064" s="103">
        <v>0</v>
      </c>
      <c r="Q1064" s="103">
        <v>0</v>
      </c>
      <c r="R1064" s="103">
        <v>0</v>
      </c>
      <c r="S1064" s="103" t="s">
        <v>48</v>
      </c>
      <c r="T1064" s="93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CA1064" s="12"/>
      <c r="CB1064" s="12"/>
    </row>
    <row r="1065" spans="1:80" x14ac:dyDescent="0.2">
      <c r="A1065" s="96">
        <v>2839</v>
      </c>
      <c r="B1065" s="99">
        <v>0</v>
      </c>
      <c r="C1065" s="99">
        <v>0</v>
      </c>
      <c r="D1065" s="99">
        <v>0</v>
      </c>
      <c r="E1065" s="99">
        <v>0</v>
      </c>
      <c r="F1065" s="99">
        <v>0</v>
      </c>
      <c r="G1065" s="99">
        <v>0</v>
      </c>
      <c r="H1065" s="99">
        <v>0</v>
      </c>
      <c r="I1065" s="99" t="s">
        <v>48</v>
      </c>
      <c r="J1065" s="93"/>
      <c r="K1065" s="93">
        <v>2938</v>
      </c>
      <c r="L1065" s="103">
        <v>0</v>
      </c>
      <c r="M1065" s="103">
        <v>0</v>
      </c>
      <c r="N1065" s="103">
        <v>0</v>
      </c>
      <c r="O1065" s="103">
        <v>0</v>
      </c>
      <c r="P1065" s="103">
        <v>0</v>
      </c>
      <c r="Q1065" s="103">
        <v>0</v>
      </c>
      <c r="R1065" s="103">
        <v>0</v>
      </c>
      <c r="S1065" s="103" t="s">
        <v>48</v>
      </c>
      <c r="T1065" s="93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CA1065" s="12"/>
      <c r="CB1065" s="12"/>
    </row>
    <row r="1066" spans="1:80" x14ac:dyDescent="0.2">
      <c r="A1066" s="96">
        <v>2840</v>
      </c>
      <c r="B1066" s="99">
        <v>0</v>
      </c>
      <c r="C1066" s="99">
        <v>0</v>
      </c>
      <c r="D1066" s="99">
        <v>0</v>
      </c>
      <c r="E1066" s="99">
        <v>0</v>
      </c>
      <c r="F1066" s="99">
        <v>0</v>
      </c>
      <c r="G1066" s="99">
        <v>0</v>
      </c>
      <c r="H1066" s="99">
        <v>0</v>
      </c>
      <c r="I1066" s="99" t="s">
        <v>48</v>
      </c>
      <c r="J1066" s="93"/>
      <c r="K1066" s="93">
        <v>2939</v>
      </c>
      <c r="L1066" s="103">
        <v>0</v>
      </c>
      <c r="M1066" s="103">
        <v>0</v>
      </c>
      <c r="N1066" s="103">
        <v>0</v>
      </c>
      <c r="O1066" s="103">
        <v>0</v>
      </c>
      <c r="P1066" s="103">
        <v>0</v>
      </c>
      <c r="Q1066" s="103">
        <v>0</v>
      </c>
      <c r="R1066" s="103">
        <v>0</v>
      </c>
      <c r="S1066" s="103" t="s">
        <v>48</v>
      </c>
      <c r="T1066" s="93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CA1066" s="12"/>
      <c r="CB1066" s="12"/>
    </row>
    <row r="1067" spans="1:80" x14ac:dyDescent="0.2">
      <c r="A1067" s="96">
        <v>2841</v>
      </c>
      <c r="B1067" s="99">
        <v>0</v>
      </c>
      <c r="C1067" s="99">
        <v>0</v>
      </c>
      <c r="D1067" s="99">
        <v>0</v>
      </c>
      <c r="E1067" s="99">
        <v>0</v>
      </c>
      <c r="F1067" s="99">
        <v>0</v>
      </c>
      <c r="G1067" s="99">
        <v>0</v>
      </c>
      <c r="H1067" s="99">
        <v>0</v>
      </c>
      <c r="I1067" s="99" t="s">
        <v>48</v>
      </c>
      <c r="J1067" s="93"/>
      <c r="K1067" s="93">
        <v>2940</v>
      </c>
      <c r="L1067" s="103">
        <v>0</v>
      </c>
      <c r="M1067" s="103">
        <v>0</v>
      </c>
      <c r="N1067" s="103">
        <v>0</v>
      </c>
      <c r="O1067" s="103">
        <v>0</v>
      </c>
      <c r="P1067" s="103">
        <v>0</v>
      </c>
      <c r="Q1067" s="103">
        <v>0</v>
      </c>
      <c r="R1067" s="103">
        <v>0</v>
      </c>
      <c r="S1067" s="103" t="s">
        <v>48</v>
      </c>
      <c r="T1067" s="93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CA1067" s="12"/>
      <c r="CB1067" s="12"/>
    </row>
    <row r="1068" spans="1:80" x14ac:dyDescent="0.2">
      <c r="A1068" s="96">
        <v>2842</v>
      </c>
      <c r="B1068" s="99">
        <v>0</v>
      </c>
      <c r="C1068" s="99">
        <v>0</v>
      </c>
      <c r="D1068" s="99">
        <v>0</v>
      </c>
      <c r="E1068" s="99">
        <v>0</v>
      </c>
      <c r="F1068" s="99">
        <v>0</v>
      </c>
      <c r="G1068" s="99">
        <v>0</v>
      </c>
      <c r="H1068" s="99">
        <v>0</v>
      </c>
      <c r="I1068" s="99" t="s">
        <v>48</v>
      </c>
      <c r="J1068" s="93"/>
      <c r="K1068" s="93">
        <v>2941</v>
      </c>
      <c r="L1068" s="103">
        <v>0</v>
      </c>
      <c r="M1068" s="103">
        <v>0</v>
      </c>
      <c r="N1068" s="103">
        <v>0</v>
      </c>
      <c r="O1068" s="103">
        <v>0</v>
      </c>
      <c r="P1068" s="103">
        <v>0</v>
      </c>
      <c r="Q1068" s="103">
        <v>0</v>
      </c>
      <c r="R1068" s="103">
        <v>0</v>
      </c>
      <c r="S1068" s="103" t="s">
        <v>48</v>
      </c>
      <c r="T1068" s="93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CA1068" s="12"/>
      <c r="CB1068" s="12"/>
    </row>
    <row r="1069" spans="1:80" x14ac:dyDescent="0.2">
      <c r="A1069" s="96">
        <v>2843</v>
      </c>
      <c r="B1069" s="99">
        <v>0</v>
      </c>
      <c r="C1069" s="99">
        <v>0</v>
      </c>
      <c r="D1069" s="99">
        <v>0</v>
      </c>
      <c r="E1069" s="99">
        <v>0</v>
      </c>
      <c r="F1069" s="99">
        <v>0</v>
      </c>
      <c r="G1069" s="99">
        <v>0</v>
      </c>
      <c r="H1069" s="99">
        <v>0</v>
      </c>
      <c r="I1069" s="99" t="s">
        <v>48</v>
      </c>
      <c r="J1069" s="93"/>
      <c r="K1069" s="93">
        <v>2942</v>
      </c>
      <c r="L1069" s="103">
        <v>0</v>
      </c>
      <c r="M1069" s="103">
        <v>0</v>
      </c>
      <c r="N1069" s="103">
        <v>0</v>
      </c>
      <c r="O1069" s="103">
        <v>0</v>
      </c>
      <c r="P1069" s="103">
        <v>0</v>
      </c>
      <c r="Q1069" s="103">
        <v>0</v>
      </c>
      <c r="R1069" s="103">
        <v>0</v>
      </c>
      <c r="S1069" s="103" t="s">
        <v>48</v>
      </c>
      <c r="T1069" s="93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CA1069" s="12"/>
      <c r="CB1069" s="12"/>
    </row>
    <row r="1070" spans="1:80" x14ac:dyDescent="0.2">
      <c r="A1070" s="96">
        <v>2844</v>
      </c>
      <c r="B1070" s="99">
        <v>0</v>
      </c>
      <c r="C1070" s="99">
        <v>0</v>
      </c>
      <c r="D1070" s="99">
        <v>0</v>
      </c>
      <c r="E1070" s="99">
        <v>0</v>
      </c>
      <c r="F1070" s="99">
        <v>0</v>
      </c>
      <c r="G1070" s="99">
        <v>0</v>
      </c>
      <c r="H1070" s="99">
        <v>0</v>
      </c>
      <c r="I1070" s="99" t="s">
        <v>48</v>
      </c>
      <c r="J1070" s="93"/>
      <c r="K1070" s="93">
        <v>2943</v>
      </c>
      <c r="L1070" s="103">
        <v>0</v>
      </c>
      <c r="M1070" s="103">
        <v>0</v>
      </c>
      <c r="N1070" s="103">
        <v>0</v>
      </c>
      <c r="O1070" s="103">
        <v>0</v>
      </c>
      <c r="P1070" s="103">
        <v>0</v>
      </c>
      <c r="Q1070" s="103">
        <v>0</v>
      </c>
      <c r="R1070" s="103">
        <v>0</v>
      </c>
      <c r="S1070" s="103" t="s">
        <v>48</v>
      </c>
      <c r="T1070" s="93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CA1070" s="12"/>
      <c r="CB1070" s="12"/>
    </row>
    <row r="1071" spans="1:80" x14ac:dyDescent="0.2">
      <c r="A1071" s="96">
        <v>2845</v>
      </c>
      <c r="B1071" s="99">
        <v>0</v>
      </c>
      <c r="C1071" s="99">
        <v>0</v>
      </c>
      <c r="D1071" s="99">
        <v>0</v>
      </c>
      <c r="E1071" s="99">
        <v>0</v>
      </c>
      <c r="F1071" s="99">
        <v>0</v>
      </c>
      <c r="G1071" s="99">
        <v>0</v>
      </c>
      <c r="H1071" s="99">
        <v>0</v>
      </c>
      <c r="I1071" s="99" t="s">
        <v>48</v>
      </c>
      <c r="J1071" s="93"/>
      <c r="K1071" s="93">
        <v>2944</v>
      </c>
      <c r="L1071" s="103">
        <v>0</v>
      </c>
      <c r="M1071" s="103">
        <v>0</v>
      </c>
      <c r="N1071" s="103">
        <v>0</v>
      </c>
      <c r="O1071" s="103">
        <v>0</v>
      </c>
      <c r="P1071" s="103">
        <v>0</v>
      </c>
      <c r="Q1071" s="103">
        <v>0</v>
      </c>
      <c r="R1071" s="103">
        <v>0</v>
      </c>
      <c r="S1071" s="103" t="s">
        <v>48</v>
      </c>
      <c r="T1071" s="93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CA1071" s="12"/>
      <c r="CB1071" s="12"/>
    </row>
    <row r="1072" spans="1:80" x14ac:dyDescent="0.2">
      <c r="A1072" s="96">
        <v>2846</v>
      </c>
      <c r="B1072" s="99">
        <v>0</v>
      </c>
      <c r="C1072" s="99">
        <v>0</v>
      </c>
      <c r="D1072" s="99">
        <v>0</v>
      </c>
      <c r="E1072" s="99">
        <v>0</v>
      </c>
      <c r="F1072" s="99">
        <v>0</v>
      </c>
      <c r="G1072" s="99">
        <v>0</v>
      </c>
      <c r="H1072" s="99">
        <v>0</v>
      </c>
      <c r="I1072" s="99" t="s">
        <v>48</v>
      </c>
      <c r="J1072" s="93"/>
      <c r="K1072" s="93">
        <v>2945</v>
      </c>
      <c r="L1072" s="103">
        <v>0</v>
      </c>
      <c r="M1072" s="103">
        <v>0</v>
      </c>
      <c r="N1072" s="103">
        <v>0</v>
      </c>
      <c r="O1072" s="103">
        <v>0</v>
      </c>
      <c r="P1072" s="103">
        <v>0</v>
      </c>
      <c r="Q1072" s="103">
        <v>0</v>
      </c>
      <c r="R1072" s="103">
        <v>0</v>
      </c>
      <c r="S1072" s="103" t="s">
        <v>48</v>
      </c>
      <c r="T1072" s="93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CA1072" s="12"/>
      <c r="CB1072" s="12"/>
    </row>
    <row r="1073" spans="1:80" x14ac:dyDescent="0.2">
      <c r="A1073" s="96">
        <v>2847</v>
      </c>
      <c r="B1073" s="99">
        <v>0</v>
      </c>
      <c r="C1073" s="99">
        <v>0</v>
      </c>
      <c r="D1073" s="99">
        <v>0</v>
      </c>
      <c r="E1073" s="99">
        <v>0</v>
      </c>
      <c r="F1073" s="99">
        <v>0</v>
      </c>
      <c r="G1073" s="99">
        <v>0</v>
      </c>
      <c r="H1073" s="99">
        <v>0</v>
      </c>
      <c r="I1073" s="99" t="s">
        <v>48</v>
      </c>
      <c r="J1073" s="93"/>
      <c r="K1073" s="93">
        <v>2946</v>
      </c>
      <c r="L1073" s="103">
        <v>0</v>
      </c>
      <c r="M1073" s="103">
        <v>0</v>
      </c>
      <c r="N1073" s="103">
        <v>0</v>
      </c>
      <c r="O1073" s="103">
        <v>0</v>
      </c>
      <c r="P1073" s="103">
        <v>0</v>
      </c>
      <c r="Q1073" s="103">
        <v>0</v>
      </c>
      <c r="R1073" s="103">
        <v>0</v>
      </c>
      <c r="S1073" s="103" t="s">
        <v>48</v>
      </c>
      <c r="T1073" s="93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CA1073" s="12"/>
      <c r="CB1073" s="12"/>
    </row>
    <row r="1074" spans="1:80" x14ac:dyDescent="0.2">
      <c r="A1074" s="96">
        <v>2848</v>
      </c>
      <c r="B1074" s="99">
        <v>0</v>
      </c>
      <c r="C1074" s="99">
        <v>0</v>
      </c>
      <c r="D1074" s="99">
        <v>0</v>
      </c>
      <c r="E1074" s="99">
        <v>0</v>
      </c>
      <c r="F1074" s="99">
        <v>0</v>
      </c>
      <c r="G1074" s="99">
        <v>0</v>
      </c>
      <c r="H1074" s="99">
        <v>0</v>
      </c>
      <c r="I1074" s="99" t="s">
        <v>48</v>
      </c>
      <c r="J1074" s="93"/>
      <c r="K1074" s="93">
        <v>2947</v>
      </c>
      <c r="L1074" s="103">
        <v>0</v>
      </c>
      <c r="M1074" s="103">
        <v>0</v>
      </c>
      <c r="N1074" s="103">
        <v>0</v>
      </c>
      <c r="O1074" s="103">
        <v>0</v>
      </c>
      <c r="P1074" s="103">
        <v>0</v>
      </c>
      <c r="Q1074" s="103">
        <v>0</v>
      </c>
      <c r="R1074" s="103">
        <v>0</v>
      </c>
      <c r="S1074" s="103" t="s">
        <v>48</v>
      </c>
      <c r="T1074" s="93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CA1074" s="12"/>
      <c r="CB1074" s="12"/>
    </row>
    <row r="1075" spans="1:80" x14ac:dyDescent="0.2">
      <c r="A1075" s="96">
        <v>2849</v>
      </c>
      <c r="B1075" s="99">
        <v>0</v>
      </c>
      <c r="C1075" s="99">
        <v>0</v>
      </c>
      <c r="D1075" s="99">
        <v>0</v>
      </c>
      <c r="E1075" s="99">
        <v>0</v>
      </c>
      <c r="F1075" s="99">
        <v>0</v>
      </c>
      <c r="G1075" s="99">
        <v>0</v>
      </c>
      <c r="H1075" s="99">
        <v>0</v>
      </c>
      <c r="I1075" s="99" t="s">
        <v>48</v>
      </c>
      <c r="J1075" s="93"/>
      <c r="K1075" s="93">
        <v>2948</v>
      </c>
      <c r="L1075" s="103">
        <v>0</v>
      </c>
      <c r="M1075" s="103">
        <v>0</v>
      </c>
      <c r="N1075" s="103">
        <v>0</v>
      </c>
      <c r="O1075" s="103">
        <v>0</v>
      </c>
      <c r="P1075" s="103">
        <v>0</v>
      </c>
      <c r="Q1075" s="103">
        <v>0</v>
      </c>
      <c r="R1075" s="103">
        <v>0</v>
      </c>
      <c r="S1075" s="103" t="s">
        <v>48</v>
      </c>
      <c r="T1075" s="93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CA1075" s="12"/>
      <c r="CB1075" s="12"/>
    </row>
    <row r="1076" spans="1:80" x14ac:dyDescent="0.2">
      <c r="A1076" s="96">
        <v>2850</v>
      </c>
      <c r="B1076" s="99">
        <v>0</v>
      </c>
      <c r="C1076" s="99">
        <v>0</v>
      </c>
      <c r="D1076" s="99">
        <v>0</v>
      </c>
      <c r="E1076" s="99">
        <v>0</v>
      </c>
      <c r="F1076" s="99">
        <v>0</v>
      </c>
      <c r="G1076" s="99">
        <v>0</v>
      </c>
      <c r="H1076" s="99">
        <v>0</v>
      </c>
      <c r="I1076" s="99" t="s">
        <v>48</v>
      </c>
      <c r="J1076" s="93"/>
      <c r="K1076" s="93">
        <v>2949</v>
      </c>
      <c r="L1076" s="103">
        <v>0</v>
      </c>
      <c r="M1076" s="103">
        <v>0</v>
      </c>
      <c r="N1076" s="103">
        <v>0</v>
      </c>
      <c r="O1076" s="103">
        <v>0</v>
      </c>
      <c r="P1076" s="103">
        <v>0</v>
      </c>
      <c r="Q1076" s="103">
        <v>0</v>
      </c>
      <c r="R1076" s="103">
        <v>0</v>
      </c>
      <c r="S1076" s="103" t="s">
        <v>48</v>
      </c>
      <c r="T1076" s="93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CA1076" s="12"/>
      <c r="CB1076" s="12"/>
    </row>
    <row r="1077" spans="1:80" x14ac:dyDescent="0.2">
      <c r="A1077" s="96">
        <v>2851</v>
      </c>
      <c r="B1077" s="99">
        <v>0</v>
      </c>
      <c r="C1077" s="99">
        <v>0</v>
      </c>
      <c r="D1077" s="99">
        <v>0</v>
      </c>
      <c r="E1077" s="99">
        <v>0</v>
      </c>
      <c r="F1077" s="99">
        <v>0</v>
      </c>
      <c r="G1077" s="99">
        <v>0</v>
      </c>
      <c r="H1077" s="99">
        <v>0</v>
      </c>
      <c r="I1077" s="99" t="s">
        <v>48</v>
      </c>
      <c r="J1077" s="93"/>
      <c r="K1077" s="93">
        <v>2950</v>
      </c>
      <c r="L1077" s="103">
        <v>0</v>
      </c>
      <c r="M1077" s="103">
        <v>0</v>
      </c>
      <c r="N1077" s="103">
        <v>0</v>
      </c>
      <c r="O1077" s="103">
        <v>0</v>
      </c>
      <c r="P1077" s="103">
        <v>0</v>
      </c>
      <c r="Q1077" s="103">
        <v>0</v>
      </c>
      <c r="R1077" s="103">
        <v>0</v>
      </c>
      <c r="S1077" s="103" t="s">
        <v>48</v>
      </c>
      <c r="T1077" s="93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CA1077" s="12"/>
      <c r="CB1077" s="12"/>
    </row>
    <row r="1078" spans="1:80" x14ac:dyDescent="0.2">
      <c r="A1078" s="96">
        <v>2852</v>
      </c>
      <c r="B1078" s="99">
        <v>0</v>
      </c>
      <c r="C1078" s="99">
        <v>0</v>
      </c>
      <c r="D1078" s="99">
        <v>0</v>
      </c>
      <c r="E1078" s="99">
        <v>0</v>
      </c>
      <c r="F1078" s="99">
        <v>0</v>
      </c>
      <c r="G1078" s="99">
        <v>0</v>
      </c>
      <c r="H1078" s="99">
        <v>0</v>
      </c>
      <c r="I1078" s="99" t="s">
        <v>48</v>
      </c>
      <c r="J1078" s="93"/>
      <c r="K1078" s="93">
        <v>2951</v>
      </c>
      <c r="L1078" s="103">
        <v>0</v>
      </c>
      <c r="M1078" s="103">
        <v>0</v>
      </c>
      <c r="N1078" s="103">
        <v>0</v>
      </c>
      <c r="O1078" s="103">
        <v>0</v>
      </c>
      <c r="P1078" s="103">
        <v>0</v>
      </c>
      <c r="Q1078" s="103">
        <v>0</v>
      </c>
      <c r="R1078" s="103">
        <v>0</v>
      </c>
      <c r="S1078" s="103" t="s">
        <v>48</v>
      </c>
      <c r="T1078" s="93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CA1078" s="12"/>
      <c r="CB1078" s="12"/>
    </row>
    <row r="1079" spans="1:80" x14ac:dyDescent="0.2">
      <c r="A1079" s="96">
        <v>2853</v>
      </c>
      <c r="B1079" s="99">
        <v>0</v>
      </c>
      <c r="C1079" s="99">
        <v>0</v>
      </c>
      <c r="D1079" s="99">
        <v>0</v>
      </c>
      <c r="E1079" s="99">
        <v>0</v>
      </c>
      <c r="F1079" s="99">
        <v>0</v>
      </c>
      <c r="G1079" s="99">
        <v>0</v>
      </c>
      <c r="H1079" s="99">
        <v>0</v>
      </c>
      <c r="I1079" s="99" t="s">
        <v>48</v>
      </c>
      <c r="J1079" s="93"/>
      <c r="K1079" s="93">
        <v>2952</v>
      </c>
      <c r="L1079" s="103">
        <v>0</v>
      </c>
      <c r="M1079" s="103">
        <v>0</v>
      </c>
      <c r="N1079" s="103">
        <v>0</v>
      </c>
      <c r="O1079" s="103">
        <v>0</v>
      </c>
      <c r="P1079" s="103">
        <v>0</v>
      </c>
      <c r="Q1079" s="103">
        <v>0</v>
      </c>
      <c r="R1079" s="103">
        <v>0</v>
      </c>
      <c r="S1079" s="103" t="s">
        <v>48</v>
      </c>
      <c r="T1079" s="93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CA1079" s="12"/>
      <c r="CB1079" s="12"/>
    </row>
    <row r="1080" spans="1:80" x14ac:dyDescent="0.2">
      <c r="A1080" s="96">
        <v>2854</v>
      </c>
      <c r="B1080" s="99">
        <v>0</v>
      </c>
      <c r="C1080" s="99">
        <v>0</v>
      </c>
      <c r="D1080" s="99">
        <v>0</v>
      </c>
      <c r="E1080" s="99">
        <v>0</v>
      </c>
      <c r="F1080" s="99">
        <v>0</v>
      </c>
      <c r="G1080" s="99">
        <v>0</v>
      </c>
      <c r="H1080" s="99">
        <v>0</v>
      </c>
      <c r="I1080" s="99" t="s">
        <v>48</v>
      </c>
      <c r="J1080" s="93"/>
      <c r="K1080" s="93">
        <v>2953</v>
      </c>
      <c r="L1080" s="103">
        <v>0</v>
      </c>
      <c r="M1080" s="103">
        <v>0</v>
      </c>
      <c r="N1080" s="103">
        <v>0</v>
      </c>
      <c r="O1080" s="103">
        <v>0</v>
      </c>
      <c r="P1080" s="103">
        <v>0</v>
      </c>
      <c r="Q1080" s="103">
        <v>0</v>
      </c>
      <c r="R1080" s="103">
        <v>0</v>
      </c>
      <c r="S1080" s="103" t="s">
        <v>48</v>
      </c>
      <c r="T1080" s="93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CA1080" s="12"/>
      <c r="CB1080" s="12"/>
    </row>
    <row r="1081" spans="1:80" x14ac:dyDescent="0.2">
      <c r="A1081" s="96">
        <v>2855</v>
      </c>
      <c r="B1081" s="99">
        <v>0</v>
      </c>
      <c r="C1081" s="99">
        <v>0</v>
      </c>
      <c r="D1081" s="99">
        <v>0</v>
      </c>
      <c r="E1081" s="99">
        <v>0</v>
      </c>
      <c r="F1081" s="99">
        <v>0</v>
      </c>
      <c r="G1081" s="99">
        <v>0</v>
      </c>
      <c r="H1081" s="99">
        <v>0</v>
      </c>
      <c r="I1081" s="99" t="s">
        <v>48</v>
      </c>
      <c r="J1081" s="93"/>
      <c r="K1081" s="93">
        <v>2954</v>
      </c>
      <c r="L1081" s="103">
        <v>0</v>
      </c>
      <c r="M1081" s="103">
        <v>0</v>
      </c>
      <c r="N1081" s="103">
        <v>0</v>
      </c>
      <c r="O1081" s="103">
        <v>0</v>
      </c>
      <c r="P1081" s="103">
        <v>0</v>
      </c>
      <c r="Q1081" s="103">
        <v>0</v>
      </c>
      <c r="R1081" s="103">
        <v>0</v>
      </c>
      <c r="S1081" s="103" t="s">
        <v>48</v>
      </c>
      <c r="T1081" s="93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CA1081" s="12"/>
      <c r="CB1081" s="12"/>
    </row>
    <row r="1082" spans="1:80" x14ac:dyDescent="0.2">
      <c r="A1082" s="96">
        <v>2856</v>
      </c>
      <c r="B1082" s="99">
        <v>0</v>
      </c>
      <c r="C1082" s="99">
        <v>0</v>
      </c>
      <c r="D1082" s="99">
        <v>0</v>
      </c>
      <c r="E1082" s="99">
        <v>0</v>
      </c>
      <c r="F1082" s="99">
        <v>0</v>
      </c>
      <c r="G1082" s="99">
        <v>0</v>
      </c>
      <c r="H1082" s="99">
        <v>0</v>
      </c>
      <c r="I1082" s="99" t="s">
        <v>48</v>
      </c>
      <c r="J1082" s="93"/>
      <c r="K1082" s="93">
        <v>2955</v>
      </c>
      <c r="L1082" s="103">
        <v>0</v>
      </c>
      <c r="M1082" s="103">
        <v>0</v>
      </c>
      <c r="N1082" s="103">
        <v>0</v>
      </c>
      <c r="O1082" s="103">
        <v>0</v>
      </c>
      <c r="P1082" s="103">
        <v>0</v>
      </c>
      <c r="Q1082" s="103">
        <v>0</v>
      </c>
      <c r="R1082" s="103">
        <v>0</v>
      </c>
      <c r="S1082" s="103" t="s">
        <v>48</v>
      </c>
      <c r="T1082" s="93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CA1082" s="12"/>
      <c r="CB1082" s="12"/>
    </row>
    <row r="1083" spans="1:80" x14ac:dyDescent="0.2">
      <c r="A1083" s="96">
        <v>2857</v>
      </c>
      <c r="B1083" s="99">
        <v>0</v>
      </c>
      <c r="C1083" s="99">
        <v>0</v>
      </c>
      <c r="D1083" s="99">
        <v>0</v>
      </c>
      <c r="E1083" s="99">
        <v>0</v>
      </c>
      <c r="F1083" s="99">
        <v>0</v>
      </c>
      <c r="G1083" s="99">
        <v>0</v>
      </c>
      <c r="H1083" s="99">
        <v>0</v>
      </c>
      <c r="I1083" s="99" t="s">
        <v>48</v>
      </c>
      <c r="J1083" s="93"/>
      <c r="K1083" s="93">
        <v>2956</v>
      </c>
      <c r="L1083" s="103">
        <v>0</v>
      </c>
      <c r="M1083" s="103">
        <v>0</v>
      </c>
      <c r="N1083" s="103">
        <v>0</v>
      </c>
      <c r="O1083" s="103">
        <v>0</v>
      </c>
      <c r="P1083" s="103">
        <v>0</v>
      </c>
      <c r="Q1083" s="103">
        <v>0</v>
      </c>
      <c r="R1083" s="103">
        <v>0</v>
      </c>
      <c r="S1083" s="103" t="s">
        <v>48</v>
      </c>
      <c r="T1083" s="93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CA1083" s="12"/>
      <c r="CB1083" s="12"/>
    </row>
    <row r="1084" spans="1:80" x14ac:dyDescent="0.2">
      <c r="A1084" s="96">
        <v>2858</v>
      </c>
      <c r="B1084" s="99">
        <v>0</v>
      </c>
      <c r="C1084" s="99">
        <v>0</v>
      </c>
      <c r="D1084" s="99">
        <v>0</v>
      </c>
      <c r="E1084" s="99">
        <v>0</v>
      </c>
      <c r="F1084" s="99">
        <v>0</v>
      </c>
      <c r="G1084" s="99">
        <v>0</v>
      </c>
      <c r="H1084" s="99">
        <v>0</v>
      </c>
      <c r="I1084" s="99" t="s">
        <v>48</v>
      </c>
      <c r="J1084" s="93"/>
      <c r="K1084" s="93">
        <v>2957</v>
      </c>
      <c r="L1084" s="103">
        <v>0</v>
      </c>
      <c r="M1084" s="103">
        <v>0</v>
      </c>
      <c r="N1084" s="103">
        <v>0</v>
      </c>
      <c r="O1084" s="103">
        <v>0</v>
      </c>
      <c r="P1084" s="103">
        <v>0</v>
      </c>
      <c r="Q1084" s="103">
        <v>0</v>
      </c>
      <c r="R1084" s="103">
        <v>0</v>
      </c>
      <c r="S1084" s="103" t="s">
        <v>48</v>
      </c>
      <c r="T1084" s="93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CA1084" s="12"/>
      <c r="CB1084" s="12"/>
    </row>
    <row r="1085" spans="1:80" x14ac:dyDescent="0.2">
      <c r="A1085" s="96">
        <v>2859</v>
      </c>
      <c r="B1085" s="99">
        <v>0</v>
      </c>
      <c r="C1085" s="99">
        <v>0</v>
      </c>
      <c r="D1085" s="99">
        <v>0</v>
      </c>
      <c r="E1085" s="99">
        <v>0</v>
      </c>
      <c r="F1085" s="99">
        <v>0</v>
      </c>
      <c r="G1085" s="99">
        <v>0</v>
      </c>
      <c r="H1085" s="99">
        <v>0</v>
      </c>
      <c r="I1085" s="99" t="s">
        <v>48</v>
      </c>
      <c r="J1085" s="93"/>
      <c r="K1085" s="93">
        <v>2958</v>
      </c>
      <c r="L1085" s="103">
        <v>0</v>
      </c>
      <c r="M1085" s="103">
        <v>0</v>
      </c>
      <c r="N1085" s="103">
        <v>0</v>
      </c>
      <c r="O1085" s="103">
        <v>0</v>
      </c>
      <c r="P1085" s="103">
        <v>0</v>
      </c>
      <c r="Q1085" s="103">
        <v>0</v>
      </c>
      <c r="R1085" s="103">
        <v>0</v>
      </c>
      <c r="S1085" s="103" t="s">
        <v>48</v>
      </c>
      <c r="T1085" s="93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CA1085" s="12"/>
      <c r="CB1085" s="12"/>
    </row>
    <row r="1086" spans="1:80" x14ac:dyDescent="0.2">
      <c r="A1086" s="96">
        <v>2900</v>
      </c>
      <c r="B1086" s="99">
        <v>0</v>
      </c>
      <c r="C1086" s="99">
        <v>0</v>
      </c>
      <c r="D1086" s="99">
        <v>0</v>
      </c>
      <c r="E1086" s="99">
        <v>0</v>
      </c>
      <c r="F1086" s="99">
        <v>0</v>
      </c>
      <c r="G1086" s="99">
        <v>0</v>
      </c>
      <c r="H1086" s="99">
        <v>0</v>
      </c>
      <c r="I1086" s="99" t="s">
        <v>48</v>
      </c>
      <c r="J1086" s="93"/>
      <c r="K1086" s="93">
        <v>2959</v>
      </c>
      <c r="L1086" s="103">
        <v>0</v>
      </c>
      <c r="M1086" s="103">
        <v>0</v>
      </c>
      <c r="N1086" s="103">
        <v>0</v>
      </c>
      <c r="O1086" s="103">
        <v>0</v>
      </c>
      <c r="P1086" s="103">
        <v>0</v>
      </c>
      <c r="Q1086" s="103">
        <v>0</v>
      </c>
      <c r="R1086" s="103">
        <v>0</v>
      </c>
      <c r="S1086" s="103" t="s">
        <v>48</v>
      </c>
      <c r="T1086" s="93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CA1086" s="12"/>
      <c r="CB1086" s="12"/>
    </row>
    <row r="1087" spans="1:80" x14ac:dyDescent="0.2">
      <c r="A1087" s="96">
        <v>2901</v>
      </c>
      <c r="B1087" s="99">
        <v>0</v>
      </c>
      <c r="C1087" s="99">
        <v>0</v>
      </c>
      <c r="D1087" s="99">
        <v>0</v>
      </c>
      <c r="E1087" s="99">
        <v>0</v>
      </c>
      <c r="F1087" s="99">
        <v>0</v>
      </c>
      <c r="G1087" s="99">
        <v>0</v>
      </c>
      <c r="H1087" s="99">
        <v>0</v>
      </c>
      <c r="I1087" s="99" t="s">
        <v>48</v>
      </c>
      <c r="J1087" s="93"/>
      <c r="K1087" s="93">
        <v>3000</v>
      </c>
      <c r="L1087" s="103">
        <v>0</v>
      </c>
      <c r="M1087" s="103">
        <v>0</v>
      </c>
      <c r="N1087" s="103">
        <v>0</v>
      </c>
      <c r="O1087" s="103">
        <v>0</v>
      </c>
      <c r="P1087" s="103">
        <v>0</v>
      </c>
      <c r="Q1087" s="103">
        <v>0</v>
      </c>
      <c r="R1087" s="103">
        <v>0</v>
      </c>
      <c r="S1087" s="103" t="s">
        <v>48</v>
      </c>
      <c r="T1087" s="93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CA1087" s="12"/>
      <c r="CB1087" s="12"/>
    </row>
    <row r="1088" spans="1:80" x14ac:dyDescent="0.2">
      <c r="A1088" s="96">
        <v>2902</v>
      </c>
      <c r="B1088" s="99">
        <v>0</v>
      </c>
      <c r="C1088" s="99">
        <v>0</v>
      </c>
      <c r="D1088" s="99">
        <v>0</v>
      </c>
      <c r="E1088" s="99">
        <v>0</v>
      </c>
      <c r="F1088" s="99">
        <v>0</v>
      </c>
      <c r="G1088" s="99">
        <v>0</v>
      </c>
      <c r="H1088" s="99">
        <v>0</v>
      </c>
      <c r="I1088" s="99" t="s">
        <v>48</v>
      </c>
      <c r="J1088" s="93"/>
      <c r="K1088" s="93">
        <v>3001</v>
      </c>
      <c r="L1088" s="103"/>
      <c r="M1088" s="103"/>
      <c r="N1088" s="103"/>
      <c r="O1088" s="103"/>
      <c r="P1088" s="103"/>
      <c r="Q1088" s="103"/>
      <c r="R1088" s="103"/>
      <c r="S1088" s="103" t="s">
        <v>48</v>
      </c>
      <c r="T1088" s="93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CA1088" s="12"/>
      <c r="CB1088" s="12"/>
    </row>
    <row r="1089" spans="1:80" x14ac:dyDescent="0.2">
      <c r="A1089" s="96">
        <v>2903</v>
      </c>
      <c r="B1089" s="99">
        <v>0</v>
      </c>
      <c r="C1089" s="99">
        <v>0</v>
      </c>
      <c r="D1089" s="99">
        <v>0</v>
      </c>
      <c r="E1089" s="99">
        <v>0</v>
      </c>
      <c r="F1089" s="99">
        <v>0</v>
      </c>
      <c r="G1089" s="99">
        <v>0</v>
      </c>
      <c r="H1089" s="99">
        <v>0</v>
      </c>
      <c r="I1089" s="99" t="s">
        <v>48</v>
      </c>
      <c r="J1089" s="93"/>
      <c r="K1089" s="93">
        <v>3002</v>
      </c>
      <c r="L1089" s="103">
        <v>0</v>
      </c>
      <c r="M1089" s="103">
        <v>0</v>
      </c>
      <c r="N1089" s="103">
        <v>0</v>
      </c>
      <c r="O1089" s="103">
        <v>0</v>
      </c>
      <c r="P1089" s="103">
        <v>0</v>
      </c>
      <c r="Q1089" s="103">
        <v>0</v>
      </c>
      <c r="R1089" s="103">
        <v>0</v>
      </c>
      <c r="S1089" s="103" t="s">
        <v>48</v>
      </c>
      <c r="T1089" s="93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CA1089" s="12"/>
      <c r="CB1089" s="12"/>
    </row>
    <row r="1090" spans="1:80" x14ac:dyDescent="0.2">
      <c r="A1090" s="96">
        <v>2904</v>
      </c>
      <c r="B1090" s="99">
        <v>0</v>
      </c>
      <c r="C1090" s="99">
        <v>0</v>
      </c>
      <c r="D1090" s="99">
        <v>0</v>
      </c>
      <c r="E1090" s="99">
        <v>0</v>
      </c>
      <c r="F1090" s="99">
        <v>0</v>
      </c>
      <c r="G1090" s="99">
        <v>0</v>
      </c>
      <c r="H1090" s="99">
        <v>0</v>
      </c>
      <c r="I1090" s="99" t="s">
        <v>48</v>
      </c>
      <c r="J1090" s="93"/>
      <c r="K1090" s="93">
        <v>3003</v>
      </c>
      <c r="L1090" s="103"/>
      <c r="M1090" s="103"/>
      <c r="N1090" s="103"/>
      <c r="O1090" s="103"/>
      <c r="P1090" s="103"/>
      <c r="Q1090" s="103"/>
      <c r="R1090" s="103"/>
      <c r="S1090" s="103" t="s">
        <v>48</v>
      </c>
      <c r="T1090" s="93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CA1090" s="12"/>
      <c r="CB1090" s="12"/>
    </row>
    <row r="1091" spans="1:80" x14ac:dyDescent="0.2">
      <c r="A1091" s="96">
        <v>2905</v>
      </c>
      <c r="B1091" s="99">
        <v>0</v>
      </c>
      <c r="C1091" s="99">
        <v>0</v>
      </c>
      <c r="D1091" s="99">
        <v>0</v>
      </c>
      <c r="E1091" s="99">
        <v>0</v>
      </c>
      <c r="F1091" s="99">
        <v>0</v>
      </c>
      <c r="G1091" s="99">
        <v>0</v>
      </c>
      <c r="H1091" s="99">
        <v>0</v>
      </c>
      <c r="I1091" s="99" t="s">
        <v>48</v>
      </c>
      <c r="J1091" s="93"/>
      <c r="K1091" s="93">
        <v>3004</v>
      </c>
      <c r="L1091" s="103">
        <v>0</v>
      </c>
      <c r="M1091" s="103">
        <v>0</v>
      </c>
      <c r="N1091" s="103">
        <v>0</v>
      </c>
      <c r="O1091" s="103">
        <v>0</v>
      </c>
      <c r="P1091" s="103">
        <v>0</v>
      </c>
      <c r="Q1091" s="103">
        <v>0</v>
      </c>
      <c r="R1091" s="103">
        <v>0</v>
      </c>
      <c r="S1091" s="103" t="s">
        <v>48</v>
      </c>
      <c r="T1091" s="93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CA1091" s="12"/>
      <c r="CB1091" s="12"/>
    </row>
    <row r="1092" spans="1:80" x14ac:dyDescent="0.2">
      <c r="A1092" s="96">
        <v>2906</v>
      </c>
      <c r="B1092" s="99">
        <v>0</v>
      </c>
      <c r="C1092" s="99">
        <v>0</v>
      </c>
      <c r="D1092" s="99">
        <v>0</v>
      </c>
      <c r="E1092" s="99">
        <v>0</v>
      </c>
      <c r="F1092" s="99">
        <v>0</v>
      </c>
      <c r="G1092" s="99">
        <v>0</v>
      </c>
      <c r="H1092" s="99">
        <v>0</v>
      </c>
      <c r="I1092" s="99" t="s">
        <v>48</v>
      </c>
      <c r="J1092" s="93"/>
      <c r="K1092" s="93">
        <v>3005</v>
      </c>
      <c r="L1092" s="103"/>
      <c r="M1092" s="103"/>
      <c r="N1092" s="103"/>
      <c r="O1092" s="103"/>
      <c r="P1092" s="103"/>
      <c r="Q1092" s="103"/>
      <c r="R1092" s="103"/>
      <c r="S1092" s="103" t="s">
        <v>48</v>
      </c>
      <c r="T1092" s="93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CA1092" s="12"/>
      <c r="CB1092" s="12"/>
    </row>
    <row r="1093" spans="1:80" x14ac:dyDescent="0.2">
      <c r="A1093" s="96">
        <v>2907</v>
      </c>
      <c r="B1093" s="99">
        <v>0</v>
      </c>
      <c r="C1093" s="99">
        <v>0</v>
      </c>
      <c r="D1093" s="99">
        <v>0</v>
      </c>
      <c r="E1093" s="99">
        <v>0</v>
      </c>
      <c r="F1093" s="99">
        <v>0</v>
      </c>
      <c r="G1093" s="99">
        <v>0</v>
      </c>
      <c r="H1093" s="99">
        <v>0</v>
      </c>
      <c r="I1093" s="99" t="s">
        <v>48</v>
      </c>
      <c r="J1093" s="93"/>
      <c r="K1093" s="93">
        <v>3006</v>
      </c>
      <c r="L1093" s="103">
        <v>0</v>
      </c>
      <c r="M1093" s="103">
        <v>0</v>
      </c>
      <c r="N1093" s="103">
        <v>0</v>
      </c>
      <c r="O1093" s="103">
        <v>0</v>
      </c>
      <c r="P1093" s="103">
        <v>0</v>
      </c>
      <c r="Q1093" s="103">
        <v>0</v>
      </c>
      <c r="R1093" s="103">
        <v>0</v>
      </c>
      <c r="S1093" s="103" t="s">
        <v>48</v>
      </c>
      <c r="T1093" s="93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CA1093" s="12"/>
      <c r="CB1093" s="12"/>
    </row>
    <row r="1094" spans="1:80" x14ac:dyDescent="0.2">
      <c r="A1094" s="96">
        <v>2908</v>
      </c>
      <c r="B1094" s="99">
        <v>0</v>
      </c>
      <c r="C1094" s="99">
        <v>0</v>
      </c>
      <c r="D1094" s="99">
        <v>0</v>
      </c>
      <c r="E1094" s="99">
        <v>0</v>
      </c>
      <c r="F1094" s="99">
        <v>0</v>
      </c>
      <c r="G1094" s="99">
        <v>0</v>
      </c>
      <c r="H1094" s="99">
        <v>0</v>
      </c>
      <c r="I1094" s="99" t="s">
        <v>48</v>
      </c>
      <c r="J1094" s="93"/>
      <c r="K1094" s="93">
        <v>3007</v>
      </c>
      <c r="L1094" s="103"/>
      <c r="M1094" s="103"/>
      <c r="N1094" s="103"/>
      <c r="O1094" s="103"/>
      <c r="P1094" s="103"/>
      <c r="Q1094" s="103"/>
      <c r="R1094" s="103"/>
      <c r="S1094" s="103" t="s">
        <v>48</v>
      </c>
      <c r="T1094" s="93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CA1094" s="12"/>
      <c r="CB1094" s="12"/>
    </row>
    <row r="1095" spans="1:80" x14ac:dyDescent="0.2">
      <c r="A1095" s="96">
        <v>2909</v>
      </c>
      <c r="B1095" s="99">
        <v>0</v>
      </c>
      <c r="C1095" s="99">
        <v>0</v>
      </c>
      <c r="D1095" s="99">
        <v>0</v>
      </c>
      <c r="E1095" s="99">
        <v>0</v>
      </c>
      <c r="F1095" s="99">
        <v>0</v>
      </c>
      <c r="G1095" s="99">
        <v>0</v>
      </c>
      <c r="H1095" s="99">
        <v>0</v>
      </c>
      <c r="I1095" s="99" t="s">
        <v>48</v>
      </c>
      <c r="J1095" s="93"/>
      <c r="K1095" s="93">
        <v>3008</v>
      </c>
      <c r="L1095" s="103">
        <v>0</v>
      </c>
      <c r="M1095" s="103">
        <v>0</v>
      </c>
      <c r="N1095" s="103">
        <v>0</v>
      </c>
      <c r="O1095" s="103">
        <v>0</v>
      </c>
      <c r="P1095" s="103">
        <v>0</v>
      </c>
      <c r="Q1095" s="103">
        <v>0</v>
      </c>
      <c r="R1095" s="103">
        <v>0</v>
      </c>
      <c r="S1095" s="103" t="s">
        <v>48</v>
      </c>
      <c r="T1095" s="93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CA1095" s="12"/>
      <c r="CB1095" s="12"/>
    </row>
    <row r="1096" spans="1:80" x14ac:dyDescent="0.2">
      <c r="A1096" s="96">
        <v>2910</v>
      </c>
      <c r="B1096" s="99">
        <v>0</v>
      </c>
      <c r="C1096" s="99">
        <v>0</v>
      </c>
      <c r="D1096" s="99">
        <v>0</v>
      </c>
      <c r="E1096" s="99">
        <v>0</v>
      </c>
      <c r="F1096" s="99">
        <v>0</v>
      </c>
      <c r="G1096" s="99">
        <v>0</v>
      </c>
      <c r="H1096" s="99">
        <v>0</v>
      </c>
      <c r="I1096" s="99" t="s">
        <v>48</v>
      </c>
      <c r="J1096" s="93"/>
      <c r="K1096" s="93">
        <v>3009</v>
      </c>
      <c r="L1096" s="103"/>
      <c r="M1096" s="103"/>
      <c r="N1096" s="103"/>
      <c r="O1096" s="103"/>
      <c r="P1096" s="103"/>
      <c r="Q1096" s="103"/>
      <c r="R1096" s="103"/>
      <c r="S1096" s="103" t="s">
        <v>48</v>
      </c>
      <c r="T1096" s="93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CA1096" s="12"/>
      <c r="CB1096" s="12"/>
    </row>
    <row r="1097" spans="1:80" x14ac:dyDescent="0.2">
      <c r="A1097" s="96">
        <v>2911</v>
      </c>
      <c r="B1097" s="99">
        <v>0</v>
      </c>
      <c r="C1097" s="99">
        <v>0</v>
      </c>
      <c r="D1097" s="99">
        <v>0</v>
      </c>
      <c r="E1097" s="99">
        <v>0</v>
      </c>
      <c r="F1097" s="99">
        <v>0</v>
      </c>
      <c r="G1097" s="99">
        <v>0</v>
      </c>
      <c r="H1097" s="99">
        <v>0</v>
      </c>
      <c r="I1097" s="99" t="s">
        <v>48</v>
      </c>
      <c r="J1097" s="93"/>
      <c r="K1097" s="93">
        <v>3010</v>
      </c>
      <c r="L1097" s="103">
        <v>0</v>
      </c>
      <c r="M1097" s="103">
        <v>0</v>
      </c>
      <c r="N1097" s="103">
        <v>0</v>
      </c>
      <c r="O1097" s="103">
        <v>0</v>
      </c>
      <c r="P1097" s="103">
        <v>0</v>
      </c>
      <c r="Q1097" s="103">
        <v>0</v>
      </c>
      <c r="R1097" s="103">
        <v>0</v>
      </c>
      <c r="S1097" s="103" t="s">
        <v>48</v>
      </c>
      <c r="T1097" s="93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CA1097" s="12"/>
      <c r="CB1097" s="12"/>
    </row>
    <row r="1098" spans="1:80" x14ac:dyDescent="0.2">
      <c r="A1098" s="96">
        <v>2912</v>
      </c>
      <c r="B1098" s="99">
        <v>0</v>
      </c>
      <c r="C1098" s="99">
        <v>0</v>
      </c>
      <c r="D1098" s="99">
        <v>0</v>
      </c>
      <c r="E1098" s="99">
        <v>0</v>
      </c>
      <c r="F1098" s="99">
        <v>0</v>
      </c>
      <c r="G1098" s="99">
        <v>0</v>
      </c>
      <c r="H1098" s="99">
        <v>0</v>
      </c>
      <c r="I1098" s="99" t="s">
        <v>48</v>
      </c>
      <c r="J1098" s="93"/>
      <c r="K1098" s="93">
        <v>3011</v>
      </c>
      <c r="L1098" s="103"/>
      <c r="M1098" s="103"/>
      <c r="N1098" s="103"/>
      <c r="O1098" s="103"/>
      <c r="P1098" s="103"/>
      <c r="Q1098" s="103"/>
      <c r="R1098" s="103"/>
      <c r="S1098" s="103" t="s">
        <v>48</v>
      </c>
      <c r="T1098" s="93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CA1098" s="12"/>
      <c r="CB1098" s="12"/>
    </row>
    <row r="1099" spans="1:80" x14ac:dyDescent="0.2">
      <c r="A1099" s="96">
        <v>2913</v>
      </c>
      <c r="B1099" s="99">
        <v>0</v>
      </c>
      <c r="C1099" s="99">
        <v>0</v>
      </c>
      <c r="D1099" s="99">
        <v>0</v>
      </c>
      <c r="E1099" s="99">
        <v>0</v>
      </c>
      <c r="F1099" s="99">
        <v>0</v>
      </c>
      <c r="G1099" s="99">
        <v>0</v>
      </c>
      <c r="H1099" s="99">
        <v>0</v>
      </c>
      <c r="I1099" s="99" t="s">
        <v>48</v>
      </c>
      <c r="J1099" s="93"/>
      <c r="K1099" s="93">
        <v>3012</v>
      </c>
      <c r="L1099" s="103">
        <v>0</v>
      </c>
      <c r="M1099" s="103">
        <v>0</v>
      </c>
      <c r="N1099" s="103">
        <v>0</v>
      </c>
      <c r="O1099" s="103">
        <v>0</v>
      </c>
      <c r="P1099" s="103">
        <v>0</v>
      </c>
      <c r="Q1099" s="103">
        <v>0</v>
      </c>
      <c r="R1099" s="103">
        <v>0</v>
      </c>
      <c r="S1099" s="103" t="s">
        <v>48</v>
      </c>
      <c r="T1099" s="93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CA1099" s="12"/>
      <c r="CB1099" s="12"/>
    </row>
    <row r="1100" spans="1:80" x14ac:dyDescent="0.2">
      <c r="A1100" s="96">
        <v>2914</v>
      </c>
      <c r="B1100" s="99">
        <v>0</v>
      </c>
      <c r="C1100" s="99">
        <v>0</v>
      </c>
      <c r="D1100" s="99">
        <v>0</v>
      </c>
      <c r="E1100" s="99">
        <v>0</v>
      </c>
      <c r="F1100" s="99">
        <v>0</v>
      </c>
      <c r="G1100" s="99">
        <v>0</v>
      </c>
      <c r="H1100" s="99">
        <v>0</v>
      </c>
      <c r="I1100" s="99" t="s">
        <v>48</v>
      </c>
      <c r="J1100" s="93"/>
      <c r="K1100" s="93">
        <v>3013</v>
      </c>
      <c r="L1100" s="103"/>
      <c r="M1100" s="103"/>
      <c r="N1100" s="103"/>
      <c r="O1100" s="103"/>
      <c r="P1100" s="103"/>
      <c r="Q1100" s="103"/>
      <c r="R1100" s="103"/>
      <c r="S1100" s="103" t="s">
        <v>48</v>
      </c>
      <c r="T1100" s="93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CA1100" s="12"/>
      <c r="CB1100" s="12"/>
    </row>
    <row r="1101" spans="1:80" x14ac:dyDescent="0.2">
      <c r="A1101" s="96">
        <v>2915</v>
      </c>
      <c r="B1101" s="99">
        <v>0</v>
      </c>
      <c r="C1101" s="99">
        <v>0</v>
      </c>
      <c r="D1101" s="99">
        <v>0</v>
      </c>
      <c r="E1101" s="99">
        <v>0</v>
      </c>
      <c r="F1101" s="99">
        <v>0</v>
      </c>
      <c r="G1101" s="99">
        <v>0</v>
      </c>
      <c r="H1101" s="99">
        <v>0</v>
      </c>
      <c r="I1101" s="99" t="s">
        <v>48</v>
      </c>
      <c r="J1101" s="93"/>
      <c r="K1101" s="93">
        <v>3014</v>
      </c>
      <c r="L1101" s="103">
        <v>0</v>
      </c>
      <c r="M1101" s="103">
        <v>0</v>
      </c>
      <c r="N1101" s="103">
        <v>0</v>
      </c>
      <c r="O1101" s="103">
        <v>0</v>
      </c>
      <c r="P1101" s="103">
        <v>0</v>
      </c>
      <c r="Q1101" s="103">
        <v>0</v>
      </c>
      <c r="R1101" s="103">
        <v>0</v>
      </c>
      <c r="S1101" s="103" t="s">
        <v>48</v>
      </c>
      <c r="T1101" s="93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CA1101" s="12"/>
      <c r="CB1101" s="12"/>
    </row>
    <row r="1102" spans="1:80" x14ac:dyDescent="0.2">
      <c r="A1102" s="96">
        <v>2916</v>
      </c>
      <c r="B1102" s="99">
        <v>0</v>
      </c>
      <c r="C1102" s="99">
        <v>0</v>
      </c>
      <c r="D1102" s="99">
        <v>0</v>
      </c>
      <c r="E1102" s="99">
        <v>0</v>
      </c>
      <c r="F1102" s="99">
        <v>0</v>
      </c>
      <c r="G1102" s="99">
        <v>0</v>
      </c>
      <c r="H1102" s="99">
        <v>0</v>
      </c>
      <c r="I1102" s="99" t="s">
        <v>48</v>
      </c>
      <c r="J1102" s="93"/>
      <c r="K1102" s="93">
        <v>3015</v>
      </c>
      <c r="L1102" s="103"/>
      <c r="M1102" s="103"/>
      <c r="N1102" s="103"/>
      <c r="O1102" s="103"/>
      <c r="P1102" s="103"/>
      <c r="Q1102" s="103"/>
      <c r="R1102" s="103"/>
      <c r="S1102" s="103" t="s">
        <v>48</v>
      </c>
      <c r="T1102" s="93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CA1102" s="12"/>
      <c r="CB1102" s="12"/>
    </row>
    <row r="1103" spans="1:80" x14ac:dyDescent="0.2">
      <c r="A1103" s="96">
        <v>2917</v>
      </c>
      <c r="B1103" s="99">
        <v>0</v>
      </c>
      <c r="C1103" s="99">
        <v>0</v>
      </c>
      <c r="D1103" s="99">
        <v>0</v>
      </c>
      <c r="E1103" s="99">
        <v>0</v>
      </c>
      <c r="F1103" s="99">
        <v>0</v>
      </c>
      <c r="G1103" s="99">
        <v>0</v>
      </c>
      <c r="H1103" s="99">
        <v>0</v>
      </c>
      <c r="I1103" s="99" t="s">
        <v>48</v>
      </c>
      <c r="J1103" s="93"/>
      <c r="K1103" s="93">
        <v>3016</v>
      </c>
      <c r="L1103" s="103">
        <v>0</v>
      </c>
      <c r="M1103" s="103">
        <v>0</v>
      </c>
      <c r="N1103" s="103">
        <v>0</v>
      </c>
      <c r="O1103" s="103">
        <v>0</v>
      </c>
      <c r="P1103" s="103">
        <v>0</v>
      </c>
      <c r="Q1103" s="103">
        <v>0</v>
      </c>
      <c r="R1103" s="103">
        <v>0</v>
      </c>
      <c r="S1103" s="103" t="s">
        <v>48</v>
      </c>
      <c r="T1103" s="93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CA1103" s="12"/>
      <c r="CB1103" s="12"/>
    </row>
    <row r="1104" spans="1:80" x14ac:dyDescent="0.2">
      <c r="A1104" s="96">
        <v>2918</v>
      </c>
      <c r="B1104" s="99">
        <v>0</v>
      </c>
      <c r="C1104" s="99">
        <v>0</v>
      </c>
      <c r="D1104" s="99">
        <v>0</v>
      </c>
      <c r="E1104" s="99">
        <v>0</v>
      </c>
      <c r="F1104" s="99">
        <v>0</v>
      </c>
      <c r="G1104" s="99">
        <v>0</v>
      </c>
      <c r="H1104" s="99">
        <v>0</v>
      </c>
      <c r="I1104" s="99" t="s">
        <v>48</v>
      </c>
      <c r="J1104" s="93"/>
      <c r="K1104" s="93">
        <v>3017</v>
      </c>
      <c r="L1104" s="103"/>
      <c r="M1104" s="103"/>
      <c r="N1104" s="103"/>
      <c r="O1104" s="103"/>
      <c r="P1104" s="103"/>
      <c r="Q1104" s="103"/>
      <c r="R1104" s="103"/>
      <c r="S1104" s="103" t="s">
        <v>48</v>
      </c>
      <c r="T1104" s="93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CA1104" s="12"/>
      <c r="CB1104" s="12"/>
    </row>
    <row r="1105" spans="1:80" x14ac:dyDescent="0.2">
      <c r="A1105" s="96">
        <v>2919</v>
      </c>
      <c r="B1105" s="99">
        <v>0</v>
      </c>
      <c r="C1105" s="99">
        <v>0</v>
      </c>
      <c r="D1105" s="99">
        <v>0</v>
      </c>
      <c r="E1105" s="99">
        <v>0</v>
      </c>
      <c r="F1105" s="99">
        <v>0</v>
      </c>
      <c r="G1105" s="99">
        <v>0</v>
      </c>
      <c r="H1105" s="99">
        <v>0</v>
      </c>
      <c r="I1105" s="99" t="s">
        <v>48</v>
      </c>
      <c r="J1105" s="93"/>
      <c r="K1105" s="93">
        <v>3018</v>
      </c>
      <c r="L1105" s="103">
        <v>0</v>
      </c>
      <c r="M1105" s="103">
        <v>0</v>
      </c>
      <c r="N1105" s="103">
        <v>0</v>
      </c>
      <c r="O1105" s="103">
        <v>0</v>
      </c>
      <c r="P1105" s="103">
        <v>0</v>
      </c>
      <c r="Q1105" s="103">
        <v>0</v>
      </c>
      <c r="R1105" s="103">
        <v>0</v>
      </c>
      <c r="S1105" s="103" t="s">
        <v>48</v>
      </c>
      <c r="T1105" s="93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CA1105" s="12"/>
      <c r="CB1105" s="12"/>
    </row>
    <row r="1106" spans="1:80" x14ac:dyDescent="0.2">
      <c r="A1106" s="96">
        <v>2920</v>
      </c>
      <c r="B1106" s="99">
        <v>0</v>
      </c>
      <c r="C1106" s="99">
        <v>0</v>
      </c>
      <c r="D1106" s="99">
        <v>0</v>
      </c>
      <c r="E1106" s="99">
        <v>0</v>
      </c>
      <c r="F1106" s="99">
        <v>0</v>
      </c>
      <c r="G1106" s="99">
        <v>0</v>
      </c>
      <c r="H1106" s="99">
        <v>0</v>
      </c>
      <c r="I1106" s="99" t="s">
        <v>48</v>
      </c>
      <c r="J1106" s="93"/>
      <c r="K1106" s="93">
        <v>3019</v>
      </c>
      <c r="L1106" s="103"/>
      <c r="M1106" s="103"/>
      <c r="N1106" s="103"/>
      <c r="O1106" s="103"/>
      <c r="P1106" s="103"/>
      <c r="Q1106" s="103"/>
      <c r="R1106" s="103"/>
      <c r="S1106" s="103" t="s">
        <v>48</v>
      </c>
      <c r="T1106" s="93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CA1106" s="12"/>
      <c r="CB1106" s="12"/>
    </row>
    <row r="1107" spans="1:80" x14ac:dyDescent="0.2">
      <c r="A1107" s="96">
        <v>2921</v>
      </c>
      <c r="B1107" s="99">
        <v>0</v>
      </c>
      <c r="C1107" s="99">
        <v>0</v>
      </c>
      <c r="D1107" s="99">
        <v>0</v>
      </c>
      <c r="E1107" s="99">
        <v>0</v>
      </c>
      <c r="F1107" s="99">
        <v>0</v>
      </c>
      <c r="G1107" s="99">
        <v>0</v>
      </c>
      <c r="H1107" s="99">
        <v>0</v>
      </c>
      <c r="I1107" s="99" t="s">
        <v>48</v>
      </c>
      <c r="J1107" s="93"/>
      <c r="K1107" s="93">
        <v>3020</v>
      </c>
      <c r="L1107" s="103">
        <v>0</v>
      </c>
      <c r="M1107" s="103">
        <v>0</v>
      </c>
      <c r="N1107" s="103">
        <v>0</v>
      </c>
      <c r="O1107" s="103">
        <v>0</v>
      </c>
      <c r="P1107" s="103">
        <v>0</v>
      </c>
      <c r="Q1107" s="103">
        <v>0</v>
      </c>
      <c r="R1107" s="103">
        <v>0</v>
      </c>
      <c r="S1107" s="103" t="s">
        <v>48</v>
      </c>
      <c r="T1107" s="93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CA1107" s="12"/>
      <c r="CB1107" s="12"/>
    </row>
    <row r="1108" spans="1:80" x14ac:dyDescent="0.2">
      <c r="A1108" s="96">
        <v>2922</v>
      </c>
      <c r="B1108" s="99">
        <v>0</v>
      </c>
      <c r="C1108" s="99">
        <v>0</v>
      </c>
      <c r="D1108" s="99">
        <v>0</v>
      </c>
      <c r="E1108" s="99">
        <v>0</v>
      </c>
      <c r="F1108" s="99">
        <v>0</v>
      </c>
      <c r="G1108" s="99">
        <v>0</v>
      </c>
      <c r="H1108" s="99">
        <v>0</v>
      </c>
      <c r="I1108" s="99" t="s">
        <v>48</v>
      </c>
      <c r="J1108" s="93"/>
      <c r="K1108" s="93">
        <v>3021</v>
      </c>
      <c r="L1108" s="103"/>
      <c r="M1108" s="103"/>
      <c r="N1108" s="103"/>
      <c r="O1108" s="103"/>
      <c r="P1108" s="103"/>
      <c r="Q1108" s="103"/>
      <c r="R1108" s="103"/>
      <c r="S1108" s="103" t="s">
        <v>48</v>
      </c>
      <c r="T1108" s="93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CA1108" s="12"/>
      <c r="CB1108" s="12"/>
    </row>
    <row r="1109" spans="1:80" x14ac:dyDescent="0.2">
      <c r="A1109" s="96">
        <v>2923</v>
      </c>
      <c r="B1109" s="99">
        <v>0</v>
      </c>
      <c r="C1109" s="99">
        <v>0</v>
      </c>
      <c r="D1109" s="99">
        <v>0</v>
      </c>
      <c r="E1109" s="99">
        <v>0</v>
      </c>
      <c r="F1109" s="99">
        <v>0</v>
      </c>
      <c r="G1109" s="99">
        <v>0</v>
      </c>
      <c r="H1109" s="99">
        <v>0</v>
      </c>
      <c r="I1109" s="99" t="s">
        <v>48</v>
      </c>
      <c r="J1109" s="93"/>
      <c r="K1109" s="93">
        <v>3022</v>
      </c>
      <c r="L1109" s="103">
        <v>0</v>
      </c>
      <c r="M1109" s="103">
        <v>0</v>
      </c>
      <c r="N1109" s="103">
        <v>0</v>
      </c>
      <c r="O1109" s="103">
        <v>0</v>
      </c>
      <c r="P1109" s="103">
        <v>0</v>
      </c>
      <c r="Q1109" s="103">
        <v>0</v>
      </c>
      <c r="R1109" s="103">
        <v>0</v>
      </c>
      <c r="S1109" s="103" t="s">
        <v>48</v>
      </c>
      <c r="T1109" s="93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CA1109" s="12"/>
      <c r="CB1109" s="12"/>
    </row>
    <row r="1110" spans="1:80" x14ac:dyDescent="0.2">
      <c r="A1110" s="96">
        <v>2924</v>
      </c>
      <c r="B1110" s="99">
        <v>0</v>
      </c>
      <c r="C1110" s="99">
        <v>0</v>
      </c>
      <c r="D1110" s="99">
        <v>0</v>
      </c>
      <c r="E1110" s="99">
        <v>0</v>
      </c>
      <c r="F1110" s="99">
        <v>0</v>
      </c>
      <c r="G1110" s="99">
        <v>0</v>
      </c>
      <c r="H1110" s="99">
        <v>0</v>
      </c>
      <c r="I1110" s="99" t="s">
        <v>48</v>
      </c>
      <c r="J1110" s="93"/>
      <c r="K1110" s="93">
        <v>3023</v>
      </c>
      <c r="L1110" s="103"/>
      <c r="M1110" s="103"/>
      <c r="N1110" s="103"/>
      <c r="O1110" s="103"/>
      <c r="P1110" s="103"/>
      <c r="Q1110" s="103"/>
      <c r="R1110" s="103"/>
      <c r="S1110" s="103" t="s">
        <v>48</v>
      </c>
      <c r="T1110" s="93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CA1110" s="12"/>
      <c r="CB1110" s="12"/>
    </row>
    <row r="1111" spans="1:80" x14ac:dyDescent="0.2">
      <c r="A1111" s="96">
        <v>2925</v>
      </c>
      <c r="B1111" s="99">
        <v>0</v>
      </c>
      <c r="C1111" s="99">
        <v>0</v>
      </c>
      <c r="D1111" s="99">
        <v>0</v>
      </c>
      <c r="E1111" s="99">
        <v>0</v>
      </c>
      <c r="F1111" s="99">
        <v>0</v>
      </c>
      <c r="G1111" s="99">
        <v>0</v>
      </c>
      <c r="H1111" s="99">
        <v>0</v>
      </c>
      <c r="I1111" s="99" t="s">
        <v>48</v>
      </c>
      <c r="J1111" s="93"/>
      <c r="K1111" s="93">
        <v>3024</v>
      </c>
      <c r="L1111" s="103">
        <v>0</v>
      </c>
      <c r="M1111" s="103">
        <v>0</v>
      </c>
      <c r="N1111" s="103">
        <v>0</v>
      </c>
      <c r="O1111" s="103">
        <v>0</v>
      </c>
      <c r="P1111" s="103">
        <v>0</v>
      </c>
      <c r="Q1111" s="103">
        <v>0</v>
      </c>
      <c r="R1111" s="103">
        <v>0</v>
      </c>
      <c r="S1111" s="103" t="s">
        <v>48</v>
      </c>
      <c r="T1111" s="93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CA1111" s="12"/>
      <c r="CB1111" s="12"/>
    </row>
    <row r="1112" spans="1:80" x14ac:dyDescent="0.2">
      <c r="A1112" s="96">
        <v>2926</v>
      </c>
      <c r="B1112" s="99">
        <v>0</v>
      </c>
      <c r="C1112" s="99">
        <v>0</v>
      </c>
      <c r="D1112" s="99">
        <v>0</v>
      </c>
      <c r="E1112" s="99">
        <v>0</v>
      </c>
      <c r="F1112" s="99">
        <v>0</v>
      </c>
      <c r="G1112" s="99">
        <v>0</v>
      </c>
      <c r="H1112" s="99">
        <v>0</v>
      </c>
      <c r="I1112" s="99" t="s">
        <v>48</v>
      </c>
      <c r="J1112" s="93"/>
      <c r="K1112" s="93">
        <v>3025</v>
      </c>
      <c r="L1112" s="103"/>
      <c r="M1112" s="103"/>
      <c r="N1112" s="103"/>
      <c r="O1112" s="103"/>
      <c r="P1112" s="103"/>
      <c r="Q1112" s="103"/>
      <c r="R1112" s="103"/>
      <c r="S1112" s="103" t="s">
        <v>48</v>
      </c>
      <c r="T1112" s="93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CA1112" s="12"/>
      <c r="CB1112" s="12"/>
    </row>
    <row r="1113" spans="1:80" x14ac:dyDescent="0.2">
      <c r="A1113" s="96">
        <v>2927</v>
      </c>
      <c r="B1113" s="99">
        <v>0</v>
      </c>
      <c r="C1113" s="99">
        <v>0</v>
      </c>
      <c r="D1113" s="99">
        <v>0</v>
      </c>
      <c r="E1113" s="99">
        <v>0</v>
      </c>
      <c r="F1113" s="99">
        <v>0</v>
      </c>
      <c r="G1113" s="99">
        <v>0</v>
      </c>
      <c r="H1113" s="99">
        <v>0</v>
      </c>
      <c r="I1113" s="99" t="s">
        <v>48</v>
      </c>
      <c r="J1113" s="93"/>
      <c r="K1113" s="93">
        <v>3026</v>
      </c>
      <c r="L1113" s="103">
        <v>0</v>
      </c>
      <c r="M1113" s="103">
        <v>0</v>
      </c>
      <c r="N1113" s="103">
        <v>0</v>
      </c>
      <c r="O1113" s="103">
        <v>0</v>
      </c>
      <c r="P1113" s="103">
        <v>0</v>
      </c>
      <c r="Q1113" s="103">
        <v>0</v>
      </c>
      <c r="R1113" s="103">
        <v>0</v>
      </c>
      <c r="S1113" s="103" t="s">
        <v>48</v>
      </c>
      <c r="T1113" s="93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CA1113" s="12"/>
      <c r="CB1113" s="12"/>
    </row>
    <row r="1114" spans="1:80" x14ac:dyDescent="0.2">
      <c r="A1114" s="96">
        <v>2928</v>
      </c>
      <c r="B1114" s="99">
        <v>0</v>
      </c>
      <c r="C1114" s="99">
        <v>0</v>
      </c>
      <c r="D1114" s="99">
        <v>0</v>
      </c>
      <c r="E1114" s="99">
        <v>0</v>
      </c>
      <c r="F1114" s="99">
        <v>0</v>
      </c>
      <c r="G1114" s="99">
        <v>0</v>
      </c>
      <c r="H1114" s="99">
        <v>0</v>
      </c>
      <c r="I1114" s="99" t="s">
        <v>48</v>
      </c>
      <c r="J1114" s="93"/>
      <c r="K1114" s="93">
        <v>3027</v>
      </c>
      <c r="L1114" s="103"/>
      <c r="M1114" s="103"/>
      <c r="N1114" s="103"/>
      <c r="O1114" s="103"/>
      <c r="P1114" s="103"/>
      <c r="Q1114" s="103"/>
      <c r="R1114" s="103"/>
      <c r="S1114" s="103" t="s">
        <v>48</v>
      </c>
      <c r="T1114" s="93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CA1114" s="12"/>
      <c r="CB1114" s="12"/>
    </row>
    <row r="1115" spans="1:80" x14ac:dyDescent="0.2">
      <c r="A1115" s="96">
        <v>2929</v>
      </c>
      <c r="B1115" s="99">
        <v>0</v>
      </c>
      <c r="C1115" s="99">
        <v>0</v>
      </c>
      <c r="D1115" s="99">
        <v>0</v>
      </c>
      <c r="E1115" s="99">
        <v>0</v>
      </c>
      <c r="F1115" s="99">
        <v>0</v>
      </c>
      <c r="G1115" s="99">
        <v>0</v>
      </c>
      <c r="H1115" s="99">
        <v>0</v>
      </c>
      <c r="I1115" s="99" t="s">
        <v>48</v>
      </c>
      <c r="J1115" s="93"/>
      <c r="K1115" s="93">
        <v>3028</v>
      </c>
      <c r="L1115" s="103">
        <v>0</v>
      </c>
      <c r="M1115" s="103">
        <v>0</v>
      </c>
      <c r="N1115" s="103">
        <v>0</v>
      </c>
      <c r="O1115" s="103">
        <v>0</v>
      </c>
      <c r="P1115" s="103">
        <v>0</v>
      </c>
      <c r="Q1115" s="103">
        <v>0</v>
      </c>
      <c r="R1115" s="103">
        <v>0</v>
      </c>
      <c r="S1115" s="103" t="s">
        <v>48</v>
      </c>
      <c r="T1115" s="93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CA1115" s="12"/>
      <c r="CB1115" s="12"/>
    </row>
    <row r="1116" spans="1:80" x14ac:dyDescent="0.2">
      <c r="A1116" s="96">
        <v>2930</v>
      </c>
      <c r="B1116" s="99">
        <v>0</v>
      </c>
      <c r="C1116" s="99">
        <v>0</v>
      </c>
      <c r="D1116" s="99">
        <v>0</v>
      </c>
      <c r="E1116" s="99">
        <v>0</v>
      </c>
      <c r="F1116" s="99">
        <v>0</v>
      </c>
      <c r="G1116" s="99">
        <v>0</v>
      </c>
      <c r="H1116" s="99">
        <v>0</v>
      </c>
      <c r="I1116" s="99" t="s">
        <v>48</v>
      </c>
      <c r="J1116" s="93"/>
      <c r="K1116" s="93">
        <v>3029</v>
      </c>
      <c r="L1116" s="103"/>
      <c r="M1116" s="103"/>
      <c r="N1116" s="103"/>
      <c r="O1116" s="103"/>
      <c r="P1116" s="103"/>
      <c r="Q1116" s="103"/>
      <c r="R1116" s="103"/>
      <c r="S1116" s="103" t="s">
        <v>48</v>
      </c>
      <c r="T1116" s="93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CA1116" s="12"/>
      <c r="CB1116" s="12"/>
    </row>
    <row r="1117" spans="1:80" x14ac:dyDescent="0.2">
      <c r="A1117" s="96">
        <v>2931</v>
      </c>
      <c r="B1117" s="99">
        <v>0</v>
      </c>
      <c r="C1117" s="99">
        <v>0</v>
      </c>
      <c r="D1117" s="99">
        <v>0</v>
      </c>
      <c r="E1117" s="99">
        <v>0</v>
      </c>
      <c r="F1117" s="99">
        <v>0</v>
      </c>
      <c r="G1117" s="99">
        <v>0</v>
      </c>
      <c r="H1117" s="99">
        <v>0</v>
      </c>
      <c r="I1117" s="99" t="s">
        <v>48</v>
      </c>
      <c r="J1117" s="93"/>
      <c r="K1117" s="93">
        <v>3030</v>
      </c>
      <c r="L1117" s="103">
        <v>0</v>
      </c>
      <c r="M1117" s="103">
        <v>0</v>
      </c>
      <c r="N1117" s="103">
        <v>0</v>
      </c>
      <c r="O1117" s="103">
        <v>0</v>
      </c>
      <c r="P1117" s="103">
        <v>0</v>
      </c>
      <c r="Q1117" s="103">
        <v>0</v>
      </c>
      <c r="R1117" s="103">
        <v>0</v>
      </c>
      <c r="S1117" s="103" t="s">
        <v>48</v>
      </c>
      <c r="T1117" s="93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CA1117" s="12"/>
      <c r="CB1117" s="12"/>
    </row>
    <row r="1118" spans="1:80" x14ac:dyDescent="0.2">
      <c r="A1118" s="96">
        <v>2932</v>
      </c>
      <c r="B1118" s="99">
        <v>0</v>
      </c>
      <c r="C1118" s="99">
        <v>0</v>
      </c>
      <c r="D1118" s="99">
        <v>0</v>
      </c>
      <c r="E1118" s="99">
        <v>0</v>
      </c>
      <c r="F1118" s="99">
        <v>0</v>
      </c>
      <c r="G1118" s="99">
        <v>0</v>
      </c>
      <c r="H1118" s="99">
        <v>0</v>
      </c>
      <c r="I1118" s="99" t="s">
        <v>48</v>
      </c>
      <c r="J1118" s="93"/>
      <c r="K1118" s="93">
        <v>3031</v>
      </c>
      <c r="L1118" s="103"/>
      <c r="M1118" s="103"/>
      <c r="N1118" s="103"/>
      <c r="O1118" s="103"/>
      <c r="P1118" s="103"/>
      <c r="Q1118" s="103"/>
      <c r="R1118" s="103"/>
      <c r="S1118" s="103" t="s">
        <v>48</v>
      </c>
      <c r="T1118" s="93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CA1118" s="12"/>
      <c r="CB1118" s="12"/>
    </row>
    <row r="1119" spans="1:80" x14ac:dyDescent="0.2">
      <c r="A1119" s="96">
        <v>2933</v>
      </c>
      <c r="B1119" s="99">
        <v>0</v>
      </c>
      <c r="C1119" s="99">
        <v>0</v>
      </c>
      <c r="D1119" s="99">
        <v>0</v>
      </c>
      <c r="E1119" s="99">
        <v>0</v>
      </c>
      <c r="F1119" s="99">
        <v>0</v>
      </c>
      <c r="G1119" s="99">
        <v>0</v>
      </c>
      <c r="H1119" s="99">
        <v>0</v>
      </c>
      <c r="I1119" s="99" t="s">
        <v>48</v>
      </c>
      <c r="J1119" s="93"/>
      <c r="K1119" s="93">
        <v>3032</v>
      </c>
      <c r="L1119" s="103">
        <v>0</v>
      </c>
      <c r="M1119" s="103">
        <v>0</v>
      </c>
      <c r="N1119" s="103">
        <v>0</v>
      </c>
      <c r="O1119" s="103">
        <v>0</v>
      </c>
      <c r="P1119" s="103">
        <v>0</v>
      </c>
      <c r="Q1119" s="103">
        <v>0</v>
      </c>
      <c r="R1119" s="103">
        <v>0</v>
      </c>
      <c r="S1119" s="103" t="s">
        <v>48</v>
      </c>
      <c r="T1119" s="93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CA1119" s="12"/>
      <c r="CB1119" s="12"/>
    </row>
    <row r="1120" spans="1:80" x14ac:dyDescent="0.2">
      <c r="A1120" s="96">
        <v>2934</v>
      </c>
      <c r="B1120" s="99">
        <v>0</v>
      </c>
      <c r="C1120" s="99">
        <v>0</v>
      </c>
      <c r="D1120" s="99">
        <v>0</v>
      </c>
      <c r="E1120" s="99">
        <v>0</v>
      </c>
      <c r="F1120" s="99">
        <v>0</v>
      </c>
      <c r="G1120" s="99">
        <v>0</v>
      </c>
      <c r="H1120" s="99">
        <v>0</v>
      </c>
      <c r="I1120" s="99" t="s">
        <v>48</v>
      </c>
      <c r="J1120" s="93"/>
      <c r="K1120" s="93">
        <v>3033</v>
      </c>
      <c r="L1120" s="103"/>
      <c r="M1120" s="103"/>
      <c r="N1120" s="103"/>
      <c r="O1120" s="103"/>
      <c r="P1120" s="103"/>
      <c r="Q1120" s="103"/>
      <c r="R1120" s="103"/>
      <c r="S1120" s="103" t="s">
        <v>48</v>
      </c>
      <c r="T1120" s="93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CA1120" s="12"/>
      <c r="CB1120" s="12"/>
    </row>
    <row r="1121" spans="1:80" x14ac:dyDescent="0.2">
      <c r="A1121" s="96">
        <v>2935</v>
      </c>
      <c r="B1121" s="99">
        <v>0</v>
      </c>
      <c r="C1121" s="99">
        <v>0</v>
      </c>
      <c r="D1121" s="99">
        <v>0</v>
      </c>
      <c r="E1121" s="99">
        <v>0</v>
      </c>
      <c r="F1121" s="99">
        <v>0</v>
      </c>
      <c r="G1121" s="99">
        <v>0</v>
      </c>
      <c r="H1121" s="99">
        <v>0</v>
      </c>
      <c r="I1121" s="99" t="s">
        <v>48</v>
      </c>
      <c r="J1121" s="93"/>
      <c r="K1121" s="93">
        <v>3034</v>
      </c>
      <c r="L1121" s="103">
        <v>0</v>
      </c>
      <c r="M1121" s="103">
        <v>0</v>
      </c>
      <c r="N1121" s="103">
        <v>0</v>
      </c>
      <c r="O1121" s="103">
        <v>0</v>
      </c>
      <c r="P1121" s="103">
        <v>0</v>
      </c>
      <c r="Q1121" s="103">
        <v>0</v>
      </c>
      <c r="R1121" s="103">
        <v>0</v>
      </c>
      <c r="S1121" s="103" t="s">
        <v>48</v>
      </c>
      <c r="T1121" s="93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CA1121" s="12"/>
      <c r="CB1121" s="12"/>
    </row>
    <row r="1122" spans="1:80" x14ac:dyDescent="0.2">
      <c r="A1122" s="96">
        <v>2936</v>
      </c>
      <c r="B1122" s="99">
        <v>0</v>
      </c>
      <c r="C1122" s="99">
        <v>0</v>
      </c>
      <c r="D1122" s="99">
        <v>0</v>
      </c>
      <c r="E1122" s="99">
        <v>0</v>
      </c>
      <c r="F1122" s="99">
        <v>0</v>
      </c>
      <c r="G1122" s="99">
        <v>0</v>
      </c>
      <c r="H1122" s="99">
        <v>0</v>
      </c>
      <c r="I1122" s="99" t="s">
        <v>48</v>
      </c>
      <c r="J1122" s="93"/>
      <c r="K1122" s="93">
        <v>3035</v>
      </c>
      <c r="L1122" s="103"/>
      <c r="M1122" s="103"/>
      <c r="N1122" s="103"/>
      <c r="O1122" s="103"/>
      <c r="P1122" s="103"/>
      <c r="Q1122" s="103"/>
      <c r="R1122" s="103"/>
      <c r="S1122" s="103" t="s">
        <v>48</v>
      </c>
      <c r="T1122" s="93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CA1122" s="12"/>
      <c r="CB1122" s="12"/>
    </row>
    <row r="1123" spans="1:80" x14ac:dyDescent="0.2">
      <c r="A1123" s="96">
        <v>2937</v>
      </c>
      <c r="B1123" s="99">
        <v>0</v>
      </c>
      <c r="C1123" s="99">
        <v>0</v>
      </c>
      <c r="D1123" s="99">
        <v>0</v>
      </c>
      <c r="E1123" s="99">
        <v>0</v>
      </c>
      <c r="F1123" s="99">
        <v>0</v>
      </c>
      <c r="G1123" s="99">
        <v>0</v>
      </c>
      <c r="H1123" s="99">
        <v>0</v>
      </c>
      <c r="I1123" s="99" t="s">
        <v>48</v>
      </c>
      <c r="J1123" s="93"/>
      <c r="K1123" s="93">
        <v>3036</v>
      </c>
      <c r="L1123" s="103">
        <v>0</v>
      </c>
      <c r="M1123" s="103">
        <v>0</v>
      </c>
      <c r="N1123" s="103">
        <v>0</v>
      </c>
      <c r="O1123" s="103">
        <v>0</v>
      </c>
      <c r="P1123" s="103">
        <v>0</v>
      </c>
      <c r="Q1123" s="103">
        <v>0</v>
      </c>
      <c r="R1123" s="103">
        <v>0</v>
      </c>
      <c r="S1123" s="103" t="s">
        <v>48</v>
      </c>
      <c r="T1123" s="93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CA1123" s="12"/>
      <c r="CB1123" s="12"/>
    </row>
    <row r="1124" spans="1:80" x14ac:dyDescent="0.2">
      <c r="A1124" s="96">
        <v>2938</v>
      </c>
      <c r="B1124" s="99">
        <v>0</v>
      </c>
      <c r="C1124" s="99">
        <v>0</v>
      </c>
      <c r="D1124" s="99">
        <v>0</v>
      </c>
      <c r="E1124" s="99">
        <v>0</v>
      </c>
      <c r="F1124" s="99">
        <v>0</v>
      </c>
      <c r="G1124" s="99">
        <v>0</v>
      </c>
      <c r="H1124" s="99">
        <v>0</v>
      </c>
      <c r="I1124" s="99" t="s">
        <v>48</v>
      </c>
      <c r="J1124" s="93"/>
      <c r="K1124" s="93">
        <v>3037</v>
      </c>
      <c r="L1124" s="103"/>
      <c r="M1124" s="103"/>
      <c r="N1124" s="103"/>
      <c r="O1124" s="103"/>
      <c r="P1124" s="103"/>
      <c r="Q1124" s="103"/>
      <c r="R1124" s="103"/>
      <c r="S1124" s="103" t="s">
        <v>48</v>
      </c>
      <c r="T1124" s="93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CA1124" s="12"/>
      <c r="CB1124" s="12"/>
    </row>
    <row r="1125" spans="1:80" x14ac:dyDescent="0.2">
      <c r="A1125" s="96">
        <v>2939</v>
      </c>
      <c r="B1125" s="99">
        <v>0</v>
      </c>
      <c r="C1125" s="99">
        <v>0</v>
      </c>
      <c r="D1125" s="99">
        <v>0</v>
      </c>
      <c r="E1125" s="99">
        <v>0</v>
      </c>
      <c r="F1125" s="99">
        <v>0</v>
      </c>
      <c r="G1125" s="99">
        <v>0</v>
      </c>
      <c r="H1125" s="99">
        <v>0</v>
      </c>
      <c r="I1125" s="99" t="s">
        <v>48</v>
      </c>
      <c r="J1125" s="93"/>
      <c r="K1125" s="93">
        <v>3038</v>
      </c>
      <c r="L1125" s="103">
        <v>0</v>
      </c>
      <c r="M1125" s="103">
        <v>0</v>
      </c>
      <c r="N1125" s="103">
        <v>0</v>
      </c>
      <c r="O1125" s="103">
        <v>0</v>
      </c>
      <c r="P1125" s="103">
        <v>0</v>
      </c>
      <c r="Q1125" s="103">
        <v>0</v>
      </c>
      <c r="R1125" s="103">
        <v>0</v>
      </c>
      <c r="S1125" s="103" t="s">
        <v>48</v>
      </c>
      <c r="T1125" s="93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CA1125" s="12"/>
      <c r="CB1125" s="12"/>
    </row>
    <row r="1126" spans="1:80" x14ac:dyDescent="0.2">
      <c r="A1126" s="96">
        <v>2940</v>
      </c>
      <c r="B1126" s="99">
        <v>0</v>
      </c>
      <c r="C1126" s="99">
        <v>0</v>
      </c>
      <c r="D1126" s="99">
        <v>0</v>
      </c>
      <c r="E1126" s="99">
        <v>0</v>
      </c>
      <c r="F1126" s="99">
        <v>0</v>
      </c>
      <c r="G1126" s="99">
        <v>0</v>
      </c>
      <c r="H1126" s="99">
        <v>0</v>
      </c>
      <c r="I1126" s="99" t="s">
        <v>48</v>
      </c>
      <c r="J1126" s="93"/>
      <c r="K1126" s="93">
        <v>3039</v>
      </c>
      <c r="L1126" s="103"/>
      <c r="M1126" s="103"/>
      <c r="N1126" s="103"/>
      <c r="O1126" s="103"/>
      <c r="P1126" s="103"/>
      <c r="Q1126" s="103"/>
      <c r="R1126" s="103"/>
      <c r="S1126" s="103" t="s">
        <v>48</v>
      </c>
      <c r="T1126" s="93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CA1126" s="12"/>
      <c r="CB1126" s="12"/>
    </row>
    <row r="1127" spans="1:80" x14ac:dyDescent="0.2">
      <c r="A1127" s="96">
        <v>2941</v>
      </c>
      <c r="B1127" s="99">
        <v>0</v>
      </c>
      <c r="C1127" s="99">
        <v>0</v>
      </c>
      <c r="D1127" s="99">
        <v>0</v>
      </c>
      <c r="E1127" s="99">
        <v>0</v>
      </c>
      <c r="F1127" s="99">
        <v>0</v>
      </c>
      <c r="G1127" s="99">
        <v>0</v>
      </c>
      <c r="H1127" s="99">
        <v>0</v>
      </c>
      <c r="I1127" s="99" t="s">
        <v>48</v>
      </c>
      <c r="J1127" s="93"/>
      <c r="K1127" s="93">
        <v>3040</v>
      </c>
      <c r="L1127" s="103">
        <v>0</v>
      </c>
      <c r="M1127" s="103">
        <v>0</v>
      </c>
      <c r="N1127" s="103">
        <v>0</v>
      </c>
      <c r="O1127" s="103">
        <v>0</v>
      </c>
      <c r="P1127" s="103">
        <v>0</v>
      </c>
      <c r="Q1127" s="103">
        <v>0</v>
      </c>
      <c r="R1127" s="103">
        <v>0</v>
      </c>
      <c r="S1127" s="103" t="s">
        <v>48</v>
      </c>
      <c r="T1127" s="93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CA1127" s="12"/>
      <c r="CB1127" s="12"/>
    </row>
    <row r="1128" spans="1:80" x14ac:dyDescent="0.2">
      <c r="A1128" s="96">
        <v>2942</v>
      </c>
      <c r="B1128" s="99">
        <v>0</v>
      </c>
      <c r="C1128" s="99">
        <v>0</v>
      </c>
      <c r="D1128" s="99">
        <v>0</v>
      </c>
      <c r="E1128" s="99">
        <v>0</v>
      </c>
      <c r="F1128" s="99">
        <v>0</v>
      </c>
      <c r="G1128" s="99">
        <v>0</v>
      </c>
      <c r="H1128" s="99">
        <v>0</v>
      </c>
      <c r="I1128" s="99" t="s">
        <v>48</v>
      </c>
      <c r="J1128" s="93"/>
      <c r="K1128" s="93">
        <v>3041</v>
      </c>
      <c r="L1128" s="103"/>
      <c r="M1128" s="103"/>
      <c r="N1128" s="103"/>
      <c r="O1128" s="103"/>
      <c r="P1128" s="103"/>
      <c r="Q1128" s="103"/>
      <c r="R1128" s="103"/>
      <c r="S1128" s="103" t="s">
        <v>48</v>
      </c>
      <c r="T1128" s="93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CA1128" s="12"/>
      <c r="CB1128" s="12"/>
    </row>
    <row r="1129" spans="1:80" x14ac:dyDescent="0.2">
      <c r="A1129" s="96">
        <v>2943</v>
      </c>
      <c r="B1129" s="99">
        <v>0</v>
      </c>
      <c r="C1129" s="99">
        <v>0</v>
      </c>
      <c r="D1129" s="99">
        <v>0</v>
      </c>
      <c r="E1129" s="99">
        <v>0</v>
      </c>
      <c r="F1129" s="99">
        <v>0</v>
      </c>
      <c r="G1129" s="99">
        <v>0</v>
      </c>
      <c r="H1129" s="99">
        <v>0</v>
      </c>
      <c r="I1129" s="99" t="s">
        <v>48</v>
      </c>
      <c r="J1129" s="93"/>
      <c r="K1129" s="93">
        <v>3042</v>
      </c>
      <c r="L1129" s="103">
        <v>0</v>
      </c>
      <c r="M1129" s="103">
        <v>0</v>
      </c>
      <c r="N1129" s="103">
        <v>0</v>
      </c>
      <c r="O1129" s="103">
        <v>0</v>
      </c>
      <c r="P1129" s="103">
        <v>0</v>
      </c>
      <c r="Q1129" s="103">
        <v>0</v>
      </c>
      <c r="R1129" s="103">
        <v>0</v>
      </c>
      <c r="S1129" s="103" t="s">
        <v>48</v>
      </c>
      <c r="T1129" s="93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CA1129" s="12"/>
      <c r="CB1129" s="12"/>
    </row>
    <row r="1130" spans="1:80" x14ac:dyDescent="0.2">
      <c r="A1130" s="96">
        <v>2944</v>
      </c>
      <c r="B1130" s="99">
        <v>0</v>
      </c>
      <c r="C1130" s="99">
        <v>0</v>
      </c>
      <c r="D1130" s="99">
        <v>0</v>
      </c>
      <c r="E1130" s="99">
        <v>0</v>
      </c>
      <c r="F1130" s="99">
        <v>0</v>
      </c>
      <c r="G1130" s="99">
        <v>0</v>
      </c>
      <c r="H1130" s="99">
        <v>0</v>
      </c>
      <c r="I1130" s="99" t="s">
        <v>48</v>
      </c>
      <c r="J1130" s="93"/>
      <c r="K1130" s="93">
        <v>3043</v>
      </c>
      <c r="L1130" s="103"/>
      <c r="M1130" s="103"/>
      <c r="N1130" s="103"/>
      <c r="O1130" s="103"/>
      <c r="P1130" s="103"/>
      <c r="Q1130" s="103"/>
      <c r="R1130" s="103"/>
      <c r="S1130" s="103" t="s">
        <v>48</v>
      </c>
      <c r="T1130" s="93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CA1130" s="12"/>
      <c r="CB1130" s="12"/>
    </row>
    <row r="1131" spans="1:80" x14ac:dyDescent="0.2">
      <c r="A1131" s="96">
        <v>2945</v>
      </c>
      <c r="B1131" s="99">
        <v>0</v>
      </c>
      <c r="C1131" s="99">
        <v>0</v>
      </c>
      <c r="D1131" s="99">
        <v>0</v>
      </c>
      <c r="E1131" s="99">
        <v>0</v>
      </c>
      <c r="F1131" s="99">
        <v>0</v>
      </c>
      <c r="G1131" s="99">
        <v>0</v>
      </c>
      <c r="H1131" s="99">
        <v>0</v>
      </c>
      <c r="I1131" s="99" t="s">
        <v>48</v>
      </c>
      <c r="J1131" s="93"/>
      <c r="K1131" s="93">
        <v>3044</v>
      </c>
      <c r="L1131" s="103">
        <v>0</v>
      </c>
      <c r="M1131" s="103">
        <v>0</v>
      </c>
      <c r="N1131" s="103">
        <v>0</v>
      </c>
      <c r="O1131" s="103">
        <v>0</v>
      </c>
      <c r="P1131" s="103">
        <v>0</v>
      </c>
      <c r="Q1131" s="103">
        <v>0</v>
      </c>
      <c r="R1131" s="103">
        <v>0</v>
      </c>
      <c r="S1131" s="103" t="s">
        <v>48</v>
      </c>
      <c r="T1131" s="93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CA1131" s="12"/>
      <c r="CB1131" s="12"/>
    </row>
    <row r="1132" spans="1:80" x14ac:dyDescent="0.2">
      <c r="A1132" s="96">
        <v>2946</v>
      </c>
      <c r="B1132" s="99">
        <v>0</v>
      </c>
      <c r="C1132" s="99">
        <v>0</v>
      </c>
      <c r="D1132" s="99">
        <v>0</v>
      </c>
      <c r="E1132" s="99">
        <v>0</v>
      </c>
      <c r="F1132" s="99">
        <v>0</v>
      </c>
      <c r="G1132" s="99">
        <v>0</v>
      </c>
      <c r="H1132" s="99">
        <v>0</v>
      </c>
      <c r="I1132" s="99" t="s">
        <v>48</v>
      </c>
      <c r="J1132" s="93"/>
      <c r="K1132" s="93">
        <v>3045</v>
      </c>
      <c r="L1132" s="103"/>
      <c r="M1132" s="103"/>
      <c r="N1132" s="103"/>
      <c r="O1132" s="103"/>
      <c r="P1132" s="103"/>
      <c r="Q1132" s="103"/>
      <c r="R1132" s="103"/>
      <c r="S1132" s="103" t="s">
        <v>48</v>
      </c>
      <c r="T1132" s="93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CA1132" s="12"/>
      <c r="CB1132" s="12"/>
    </row>
    <row r="1133" spans="1:80" x14ac:dyDescent="0.2">
      <c r="A1133" s="96">
        <v>2947</v>
      </c>
      <c r="B1133" s="99">
        <v>0</v>
      </c>
      <c r="C1133" s="99">
        <v>0</v>
      </c>
      <c r="D1133" s="99">
        <v>0</v>
      </c>
      <c r="E1133" s="99">
        <v>0</v>
      </c>
      <c r="F1133" s="99">
        <v>0</v>
      </c>
      <c r="G1133" s="99">
        <v>0</v>
      </c>
      <c r="H1133" s="99">
        <v>0</v>
      </c>
      <c r="I1133" s="99" t="s">
        <v>48</v>
      </c>
      <c r="J1133" s="93"/>
      <c r="K1133" s="93">
        <v>3046</v>
      </c>
      <c r="L1133" s="103">
        <v>0</v>
      </c>
      <c r="M1133" s="103">
        <v>0</v>
      </c>
      <c r="N1133" s="103">
        <v>0</v>
      </c>
      <c r="O1133" s="103">
        <v>0</v>
      </c>
      <c r="P1133" s="103">
        <v>0</v>
      </c>
      <c r="Q1133" s="103">
        <v>0</v>
      </c>
      <c r="R1133" s="103">
        <v>0</v>
      </c>
      <c r="S1133" s="103" t="s">
        <v>48</v>
      </c>
      <c r="T1133" s="93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CA1133" s="12"/>
      <c r="CB1133" s="12"/>
    </row>
    <row r="1134" spans="1:80" x14ac:dyDescent="0.2">
      <c r="A1134" s="96">
        <v>2948</v>
      </c>
      <c r="B1134" s="99">
        <v>0</v>
      </c>
      <c r="C1134" s="99">
        <v>0</v>
      </c>
      <c r="D1134" s="99">
        <v>0</v>
      </c>
      <c r="E1134" s="99">
        <v>0</v>
      </c>
      <c r="F1134" s="99">
        <v>0</v>
      </c>
      <c r="G1134" s="99">
        <v>0</v>
      </c>
      <c r="H1134" s="99">
        <v>0</v>
      </c>
      <c r="I1134" s="99" t="s">
        <v>48</v>
      </c>
      <c r="J1134" s="93"/>
      <c r="K1134" s="93">
        <v>3047</v>
      </c>
      <c r="L1134" s="103"/>
      <c r="M1134" s="103"/>
      <c r="N1134" s="103"/>
      <c r="O1134" s="103"/>
      <c r="P1134" s="103"/>
      <c r="Q1134" s="103"/>
      <c r="R1134" s="103"/>
      <c r="S1134" s="103" t="s">
        <v>48</v>
      </c>
      <c r="T1134" s="93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BF1134" s="12"/>
      <c r="BG1134" s="12"/>
      <c r="CA1134" s="12"/>
    </row>
    <row r="1135" spans="1:80" x14ac:dyDescent="0.2">
      <c r="A1135" s="96">
        <v>2949</v>
      </c>
      <c r="B1135" s="99">
        <v>0</v>
      </c>
      <c r="C1135" s="99">
        <v>0</v>
      </c>
      <c r="D1135" s="99">
        <v>0</v>
      </c>
      <c r="E1135" s="99">
        <v>0</v>
      </c>
      <c r="F1135" s="99">
        <v>0</v>
      </c>
      <c r="G1135" s="99">
        <v>0</v>
      </c>
      <c r="H1135" s="99">
        <v>0</v>
      </c>
      <c r="I1135" s="99" t="s">
        <v>48</v>
      </c>
      <c r="J1135" s="93"/>
      <c r="K1135" s="93">
        <v>3048</v>
      </c>
      <c r="L1135" s="103">
        <v>0</v>
      </c>
      <c r="M1135" s="103">
        <v>0</v>
      </c>
      <c r="N1135" s="103">
        <v>0</v>
      </c>
      <c r="O1135" s="103">
        <v>0</v>
      </c>
      <c r="P1135" s="103">
        <v>0</v>
      </c>
      <c r="Q1135" s="103">
        <v>0</v>
      </c>
      <c r="R1135" s="103">
        <v>0</v>
      </c>
      <c r="S1135" s="103" t="s">
        <v>48</v>
      </c>
      <c r="T1135" s="93"/>
      <c r="CA1135" s="12"/>
    </row>
    <row r="1136" spans="1:80" x14ac:dyDescent="0.2">
      <c r="A1136" s="96">
        <v>2950</v>
      </c>
      <c r="B1136" s="99">
        <v>0</v>
      </c>
      <c r="C1136" s="99">
        <v>0</v>
      </c>
      <c r="D1136" s="99">
        <v>0</v>
      </c>
      <c r="E1136" s="99">
        <v>0</v>
      </c>
      <c r="F1136" s="99">
        <v>0</v>
      </c>
      <c r="G1136" s="99">
        <v>0</v>
      </c>
      <c r="H1136" s="99">
        <v>0</v>
      </c>
      <c r="I1136" s="99" t="s">
        <v>48</v>
      </c>
      <c r="J1136" s="93"/>
      <c r="K1136" s="93">
        <v>3049</v>
      </c>
      <c r="L1136" s="103"/>
      <c r="M1136" s="103"/>
      <c r="N1136" s="103"/>
      <c r="O1136" s="103"/>
      <c r="P1136" s="103"/>
      <c r="Q1136" s="103"/>
      <c r="R1136" s="103"/>
      <c r="S1136" s="103" t="s">
        <v>48</v>
      </c>
      <c r="T1136" s="93"/>
      <c r="CA1136" s="12"/>
    </row>
    <row r="1137" spans="1:79" x14ac:dyDescent="0.2">
      <c r="A1137" s="96">
        <v>2951</v>
      </c>
      <c r="B1137" s="99">
        <v>0</v>
      </c>
      <c r="C1137" s="99">
        <v>0</v>
      </c>
      <c r="D1137" s="99">
        <v>0</v>
      </c>
      <c r="E1137" s="99">
        <v>0</v>
      </c>
      <c r="F1137" s="99">
        <v>0</v>
      </c>
      <c r="G1137" s="99">
        <v>0</v>
      </c>
      <c r="H1137" s="99">
        <v>0</v>
      </c>
      <c r="I1137" s="99" t="s">
        <v>48</v>
      </c>
      <c r="J1137" s="93"/>
      <c r="K1137" s="93">
        <v>3050</v>
      </c>
      <c r="L1137" s="103">
        <v>0</v>
      </c>
      <c r="M1137" s="103">
        <v>0</v>
      </c>
      <c r="N1137" s="103">
        <v>0</v>
      </c>
      <c r="O1137" s="103">
        <v>0</v>
      </c>
      <c r="P1137" s="103">
        <v>0</v>
      </c>
      <c r="Q1137" s="103">
        <v>0</v>
      </c>
      <c r="R1137" s="103">
        <v>0</v>
      </c>
      <c r="S1137" s="103" t="s">
        <v>48</v>
      </c>
      <c r="T1137" s="93"/>
      <c r="CA1137" s="12"/>
    </row>
    <row r="1138" spans="1:79" x14ac:dyDescent="0.2">
      <c r="A1138" s="96">
        <v>2952</v>
      </c>
      <c r="B1138" s="99">
        <v>0</v>
      </c>
      <c r="C1138" s="99">
        <v>0</v>
      </c>
      <c r="D1138" s="99">
        <v>0</v>
      </c>
      <c r="E1138" s="99">
        <v>0</v>
      </c>
      <c r="F1138" s="99">
        <v>0</v>
      </c>
      <c r="G1138" s="99">
        <v>0</v>
      </c>
      <c r="H1138" s="99">
        <v>0</v>
      </c>
      <c r="I1138" s="99" t="s">
        <v>48</v>
      </c>
      <c r="J1138" s="93"/>
      <c r="K1138" s="93">
        <v>3051</v>
      </c>
      <c r="L1138" s="103"/>
      <c r="M1138" s="103"/>
      <c r="N1138" s="103"/>
      <c r="O1138" s="103"/>
      <c r="P1138" s="103"/>
      <c r="Q1138" s="103"/>
      <c r="R1138" s="103"/>
      <c r="S1138" s="103" t="s">
        <v>48</v>
      </c>
      <c r="T1138" s="93"/>
    </row>
    <row r="1139" spans="1:79" x14ac:dyDescent="0.2">
      <c r="A1139" s="96">
        <v>2953</v>
      </c>
      <c r="B1139" s="99">
        <v>0</v>
      </c>
      <c r="C1139" s="99">
        <v>0</v>
      </c>
      <c r="D1139" s="99">
        <v>0</v>
      </c>
      <c r="E1139" s="99">
        <v>0</v>
      </c>
      <c r="F1139" s="99">
        <v>0</v>
      </c>
      <c r="G1139" s="99">
        <v>0</v>
      </c>
      <c r="H1139" s="99">
        <v>0</v>
      </c>
      <c r="I1139" s="99" t="s">
        <v>48</v>
      </c>
      <c r="J1139" s="93"/>
      <c r="K1139" s="93">
        <v>3052</v>
      </c>
      <c r="L1139" s="103">
        <v>0</v>
      </c>
      <c r="M1139" s="103">
        <v>0</v>
      </c>
      <c r="N1139" s="103">
        <v>0</v>
      </c>
      <c r="O1139" s="103">
        <v>0</v>
      </c>
      <c r="P1139" s="103">
        <v>0</v>
      </c>
      <c r="Q1139" s="103">
        <v>0</v>
      </c>
      <c r="R1139" s="103">
        <v>0</v>
      </c>
      <c r="S1139" s="103" t="s">
        <v>48</v>
      </c>
      <c r="T1139" s="93"/>
    </row>
    <row r="1140" spans="1:79" x14ac:dyDescent="0.2">
      <c r="A1140" s="96">
        <v>2954</v>
      </c>
      <c r="B1140" s="99">
        <v>0</v>
      </c>
      <c r="C1140" s="99">
        <v>0</v>
      </c>
      <c r="D1140" s="99">
        <v>0</v>
      </c>
      <c r="E1140" s="99">
        <v>0</v>
      </c>
      <c r="F1140" s="99">
        <v>0</v>
      </c>
      <c r="G1140" s="99">
        <v>0</v>
      </c>
      <c r="H1140" s="99">
        <v>0</v>
      </c>
      <c r="I1140" s="99" t="s">
        <v>48</v>
      </c>
      <c r="J1140" s="93"/>
      <c r="K1140" s="93">
        <v>3053</v>
      </c>
      <c r="L1140" s="103"/>
      <c r="M1140" s="103"/>
      <c r="N1140" s="103"/>
      <c r="O1140" s="103"/>
      <c r="P1140" s="103"/>
      <c r="Q1140" s="103"/>
      <c r="R1140" s="103"/>
      <c r="S1140" s="103" t="s">
        <v>48</v>
      </c>
      <c r="T1140" s="93"/>
    </row>
    <row r="1141" spans="1:79" x14ac:dyDescent="0.2">
      <c r="A1141" s="96">
        <v>2955</v>
      </c>
      <c r="B1141" s="99">
        <v>0</v>
      </c>
      <c r="C1141" s="99">
        <v>0</v>
      </c>
      <c r="D1141" s="99">
        <v>0</v>
      </c>
      <c r="E1141" s="99">
        <v>0</v>
      </c>
      <c r="F1141" s="99">
        <v>0</v>
      </c>
      <c r="G1141" s="99">
        <v>0</v>
      </c>
      <c r="H1141" s="99">
        <v>0</v>
      </c>
      <c r="I1141" s="99" t="s">
        <v>48</v>
      </c>
      <c r="J1141" s="93"/>
      <c r="K1141" s="93">
        <v>3054</v>
      </c>
      <c r="L1141" s="103">
        <v>0</v>
      </c>
      <c r="M1141" s="103">
        <v>0</v>
      </c>
      <c r="N1141" s="103">
        <v>0</v>
      </c>
      <c r="O1141" s="103">
        <v>0</v>
      </c>
      <c r="P1141" s="103">
        <v>0</v>
      </c>
      <c r="Q1141" s="103">
        <v>0</v>
      </c>
      <c r="R1141" s="103">
        <v>0</v>
      </c>
      <c r="S1141" s="103" t="s">
        <v>48</v>
      </c>
      <c r="T1141" s="93"/>
    </row>
    <row r="1142" spans="1:79" x14ac:dyDescent="0.2">
      <c r="A1142" s="96">
        <v>2956</v>
      </c>
      <c r="B1142" s="99">
        <v>0</v>
      </c>
      <c r="C1142" s="99">
        <v>0</v>
      </c>
      <c r="D1142" s="99">
        <v>0</v>
      </c>
      <c r="E1142" s="99">
        <v>0</v>
      </c>
      <c r="F1142" s="99">
        <v>0</v>
      </c>
      <c r="G1142" s="99">
        <v>0</v>
      </c>
      <c r="H1142" s="99">
        <v>0</v>
      </c>
      <c r="I1142" s="99" t="s">
        <v>48</v>
      </c>
      <c r="J1142" s="93"/>
      <c r="K1142" s="93">
        <v>3055</v>
      </c>
      <c r="L1142" s="103"/>
      <c r="M1142" s="103"/>
      <c r="N1142" s="103"/>
      <c r="O1142" s="103"/>
      <c r="P1142" s="103"/>
      <c r="Q1142" s="103"/>
      <c r="R1142" s="103"/>
      <c r="S1142" s="103" t="s">
        <v>48</v>
      </c>
      <c r="T1142" s="93"/>
    </row>
    <row r="1143" spans="1:79" x14ac:dyDescent="0.2">
      <c r="A1143" s="96">
        <v>2957</v>
      </c>
      <c r="B1143" s="99">
        <v>0</v>
      </c>
      <c r="C1143" s="99">
        <v>0</v>
      </c>
      <c r="D1143" s="99">
        <v>0</v>
      </c>
      <c r="E1143" s="99">
        <v>0</v>
      </c>
      <c r="F1143" s="99">
        <v>0</v>
      </c>
      <c r="G1143" s="99">
        <v>0</v>
      </c>
      <c r="H1143" s="99">
        <v>0</v>
      </c>
      <c r="I1143" s="99" t="s">
        <v>48</v>
      </c>
      <c r="J1143" s="93"/>
      <c r="K1143" s="93">
        <v>3056</v>
      </c>
      <c r="L1143" s="103">
        <v>0</v>
      </c>
      <c r="M1143" s="103">
        <v>0</v>
      </c>
      <c r="N1143" s="103">
        <v>0</v>
      </c>
      <c r="O1143" s="103">
        <v>0</v>
      </c>
      <c r="P1143" s="103">
        <v>0</v>
      </c>
      <c r="Q1143" s="103">
        <v>0</v>
      </c>
      <c r="R1143" s="103">
        <v>0</v>
      </c>
      <c r="S1143" s="103" t="s">
        <v>48</v>
      </c>
      <c r="T1143" s="93"/>
    </row>
    <row r="1144" spans="1:79" x14ac:dyDescent="0.2">
      <c r="A1144" s="96">
        <v>2958</v>
      </c>
      <c r="B1144" s="99">
        <v>0</v>
      </c>
      <c r="C1144" s="99">
        <v>0</v>
      </c>
      <c r="D1144" s="99">
        <v>0</v>
      </c>
      <c r="E1144" s="99">
        <v>0</v>
      </c>
      <c r="F1144" s="99">
        <v>0</v>
      </c>
      <c r="G1144" s="99">
        <v>0</v>
      </c>
      <c r="H1144" s="99">
        <v>0</v>
      </c>
      <c r="I1144" s="99" t="s">
        <v>48</v>
      </c>
      <c r="J1144" s="93"/>
      <c r="K1144" s="93">
        <v>3057</v>
      </c>
      <c r="L1144" s="103"/>
      <c r="M1144" s="103"/>
      <c r="N1144" s="103"/>
      <c r="O1144" s="103"/>
      <c r="P1144" s="103"/>
      <c r="Q1144" s="103"/>
      <c r="R1144" s="103"/>
      <c r="S1144" s="103" t="s">
        <v>48</v>
      </c>
      <c r="T1144" s="93"/>
    </row>
    <row r="1145" spans="1:79" x14ac:dyDescent="0.2">
      <c r="A1145" s="96">
        <v>2959</v>
      </c>
      <c r="B1145" s="99">
        <v>0</v>
      </c>
      <c r="C1145" s="99">
        <v>0</v>
      </c>
      <c r="D1145" s="99">
        <v>0</v>
      </c>
      <c r="E1145" s="99">
        <v>0</v>
      </c>
      <c r="F1145" s="99">
        <v>0</v>
      </c>
      <c r="G1145" s="99">
        <v>0</v>
      </c>
      <c r="H1145" s="99">
        <v>0</v>
      </c>
      <c r="I1145" s="99" t="s">
        <v>48</v>
      </c>
      <c r="J1145" s="93"/>
      <c r="K1145" s="93">
        <v>3058</v>
      </c>
      <c r="L1145" s="103">
        <v>0</v>
      </c>
      <c r="M1145" s="103">
        <v>0</v>
      </c>
      <c r="N1145" s="103">
        <v>0</v>
      </c>
      <c r="O1145" s="103">
        <v>0</v>
      </c>
      <c r="P1145" s="103">
        <v>0</v>
      </c>
      <c r="Q1145" s="103">
        <v>0</v>
      </c>
      <c r="R1145" s="103">
        <v>0</v>
      </c>
      <c r="S1145" s="103" t="s">
        <v>48</v>
      </c>
      <c r="T1145" s="93"/>
    </row>
    <row r="1146" spans="1:79" x14ac:dyDescent="0.2">
      <c r="A1146" s="96">
        <v>3000</v>
      </c>
      <c r="B1146" s="99">
        <v>0</v>
      </c>
      <c r="C1146" s="99">
        <v>0</v>
      </c>
      <c r="D1146" s="99">
        <v>0</v>
      </c>
      <c r="E1146" s="99">
        <v>0</v>
      </c>
      <c r="F1146" s="99">
        <v>0</v>
      </c>
      <c r="G1146" s="99">
        <v>0</v>
      </c>
      <c r="H1146" s="99">
        <v>0</v>
      </c>
      <c r="I1146" s="99" t="s">
        <v>48</v>
      </c>
      <c r="J1146" s="93"/>
      <c r="K1146" s="93">
        <v>3059</v>
      </c>
      <c r="L1146" s="103">
        <v>0</v>
      </c>
      <c r="M1146" s="103">
        <v>0</v>
      </c>
      <c r="N1146" s="103">
        <v>0</v>
      </c>
      <c r="O1146" s="103">
        <v>0</v>
      </c>
      <c r="P1146" s="103">
        <v>0</v>
      </c>
      <c r="Q1146" s="103">
        <v>0</v>
      </c>
      <c r="R1146" s="103">
        <v>0</v>
      </c>
      <c r="S1146" s="103" t="s">
        <v>48</v>
      </c>
      <c r="T1146" s="93"/>
    </row>
    <row r="1147" spans="1:79" x14ac:dyDescent="0.2">
      <c r="A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</row>
    <row r="1148" spans="1:79" x14ac:dyDescent="0.2">
      <c r="A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</row>
    <row r="1149" spans="1:79" x14ac:dyDescent="0.2">
      <c r="A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</row>
    <row r="1150" spans="1:79" x14ac:dyDescent="0.2">
      <c r="A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</row>
    <row r="1151" spans="1:79" x14ac:dyDescent="0.2">
      <c r="A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</row>
    <row r="1152" spans="1:79" x14ac:dyDescent="0.2">
      <c r="A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</row>
    <row r="1153" spans="1:20" x14ac:dyDescent="0.2">
      <c r="A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</row>
    <row r="1154" spans="1:20" x14ac:dyDescent="0.2">
      <c r="A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</row>
    <row r="1155" spans="1:20" x14ac:dyDescent="0.2">
      <c r="A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</row>
    <row r="1156" spans="1:20" x14ac:dyDescent="0.2">
      <c r="A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</row>
    <row r="1157" spans="1:20" x14ac:dyDescent="0.2">
      <c r="A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</row>
    <row r="1158" spans="1:20" x14ac:dyDescent="0.2">
      <c r="A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</row>
    <row r="1159" spans="1:20" x14ac:dyDescent="0.2">
      <c r="A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</row>
    <row r="1160" spans="1:20" x14ac:dyDescent="0.2">
      <c r="A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</row>
    <row r="1161" spans="1:20" x14ac:dyDescent="0.2">
      <c r="A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</row>
    <row r="1162" spans="1:20" x14ac:dyDescent="0.2">
      <c r="A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</row>
    <row r="1163" spans="1:20" x14ac:dyDescent="0.2">
      <c r="A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</row>
    <row r="1164" spans="1:20" x14ac:dyDescent="0.2">
      <c r="A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</row>
    <row r="1165" spans="1:20" x14ac:dyDescent="0.2">
      <c r="A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</row>
    <row r="1166" spans="1:20" x14ac:dyDescent="0.2">
      <c r="A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</row>
    <row r="1167" spans="1:20" x14ac:dyDescent="0.2">
      <c r="A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</row>
    <row r="1168" spans="1:20" x14ac:dyDescent="0.2">
      <c r="A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</row>
    <row r="1169" spans="1:20" x14ac:dyDescent="0.2">
      <c r="A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</row>
    <row r="1170" spans="1:20" x14ac:dyDescent="0.2">
      <c r="A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</row>
    <row r="1171" spans="1:20" x14ac:dyDescent="0.2">
      <c r="A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</row>
    <row r="1172" spans="1:20" x14ac:dyDescent="0.2">
      <c r="A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</row>
    <row r="1173" spans="1:20" x14ac:dyDescent="0.2">
      <c r="A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</row>
    <row r="1174" spans="1:20" x14ac:dyDescent="0.2">
      <c r="A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</row>
    <row r="1175" spans="1:20" x14ac:dyDescent="0.2">
      <c r="A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</row>
    <row r="1176" spans="1:20" x14ac:dyDescent="0.2">
      <c r="A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</row>
    <row r="1177" spans="1:20" x14ac:dyDescent="0.2">
      <c r="A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</row>
    <row r="1178" spans="1:20" x14ac:dyDescent="0.2">
      <c r="A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</row>
    <row r="1179" spans="1:20" x14ac:dyDescent="0.2">
      <c r="A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</row>
    <row r="1180" spans="1:20" x14ac:dyDescent="0.2">
      <c r="A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</row>
    <row r="1181" spans="1:20" x14ac:dyDescent="0.2">
      <c r="A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</row>
    <row r="1182" spans="1:20" x14ac:dyDescent="0.2">
      <c r="A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</row>
    <row r="1183" spans="1:20" x14ac:dyDescent="0.2">
      <c r="A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</row>
    <row r="1184" spans="1:20" x14ac:dyDescent="0.2">
      <c r="A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</row>
    <row r="1185" spans="1:20" x14ac:dyDescent="0.2">
      <c r="A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</row>
    <row r="1186" spans="1:20" x14ac:dyDescent="0.2">
      <c r="A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</row>
    <row r="1187" spans="1:20" x14ac:dyDescent="0.2">
      <c r="A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</row>
    <row r="1188" spans="1:20" x14ac:dyDescent="0.2">
      <c r="A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</row>
    <row r="1189" spans="1:20" x14ac:dyDescent="0.2">
      <c r="A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</row>
    <row r="1190" spans="1:20" x14ac:dyDescent="0.2">
      <c r="A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</row>
    <row r="1191" spans="1:20" x14ac:dyDescent="0.2">
      <c r="A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</row>
    <row r="1192" spans="1:20" x14ac:dyDescent="0.2">
      <c r="A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</row>
    <row r="1193" spans="1:20" x14ac:dyDescent="0.2">
      <c r="A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</row>
    <row r="1194" spans="1:20" x14ac:dyDescent="0.2">
      <c r="A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</row>
    <row r="1195" spans="1:20" x14ac:dyDescent="0.2">
      <c r="A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</row>
    <row r="1196" spans="1:20" x14ac:dyDescent="0.2">
      <c r="A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</row>
    <row r="1197" spans="1:20" x14ac:dyDescent="0.2">
      <c r="A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</row>
    <row r="1198" spans="1:20" x14ac:dyDescent="0.2">
      <c r="A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</row>
    <row r="1199" spans="1:20" x14ac:dyDescent="0.2">
      <c r="A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</row>
    <row r="1200" spans="1:20" x14ac:dyDescent="0.2">
      <c r="A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</row>
    <row r="1201" spans="1:19" x14ac:dyDescent="0.2">
      <c r="A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</row>
    <row r="1202" spans="1:19" x14ac:dyDescent="0.2">
      <c r="A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</row>
    <row r="1203" spans="1:19" x14ac:dyDescent="0.2">
      <c r="A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</row>
    <row r="1204" spans="1:19" x14ac:dyDescent="0.2">
      <c r="A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</row>
    <row r="1205" spans="1:19" x14ac:dyDescent="0.2">
      <c r="A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</row>
    <row r="1206" spans="1:19" x14ac:dyDescent="0.2">
      <c r="A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</row>
    <row r="1207" spans="1:19" x14ac:dyDescent="0.2">
      <c r="A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</row>
    <row r="1208" spans="1:19" x14ac:dyDescent="0.2">
      <c r="A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</row>
    <row r="1209" spans="1:19" x14ac:dyDescent="0.2">
      <c r="A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</row>
    <row r="1210" spans="1:19" x14ac:dyDescent="0.2">
      <c r="A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</row>
    <row r="1211" spans="1:19" x14ac:dyDescent="0.2">
      <c r="A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</row>
    <row r="1212" spans="1:19" x14ac:dyDescent="0.2">
      <c r="A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</row>
    <row r="1213" spans="1:19" x14ac:dyDescent="0.2">
      <c r="A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</row>
    <row r="1214" spans="1:19" x14ac:dyDescent="0.2">
      <c r="A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</row>
    <row r="1215" spans="1:19" x14ac:dyDescent="0.2">
      <c r="A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</row>
    <row r="1216" spans="1:19" x14ac:dyDescent="0.2">
      <c r="A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</row>
    <row r="1217" spans="1:19" x14ac:dyDescent="0.2">
      <c r="A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</row>
    <row r="1218" spans="1:19" x14ac:dyDescent="0.2">
      <c r="A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</row>
    <row r="1219" spans="1:19" x14ac:dyDescent="0.2">
      <c r="A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</row>
    <row r="1220" spans="1:19" x14ac:dyDescent="0.2">
      <c r="A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</row>
    <row r="1221" spans="1:19" x14ac:dyDescent="0.2">
      <c r="A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</row>
    <row r="1222" spans="1:19" x14ac:dyDescent="0.2">
      <c r="A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</row>
    <row r="1223" spans="1:19" x14ac:dyDescent="0.2">
      <c r="A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</row>
    <row r="1224" spans="1:19" x14ac:dyDescent="0.2">
      <c r="A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</row>
    <row r="1225" spans="1:19" x14ac:dyDescent="0.2">
      <c r="A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</row>
    <row r="1226" spans="1:19" x14ac:dyDescent="0.2">
      <c r="A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</row>
    <row r="1227" spans="1:19" x14ac:dyDescent="0.2">
      <c r="A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</row>
    <row r="1228" spans="1:19" x14ac:dyDescent="0.2">
      <c r="A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</row>
    <row r="1229" spans="1:19" x14ac:dyDescent="0.2">
      <c r="A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</row>
    <row r="1230" spans="1:19" x14ac:dyDescent="0.2">
      <c r="A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</row>
    <row r="1231" spans="1:19" x14ac:dyDescent="0.2">
      <c r="A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</row>
    <row r="1232" spans="1:19" x14ac:dyDescent="0.2">
      <c r="A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</row>
    <row r="1233" spans="1:19" x14ac:dyDescent="0.2">
      <c r="A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</row>
    <row r="1234" spans="1:19" x14ac:dyDescent="0.2">
      <c r="A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</row>
    <row r="1235" spans="1:19" x14ac:dyDescent="0.2">
      <c r="A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</row>
    <row r="1236" spans="1:19" x14ac:dyDescent="0.2">
      <c r="A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</row>
    <row r="1237" spans="1:19" x14ac:dyDescent="0.2">
      <c r="A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</row>
    <row r="1238" spans="1:19" x14ac:dyDescent="0.2">
      <c r="A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</row>
    <row r="1239" spans="1:19" x14ac:dyDescent="0.2">
      <c r="A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</row>
    <row r="1240" spans="1:19" x14ac:dyDescent="0.2">
      <c r="A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</row>
    <row r="1241" spans="1:19" x14ac:dyDescent="0.2">
      <c r="A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</row>
    <row r="1242" spans="1:19" x14ac:dyDescent="0.2">
      <c r="A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</row>
    <row r="1243" spans="1:19" x14ac:dyDescent="0.2">
      <c r="A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</row>
    <row r="1244" spans="1:19" x14ac:dyDescent="0.2">
      <c r="A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</row>
    <row r="1245" spans="1:19" x14ac:dyDescent="0.2">
      <c r="A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</row>
    <row r="1246" spans="1:19" x14ac:dyDescent="0.2">
      <c r="A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</row>
    <row r="1247" spans="1:19" x14ac:dyDescent="0.2">
      <c r="A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</row>
    <row r="1248" spans="1:19" x14ac:dyDescent="0.2">
      <c r="A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</row>
    <row r="1249" spans="1:19" x14ac:dyDescent="0.2">
      <c r="A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</row>
    <row r="1250" spans="1:19" x14ac:dyDescent="0.2">
      <c r="A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</row>
    <row r="1251" spans="1:19" x14ac:dyDescent="0.2">
      <c r="A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</row>
    <row r="1252" spans="1:19" x14ac:dyDescent="0.2">
      <c r="A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</row>
    <row r="1253" spans="1:19" x14ac:dyDescent="0.2">
      <c r="A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</row>
    <row r="1254" spans="1:19" x14ac:dyDescent="0.2">
      <c r="A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</row>
    <row r="1255" spans="1:19" x14ac:dyDescent="0.2">
      <c r="A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</row>
    <row r="1256" spans="1:19" x14ac:dyDescent="0.2">
      <c r="A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</row>
    <row r="1257" spans="1:19" x14ac:dyDescent="0.2">
      <c r="A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</row>
    <row r="1258" spans="1:19" x14ac:dyDescent="0.2">
      <c r="A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</row>
    <row r="1259" spans="1:19" x14ac:dyDescent="0.2">
      <c r="A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</row>
    <row r="1260" spans="1:19" x14ac:dyDescent="0.2">
      <c r="A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</row>
    <row r="1261" spans="1:19" x14ac:dyDescent="0.2">
      <c r="A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</row>
    <row r="1262" spans="1:19" x14ac:dyDescent="0.2">
      <c r="A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</row>
    <row r="1263" spans="1:19" x14ac:dyDescent="0.2">
      <c r="A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</row>
    <row r="1264" spans="1:19" x14ac:dyDescent="0.2">
      <c r="A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</row>
    <row r="1265" spans="1:19" x14ac:dyDescent="0.2">
      <c r="A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</row>
    <row r="1266" spans="1:19" x14ac:dyDescent="0.2">
      <c r="A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</row>
    <row r="1267" spans="1:19" x14ac:dyDescent="0.2">
      <c r="A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</row>
    <row r="1268" spans="1:19" x14ac:dyDescent="0.2">
      <c r="A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</row>
    <row r="1269" spans="1:19" x14ac:dyDescent="0.2">
      <c r="A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</row>
    <row r="1270" spans="1:19" x14ac:dyDescent="0.2">
      <c r="A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</row>
    <row r="1271" spans="1:19" x14ac:dyDescent="0.2">
      <c r="A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</row>
    <row r="1272" spans="1:19" x14ac:dyDescent="0.2">
      <c r="A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</row>
    <row r="1273" spans="1:19" x14ac:dyDescent="0.2">
      <c r="A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</row>
    <row r="1274" spans="1:19" x14ac:dyDescent="0.2">
      <c r="A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</row>
    <row r="1275" spans="1:19" x14ac:dyDescent="0.2">
      <c r="A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</row>
    <row r="1276" spans="1:19" x14ac:dyDescent="0.2">
      <c r="A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</row>
    <row r="1277" spans="1:19" x14ac:dyDescent="0.2">
      <c r="A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</row>
    <row r="1278" spans="1:19" x14ac:dyDescent="0.2">
      <c r="A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</row>
    <row r="1279" spans="1:19" x14ac:dyDescent="0.2">
      <c r="A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</row>
    <row r="1280" spans="1:19" x14ac:dyDescent="0.2">
      <c r="A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</row>
    <row r="1281" spans="1:19" x14ac:dyDescent="0.2">
      <c r="A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</row>
    <row r="1282" spans="1:19" x14ac:dyDescent="0.2">
      <c r="A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</row>
    <row r="1283" spans="1:19" x14ac:dyDescent="0.2">
      <c r="A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</row>
    <row r="1284" spans="1:19" x14ac:dyDescent="0.2">
      <c r="A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</row>
    <row r="1285" spans="1:19" x14ac:dyDescent="0.2">
      <c r="A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</row>
    <row r="1286" spans="1:19" x14ac:dyDescent="0.2">
      <c r="A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</row>
    <row r="1287" spans="1:19" x14ac:dyDescent="0.2">
      <c r="A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</row>
    <row r="1288" spans="1:19" x14ac:dyDescent="0.2">
      <c r="A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</row>
    <row r="1289" spans="1:19" x14ac:dyDescent="0.2">
      <c r="A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</row>
    <row r="1290" spans="1:19" x14ac:dyDescent="0.2">
      <c r="A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</row>
    <row r="1291" spans="1:19" x14ac:dyDescent="0.2">
      <c r="A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</row>
    <row r="1292" spans="1:19" x14ac:dyDescent="0.2">
      <c r="A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</row>
    <row r="1293" spans="1:19" x14ac:dyDescent="0.2">
      <c r="A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</row>
    <row r="1294" spans="1:19" x14ac:dyDescent="0.2">
      <c r="A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</row>
    <row r="1295" spans="1:19" x14ac:dyDescent="0.2">
      <c r="A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</row>
    <row r="1296" spans="1:19" x14ac:dyDescent="0.2">
      <c r="A1296" s="12"/>
      <c r="K1296" s="12"/>
    </row>
    <row r="1297" spans="1:1" x14ac:dyDescent="0.2">
      <c r="A1297" s="12"/>
    </row>
    <row r="1298" spans="1:1" x14ac:dyDescent="0.2">
      <c r="A1298" s="12"/>
    </row>
    <row r="1299" spans="1:1" x14ac:dyDescent="0.2">
      <c r="A1299" s="12"/>
    </row>
    <row r="1300" spans="1:1" x14ac:dyDescent="0.2">
      <c r="A1300" s="12"/>
    </row>
    <row r="1301" spans="1:1" x14ac:dyDescent="0.2">
      <c r="A1301" s="12"/>
    </row>
    <row r="1302" spans="1:1" x14ac:dyDescent="0.2">
      <c r="A1302" s="12"/>
    </row>
    <row r="1303" spans="1:1" x14ac:dyDescent="0.2">
      <c r="A1303" s="12"/>
    </row>
    <row r="1304" spans="1:1" x14ac:dyDescent="0.2">
      <c r="A1304" s="12"/>
    </row>
    <row r="1305" spans="1:1" x14ac:dyDescent="0.2">
      <c r="A1305" s="12"/>
    </row>
    <row r="1306" spans="1:1" x14ac:dyDescent="0.2">
      <c r="A1306" s="12"/>
    </row>
    <row r="1307" spans="1:1" x14ac:dyDescent="0.2">
      <c r="A1307" s="12"/>
    </row>
    <row r="1308" spans="1:1" x14ac:dyDescent="0.2">
      <c r="A1308" s="12"/>
    </row>
    <row r="1309" spans="1:1" x14ac:dyDescent="0.2">
      <c r="A1309" s="12"/>
    </row>
    <row r="1310" spans="1:1" x14ac:dyDescent="0.2">
      <c r="A1310" s="12"/>
    </row>
    <row r="1311" spans="1:1" x14ac:dyDescent="0.2">
      <c r="A1311" s="12"/>
    </row>
    <row r="1312" spans="1:1" x14ac:dyDescent="0.2">
      <c r="A1312" s="12"/>
    </row>
    <row r="1313" spans="1:1" x14ac:dyDescent="0.2">
      <c r="A1313" s="12"/>
    </row>
    <row r="1314" spans="1:1" x14ac:dyDescent="0.2">
      <c r="A1314" s="12"/>
    </row>
    <row r="1315" spans="1:1" x14ac:dyDescent="0.2">
      <c r="A1315" s="12"/>
    </row>
    <row r="1316" spans="1:1" x14ac:dyDescent="0.2">
      <c r="A1316" s="12"/>
    </row>
    <row r="1317" spans="1:1" x14ac:dyDescent="0.2">
      <c r="A1317" s="12"/>
    </row>
    <row r="1318" spans="1:1" x14ac:dyDescent="0.2">
      <c r="A1318" s="12"/>
    </row>
    <row r="1319" spans="1:1" x14ac:dyDescent="0.2">
      <c r="A1319" s="12"/>
    </row>
    <row r="1320" spans="1:1" x14ac:dyDescent="0.2">
      <c r="A1320" s="12"/>
    </row>
    <row r="1321" spans="1:1" x14ac:dyDescent="0.2">
      <c r="A1321" s="12"/>
    </row>
    <row r="1322" spans="1:1" x14ac:dyDescent="0.2">
      <c r="A1322" s="12"/>
    </row>
    <row r="1323" spans="1:1" x14ac:dyDescent="0.2">
      <c r="A1323" s="12"/>
    </row>
    <row r="1324" spans="1:1" x14ac:dyDescent="0.2">
      <c r="A1324" s="12"/>
    </row>
    <row r="1325" spans="1:1" x14ac:dyDescent="0.2">
      <c r="A1325" s="12"/>
    </row>
    <row r="1326" spans="1:1" x14ac:dyDescent="0.2">
      <c r="A1326" s="12"/>
    </row>
    <row r="1327" spans="1:1" x14ac:dyDescent="0.2">
      <c r="A1327" s="12"/>
    </row>
    <row r="1328" spans="1:1" x14ac:dyDescent="0.2">
      <c r="A1328" s="12"/>
    </row>
    <row r="1329" spans="1:1" x14ac:dyDescent="0.2">
      <c r="A1329" s="12"/>
    </row>
    <row r="1330" spans="1:1" x14ac:dyDescent="0.2">
      <c r="A1330" s="12"/>
    </row>
    <row r="1331" spans="1:1" x14ac:dyDescent="0.2">
      <c r="A1331" s="12"/>
    </row>
    <row r="1332" spans="1:1" x14ac:dyDescent="0.2">
      <c r="A1332" s="12"/>
    </row>
    <row r="1333" spans="1:1" x14ac:dyDescent="0.2">
      <c r="A1333" s="12"/>
    </row>
    <row r="1334" spans="1:1" x14ac:dyDescent="0.2">
      <c r="A1334" s="12"/>
    </row>
    <row r="1335" spans="1:1" x14ac:dyDescent="0.2">
      <c r="A1335" s="12"/>
    </row>
    <row r="1336" spans="1:1" x14ac:dyDescent="0.2">
      <c r="A1336" s="12"/>
    </row>
    <row r="1337" spans="1:1" x14ac:dyDescent="0.2">
      <c r="A1337" s="12"/>
    </row>
    <row r="1338" spans="1:1" x14ac:dyDescent="0.2">
      <c r="A1338" s="12"/>
    </row>
    <row r="1339" spans="1:1" x14ac:dyDescent="0.2">
      <c r="A1339" s="12"/>
    </row>
    <row r="1340" spans="1:1" x14ac:dyDescent="0.2">
      <c r="A1340" s="12"/>
    </row>
    <row r="1341" spans="1:1" x14ac:dyDescent="0.2">
      <c r="A1341" s="12"/>
    </row>
    <row r="1342" spans="1:1" x14ac:dyDescent="0.2">
      <c r="A1342" s="12"/>
    </row>
    <row r="1343" spans="1:1" x14ac:dyDescent="0.2">
      <c r="A1343" s="12"/>
    </row>
    <row r="1344" spans="1:1" x14ac:dyDescent="0.2">
      <c r="A1344" s="12"/>
    </row>
    <row r="1345" spans="1:1" x14ac:dyDescent="0.2">
      <c r="A1345" s="12"/>
    </row>
    <row r="1346" spans="1:1" x14ac:dyDescent="0.2">
      <c r="A1346" s="12"/>
    </row>
    <row r="1347" spans="1:1" x14ac:dyDescent="0.2">
      <c r="A1347" s="12"/>
    </row>
    <row r="1348" spans="1:1" x14ac:dyDescent="0.2">
      <c r="A1348" s="12"/>
    </row>
  </sheetData>
  <sortState ref="AO7:AW24">
    <sortCondition ref="AO6:AO24"/>
  </sortState>
  <phoneticPr fontId="0" type="noConversion"/>
  <pageMargins left="0.75" right="0.75" top="1" bottom="1" header="0.511811024" footer="0.511811024"/>
  <pageSetup paperSize="5" orientation="portrait" horizontalDpi="300" verticalDpi="300" r:id="rId1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APENDICE 4 REGISTRO DE RESULTAD</vt:lpstr>
      <vt:lpstr>APENDICE 5 INFO ESTADIS 1ER SEM</vt:lpstr>
      <vt:lpstr>APENDICE 5 INFO ESTADIS 2DO SEM</vt:lpstr>
      <vt:lpstr>T100Pts</vt:lpstr>
      <vt:lpstr>'APENDICE 4 REGISTRO DE RESULTAD'!Área_de_impresión</vt:lpstr>
      <vt:lpstr>'APENDICE 5 INFO ESTADIS 1ER SEM'!Área_de_impresión</vt:lpstr>
      <vt:lpstr>'APENDICE 5 INFO ESTADIS 2DO SEM'!Área_de_impresión</vt:lpstr>
      <vt:lpstr>T100Pts!Área_de_impresión</vt:lpstr>
      <vt:lpstr>'APENDICE 4 REGISTRO DE RESULTAD'!Títulos_a_imprimir</vt:lpstr>
    </vt:vector>
  </TitlesOfParts>
  <Company>Jef III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 Educ Fis</dc:creator>
  <cp:lastModifiedBy>Usuario de Windows</cp:lastModifiedBy>
  <cp:lastPrinted>2025-11-04T10:50:36Z</cp:lastPrinted>
  <dcterms:created xsi:type="dcterms:W3CDTF">2000-06-26T00:32:32Z</dcterms:created>
  <dcterms:modified xsi:type="dcterms:W3CDTF">2026-04-09T12:14:53Z</dcterms:modified>
</cp:coreProperties>
</file>